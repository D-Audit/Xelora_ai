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xelora-integrated\xelora-merged\backend\"/>
    </mc:Choice>
  </mc:AlternateContent>
  <bookViews>
    <workbookView minimized="1" xWindow="0" yWindow="0" windowWidth="7476" windowHeight="4884" firstSheet="2" activeTab="6"/>
  </bookViews>
  <sheets>
    <sheet name="Product Master" sheetId="1" r:id="rId1"/>
    <sheet name="Sales Data" sheetId="2" r:id="rId2"/>
    <sheet name="Monthly Budget" sheetId="3" r:id="rId3"/>
    <sheet name="Sales Summary" sheetId="4" r:id="rId4"/>
    <sheet name="Customer Analysis" sheetId="5" r:id="rId5"/>
    <sheet name="Inventory &amp; Reorder Analysis" sheetId="6" r:id="rId6"/>
    <sheet name="Executive Dashboard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7" l="1"/>
  <c r="E4" i="7"/>
  <c r="C4" i="7"/>
  <c r="A4" i="7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A2" i="6"/>
  <c r="B2" i="6"/>
  <c r="C2" i="6"/>
  <c r="D2" i="6"/>
  <c r="E2" i="6"/>
  <c r="F2" i="6"/>
  <c r="G2" i="6"/>
  <c r="H2" i="6"/>
  <c r="I2" i="6"/>
  <c r="A3" i="6"/>
  <c r="B3" i="6"/>
  <c r="C3" i="6"/>
  <c r="D3" i="6"/>
  <c r="E3" i="6"/>
  <c r="F3" i="6"/>
  <c r="G3" i="6"/>
  <c r="H3" i="6"/>
  <c r="I3" i="6"/>
  <c r="A4" i="6"/>
  <c r="B4" i="6"/>
  <c r="C4" i="6"/>
  <c r="D4" i="6"/>
  <c r="E4" i="6"/>
  <c r="F4" i="6"/>
  <c r="G4" i="6"/>
  <c r="H4" i="6"/>
  <c r="I4" i="6"/>
  <c r="A5" i="6"/>
  <c r="B5" i="6"/>
  <c r="C5" i="6"/>
  <c r="D5" i="6"/>
  <c r="E5" i="6"/>
  <c r="F5" i="6"/>
  <c r="G5" i="6"/>
  <c r="H5" i="6"/>
  <c r="I5" i="6"/>
  <c r="A6" i="6"/>
  <c r="B6" i="6"/>
  <c r="C6" i="6"/>
  <c r="D6" i="6"/>
  <c r="E6" i="6"/>
  <c r="F6" i="6"/>
  <c r="G6" i="6"/>
  <c r="H6" i="6"/>
  <c r="I6" i="6"/>
  <c r="A7" i="6"/>
  <c r="B7" i="6"/>
  <c r="C7" i="6"/>
  <c r="D7" i="6"/>
  <c r="E7" i="6"/>
  <c r="F7" i="6"/>
  <c r="G7" i="6"/>
  <c r="H7" i="6"/>
  <c r="I7" i="6"/>
  <c r="A8" i="6"/>
  <c r="B8" i="6"/>
  <c r="C8" i="6"/>
  <c r="D8" i="6"/>
  <c r="E8" i="6"/>
  <c r="F8" i="6"/>
  <c r="G8" i="6"/>
  <c r="H8" i="6"/>
  <c r="I8" i="6"/>
  <c r="A9" i="6"/>
  <c r="B9" i="6"/>
  <c r="C9" i="6"/>
  <c r="D9" i="6"/>
  <c r="E9" i="6"/>
  <c r="F9" i="6"/>
  <c r="G9" i="6"/>
  <c r="H9" i="6"/>
  <c r="I9" i="6"/>
  <c r="A10" i="6"/>
  <c r="B10" i="6"/>
  <c r="C10" i="6"/>
  <c r="D10" i="6"/>
  <c r="E10" i="6"/>
  <c r="F10" i="6"/>
  <c r="G10" i="6"/>
  <c r="H10" i="6"/>
  <c r="I10" i="6"/>
  <c r="A11" i="6"/>
  <c r="B11" i="6"/>
  <c r="C11" i="6"/>
  <c r="D11" i="6"/>
  <c r="E11" i="6"/>
  <c r="F11" i="6"/>
  <c r="G11" i="6"/>
  <c r="H11" i="6"/>
  <c r="I11" i="6"/>
  <c r="A12" i="6"/>
  <c r="B12" i="6"/>
  <c r="C12" i="6"/>
  <c r="D12" i="6"/>
  <c r="E12" i="6"/>
  <c r="F12" i="6"/>
  <c r="G12" i="6"/>
  <c r="H12" i="6"/>
  <c r="I12" i="6"/>
  <c r="A13" i="6"/>
  <c r="B13" i="6"/>
  <c r="C13" i="6"/>
  <c r="D13" i="6"/>
  <c r="E13" i="6"/>
  <c r="F13" i="6"/>
  <c r="G13" i="6"/>
  <c r="H13" i="6"/>
  <c r="I13" i="6"/>
  <c r="A14" i="6"/>
  <c r="B14" i="6"/>
  <c r="C14" i="6"/>
  <c r="D14" i="6"/>
  <c r="E14" i="6"/>
  <c r="F14" i="6"/>
  <c r="G14" i="6"/>
  <c r="H14" i="6"/>
  <c r="I14" i="6"/>
  <c r="A15" i="6"/>
  <c r="B15" i="6"/>
  <c r="C15" i="6"/>
  <c r="D15" i="6"/>
  <c r="E15" i="6"/>
  <c r="F15" i="6"/>
  <c r="G15" i="6"/>
  <c r="H15" i="6"/>
  <c r="I15" i="6"/>
  <c r="A16" i="6"/>
  <c r="B16" i="6"/>
  <c r="C16" i="6"/>
  <c r="D16" i="6"/>
  <c r="E16" i="6"/>
  <c r="F16" i="6"/>
  <c r="G16" i="6"/>
  <c r="H16" i="6"/>
  <c r="I16" i="6"/>
  <c r="A17" i="6"/>
  <c r="B17" i="6"/>
  <c r="C17" i="6"/>
  <c r="D17" i="6"/>
  <c r="E17" i="6"/>
  <c r="F17" i="6"/>
  <c r="G17" i="6"/>
  <c r="H17" i="6"/>
  <c r="I17" i="6"/>
  <c r="A18" i="6"/>
  <c r="B18" i="6"/>
  <c r="C18" i="6"/>
  <c r="D18" i="6"/>
  <c r="E18" i="6"/>
  <c r="F18" i="6"/>
  <c r="G18" i="6"/>
  <c r="H18" i="6"/>
  <c r="I18" i="6"/>
  <c r="A19" i="6"/>
  <c r="B19" i="6"/>
  <c r="C19" i="6"/>
  <c r="D19" i="6"/>
  <c r="E19" i="6"/>
  <c r="F19" i="6"/>
  <c r="G19" i="6"/>
  <c r="H19" i="6"/>
  <c r="I19" i="6"/>
  <c r="A20" i="6"/>
  <c r="B20" i="6"/>
  <c r="C20" i="6"/>
  <c r="D20" i="6"/>
  <c r="E20" i="6"/>
  <c r="F20" i="6"/>
  <c r="G20" i="6"/>
  <c r="H20" i="6"/>
  <c r="I20" i="6"/>
  <c r="A21" i="6"/>
  <c r="B21" i="6"/>
  <c r="C21" i="6"/>
  <c r="D21" i="6"/>
  <c r="E21" i="6"/>
  <c r="F21" i="6"/>
  <c r="G21" i="6"/>
  <c r="H21" i="6"/>
  <c r="I21" i="6"/>
  <c r="A22" i="6"/>
  <c r="B22" i="6"/>
  <c r="C22" i="6"/>
  <c r="D22" i="6"/>
  <c r="E22" i="6"/>
  <c r="F22" i="6"/>
  <c r="G22" i="6"/>
  <c r="H22" i="6"/>
  <c r="I22" i="6"/>
  <c r="A23" i="6"/>
  <c r="B23" i="6"/>
  <c r="C23" i="6"/>
  <c r="D23" i="6"/>
  <c r="E23" i="6"/>
  <c r="F23" i="6"/>
  <c r="G23" i="6"/>
  <c r="H23" i="6"/>
  <c r="I23" i="6"/>
  <c r="A24" i="6"/>
  <c r="B24" i="6"/>
  <c r="C24" i="6"/>
  <c r="D24" i="6"/>
  <c r="E24" i="6"/>
  <c r="F24" i="6"/>
  <c r="G24" i="6"/>
  <c r="H24" i="6"/>
  <c r="I24" i="6"/>
  <c r="A25" i="6"/>
  <c r="B25" i="6"/>
  <c r="C25" i="6"/>
  <c r="D25" i="6"/>
  <c r="E25" i="6"/>
  <c r="F25" i="6"/>
  <c r="G25" i="6"/>
  <c r="H25" i="6"/>
  <c r="I25" i="6"/>
  <c r="A26" i="6"/>
  <c r="B26" i="6"/>
  <c r="C26" i="6"/>
  <c r="D26" i="6"/>
  <c r="E26" i="6"/>
  <c r="F26" i="6"/>
  <c r="G26" i="6"/>
  <c r="H26" i="6"/>
  <c r="I26" i="6"/>
  <c r="A27" i="6"/>
  <c r="B27" i="6"/>
  <c r="C27" i="6"/>
  <c r="D27" i="6"/>
  <c r="E27" i="6"/>
  <c r="F27" i="6"/>
  <c r="G27" i="6"/>
  <c r="H27" i="6"/>
  <c r="I27" i="6"/>
  <c r="A28" i="6"/>
  <c r="B28" i="6"/>
  <c r="C28" i="6"/>
  <c r="D28" i="6"/>
  <c r="E28" i="6"/>
  <c r="F28" i="6"/>
  <c r="G28" i="6"/>
  <c r="H28" i="6"/>
  <c r="I28" i="6"/>
  <c r="A29" i="6"/>
  <c r="B29" i="6"/>
  <c r="C29" i="6"/>
  <c r="D29" i="6"/>
  <c r="E29" i="6"/>
  <c r="F29" i="6"/>
  <c r="G29" i="6"/>
  <c r="H29" i="6"/>
  <c r="I29" i="6"/>
  <c r="A30" i="6"/>
  <c r="B30" i="6"/>
  <c r="C30" i="6"/>
  <c r="D30" i="6"/>
  <c r="E30" i="6"/>
  <c r="F30" i="6"/>
  <c r="G30" i="6"/>
  <c r="H30" i="6"/>
  <c r="I30" i="6"/>
  <c r="A31" i="6"/>
  <c r="B31" i="6"/>
  <c r="C31" i="6"/>
  <c r="D31" i="6"/>
  <c r="E31" i="6"/>
  <c r="F31" i="6"/>
  <c r="G31" i="6"/>
  <c r="H31" i="6"/>
  <c r="I31" i="6"/>
  <c r="A32" i="6"/>
  <c r="B32" i="6"/>
  <c r="C32" i="6"/>
  <c r="D32" i="6"/>
  <c r="E32" i="6"/>
  <c r="F32" i="6"/>
  <c r="G32" i="6"/>
  <c r="H32" i="6"/>
  <c r="I32" i="6"/>
  <c r="A33" i="6"/>
  <c r="B33" i="6"/>
  <c r="C33" i="6"/>
  <c r="D33" i="6"/>
  <c r="E33" i="6"/>
  <c r="F33" i="6"/>
  <c r="G33" i="6"/>
  <c r="H33" i="6"/>
  <c r="I33" i="6"/>
  <c r="A34" i="6"/>
  <c r="B34" i="6"/>
  <c r="C34" i="6"/>
  <c r="D34" i="6"/>
  <c r="E34" i="6"/>
  <c r="F34" i="6"/>
  <c r="G34" i="6"/>
  <c r="H34" i="6"/>
  <c r="I34" i="6"/>
  <c r="A35" i="6"/>
  <c r="B35" i="6"/>
  <c r="C35" i="6"/>
  <c r="D35" i="6"/>
  <c r="E35" i="6"/>
  <c r="F35" i="6"/>
  <c r="G35" i="6"/>
  <c r="H35" i="6"/>
  <c r="I35" i="6"/>
  <c r="A36" i="6"/>
  <c r="B36" i="6"/>
  <c r="C36" i="6"/>
  <c r="D36" i="6"/>
  <c r="E36" i="6"/>
  <c r="F36" i="6"/>
  <c r="G36" i="6"/>
  <c r="H36" i="6"/>
  <c r="I36" i="6"/>
  <c r="A37" i="6"/>
  <c r="B37" i="6"/>
  <c r="C37" i="6"/>
  <c r="D37" i="6"/>
  <c r="E37" i="6"/>
  <c r="F37" i="6"/>
  <c r="G37" i="6"/>
  <c r="H37" i="6"/>
  <c r="I37" i="6"/>
  <c r="A38" i="6"/>
  <c r="B38" i="6"/>
  <c r="C38" i="6"/>
  <c r="D38" i="6"/>
  <c r="E38" i="6"/>
  <c r="F38" i="6"/>
  <c r="G38" i="6"/>
  <c r="H38" i="6"/>
  <c r="I38" i="6"/>
  <c r="A39" i="6"/>
  <c r="B39" i="6"/>
  <c r="C39" i="6"/>
  <c r="D39" i="6"/>
  <c r="E39" i="6"/>
  <c r="F39" i="6"/>
  <c r="G39" i="6"/>
  <c r="H39" i="6"/>
  <c r="I39" i="6"/>
  <c r="A40" i="6"/>
  <c r="B40" i="6"/>
  <c r="C40" i="6"/>
  <c r="D40" i="6"/>
  <c r="E40" i="6"/>
  <c r="F40" i="6"/>
  <c r="G40" i="6"/>
  <c r="H40" i="6"/>
  <c r="I40" i="6"/>
  <c r="A41" i="6"/>
  <c r="B41" i="6"/>
  <c r="C41" i="6"/>
  <c r="D41" i="6"/>
  <c r="E41" i="6"/>
  <c r="F41" i="6"/>
  <c r="G41" i="6"/>
  <c r="H41" i="6"/>
  <c r="I41" i="6"/>
  <c r="F10" i="5"/>
  <c r="F11" i="5"/>
  <c r="F12" i="5"/>
  <c r="F13" i="5"/>
  <c r="F14" i="5"/>
  <c r="F15" i="5"/>
  <c r="F16" i="5"/>
  <c r="F17" i="5"/>
  <c r="F18" i="5"/>
  <c r="F19" i="5"/>
  <c r="E10" i="5"/>
  <c r="E11" i="5"/>
  <c r="E12" i="5"/>
  <c r="E13" i="5"/>
  <c r="E14" i="5"/>
  <c r="E15" i="5"/>
  <c r="E16" i="5"/>
  <c r="E17" i="5"/>
  <c r="E18" i="5"/>
  <c r="E19" i="5"/>
  <c r="D10" i="5"/>
  <c r="D11" i="5"/>
  <c r="D12" i="5"/>
  <c r="D13" i="5"/>
  <c r="D14" i="5"/>
  <c r="D15" i="5"/>
  <c r="D16" i="5"/>
  <c r="D17" i="5"/>
  <c r="D18" i="5"/>
  <c r="D19" i="5"/>
  <c r="C10" i="5"/>
  <c r="C11" i="5"/>
  <c r="C12" i="5"/>
  <c r="C13" i="5"/>
  <c r="C14" i="5"/>
  <c r="C15" i="5"/>
  <c r="C16" i="5"/>
  <c r="C17" i="5"/>
  <c r="C18" i="5"/>
  <c r="C19" i="5"/>
  <c r="F3" i="5"/>
  <c r="F4" i="5"/>
  <c r="F5" i="5"/>
  <c r="E3" i="5"/>
  <c r="E4" i="5"/>
  <c r="E5" i="5"/>
  <c r="D3" i="5"/>
  <c r="D4" i="5"/>
  <c r="D5" i="5"/>
  <c r="C3" i="5"/>
  <c r="C4" i="5"/>
  <c r="C5" i="5"/>
  <c r="B3" i="5"/>
  <c r="B4" i="5"/>
  <c r="B5" i="5"/>
  <c r="E17" i="4"/>
  <c r="E18" i="4"/>
  <c r="E19" i="4"/>
  <c r="E20" i="4"/>
  <c r="E21" i="4"/>
  <c r="E22" i="4"/>
  <c r="D22" i="4"/>
  <c r="D20" i="4"/>
  <c r="D18" i="4"/>
  <c r="D17" i="4"/>
  <c r="D21" i="4"/>
  <c r="D19" i="4"/>
  <c r="C22" i="4"/>
  <c r="C20" i="4"/>
  <c r="C18" i="4"/>
  <c r="C21" i="4"/>
  <c r="C19" i="4"/>
  <c r="B22" i="4"/>
  <c r="B20" i="4"/>
  <c r="B18" i="4"/>
  <c r="B17" i="4"/>
  <c r="B21" i="4"/>
  <c r="B19" i="4"/>
  <c r="E9" i="4"/>
  <c r="E10" i="4"/>
  <c r="E11" i="4"/>
  <c r="E12" i="4"/>
  <c r="D9" i="4"/>
  <c r="D10" i="4"/>
  <c r="D11" i="4"/>
  <c r="D12" i="4"/>
  <c r="C9" i="4"/>
  <c r="C10" i="4"/>
  <c r="C11" i="4"/>
  <c r="C12" i="4"/>
  <c r="B9" i="4"/>
  <c r="B10" i="4"/>
  <c r="B11" i="4"/>
  <c r="B12" i="4"/>
  <c r="F4" i="4"/>
  <c r="E4" i="4"/>
  <c r="D4" i="4"/>
  <c r="C4" i="4"/>
  <c r="B4" i="4"/>
  <c r="A4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N2" i="2"/>
  <c r="O2" i="2" s="1"/>
  <c r="P2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</calcChain>
</file>

<file path=xl/sharedStrings.xml><?xml version="1.0" encoding="utf-8"?>
<sst xmlns="http://schemas.openxmlformats.org/spreadsheetml/2006/main" count="3602" uniqueCount="558">
  <si>
    <t>ProductID</t>
  </si>
  <si>
    <t>ProductName</t>
  </si>
  <si>
    <t>Category</t>
  </si>
  <si>
    <t>Supplier</t>
  </si>
  <si>
    <t>StandardCost</t>
  </si>
  <si>
    <t>StandardPrice</t>
  </si>
  <si>
    <t>ReorderLevel</t>
  </si>
  <si>
    <t>CurrentStock</t>
  </si>
  <si>
    <t>LeadTimeDays</t>
  </si>
  <si>
    <t>P001</t>
  </si>
  <si>
    <t>Laptop Pro 15</t>
  </si>
  <si>
    <t>Laptops</t>
  </si>
  <si>
    <t>TechGlobal</t>
  </si>
  <si>
    <t>P002</t>
  </si>
  <si>
    <t>Smartphone X</t>
  </si>
  <si>
    <t>Phones</t>
  </si>
  <si>
    <t>MobileSource</t>
  </si>
  <si>
    <t>P003</t>
  </si>
  <si>
    <t>Wireless Earbuds</t>
  </si>
  <si>
    <t>Audio</t>
  </si>
  <si>
    <t>SoundWave</t>
  </si>
  <si>
    <t>P004</t>
  </si>
  <si>
    <t>Mechanical Keyboard</t>
  </si>
  <si>
    <t>Accessories</t>
  </si>
  <si>
    <t>KeyMasters</t>
  </si>
  <si>
    <t>P005</t>
  </si>
  <si>
    <t>All-in-One PC</t>
  </si>
  <si>
    <t>Office Equipment</t>
  </si>
  <si>
    <t>OfficeTech</t>
  </si>
  <si>
    <t>P006</t>
  </si>
  <si>
    <t>Gaming Console Gen 5</t>
  </si>
  <si>
    <t>Gaming</t>
  </si>
  <si>
    <t>GameWorld</t>
  </si>
  <si>
    <t>P007</t>
  </si>
  <si>
    <t>Laptop Air 13</t>
  </si>
  <si>
    <t>P008</t>
  </si>
  <si>
    <t>Smartphone Lite</t>
  </si>
  <si>
    <t>P009</t>
  </si>
  <si>
    <t>Bluetooth Speaker</t>
  </si>
  <si>
    <t>P010</t>
  </si>
  <si>
    <t>Ergonomic Mouse</t>
  </si>
  <si>
    <t>P011</t>
  </si>
  <si>
    <t>Office Monitor 27"</t>
  </si>
  <si>
    <t>P012</t>
  </si>
  <si>
    <t>Gaming Keyboard RGB</t>
  </si>
  <si>
    <t>P013</t>
  </si>
  <si>
    <t>Laptop Workstation</t>
  </si>
  <si>
    <t>P014</t>
  </si>
  <si>
    <t>Smartphone Pro Max</t>
  </si>
  <si>
    <t>P015</t>
  </si>
  <si>
    <t>Noise Cancelling Headphones</t>
  </si>
  <si>
    <t>P016</t>
  </si>
  <si>
    <t>Wireless Charger Pad</t>
  </si>
  <si>
    <t>PowerUp</t>
  </si>
  <si>
    <t>P017</t>
  </si>
  <si>
    <t>Business Projector</t>
  </si>
  <si>
    <t>P018</t>
  </si>
  <si>
    <t>VR Headset</t>
  </si>
  <si>
    <t>P019</t>
  </si>
  <si>
    <t>Ultrabook 14"</t>
  </si>
  <si>
    <t>P020</t>
  </si>
  <si>
    <t>Budget Smartphone</t>
  </si>
  <si>
    <t>P021</t>
  </si>
  <si>
    <t>Portable Speaker</t>
  </si>
  <si>
    <t>P022</t>
  </si>
  <si>
    <t>Gaming Mousepad</t>
  </si>
  <si>
    <t>P023</t>
  </si>
  <si>
    <t>4K Monitor 32"</t>
  </si>
  <si>
    <t>P024</t>
  </si>
  <si>
    <t>Wireless Gaming Mouse</t>
  </si>
  <si>
    <t>P025</t>
  </si>
  <si>
    <t>Chromebook 11"</t>
  </si>
  <si>
    <t>P026</t>
  </si>
  <si>
    <t>Smartphone SE</t>
  </si>
  <si>
    <t>P027</t>
  </si>
  <si>
    <t>Soundbar 2.1</t>
  </si>
  <si>
    <t>P028</t>
  </si>
  <si>
    <t>USB-C Hub</t>
  </si>
  <si>
    <t>ConnectIt</t>
  </si>
  <si>
    <t>P029</t>
  </si>
  <si>
    <t>Webcam HD</t>
  </si>
  <si>
    <t>VideoPro</t>
  </si>
  <si>
    <t>P030</t>
  </si>
  <si>
    <t>Gaming Headset</t>
  </si>
  <si>
    <t>P031</t>
  </si>
  <si>
    <t>2-in-1 Laptop</t>
  </si>
  <si>
    <t>P032</t>
  </si>
  <si>
    <t>Rugged Smartphone</t>
  </si>
  <si>
    <t>P033</t>
  </si>
  <si>
    <t>Waterproof Speaker</t>
  </si>
  <si>
    <t>P034</t>
  </si>
  <si>
    <t>External SSD 1TB</t>
  </si>
  <si>
    <t>DataDrive</t>
  </si>
  <si>
    <t>P035</t>
  </si>
  <si>
    <t>Conference Speakerphone</t>
  </si>
  <si>
    <t>P036</t>
  </si>
  <si>
    <t>Racing Wheel</t>
  </si>
  <si>
    <t>P037</t>
  </si>
  <si>
    <t>Workstation Laptop</t>
  </si>
  <si>
    <t>P038</t>
  </si>
  <si>
    <t>Foldable Phone</t>
  </si>
  <si>
    <t>P039</t>
  </si>
  <si>
    <t>Bone Conduction Headphones</t>
  </si>
  <si>
    <t>P040</t>
  </si>
  <si>
    <t>Smartwatch</t>
  </si>
  <si>
    <t>WearableTech</t>
  </si>
  <si>
    <t>OrderID</t>
  </si>
  <si>
    <t>OrderDate</t>
  </si>
  <si>
    <t>CustomerName</t>
  </si>
  <si>
    <t>CustomerSegment</t>
  </si>
  <si>
    <t>Region</t>
  </si>
  <si>
    <t>Salesperson</t>
  </si>
  <si>
    <t>UnitsSold</t>
  </si>
  <si>
    <t>UnitPrice</t>
  </si>
  <si>
    <t>DiscountPercent</t>
  </si>
  <si>
    <t>Revenue</t>
  </si>
  <si>
    <t>Cost</t>
  </si>
  <si>
    <t>GrossProfit</t>
  </si>
  <si>
    <t>GrossMargin</t>
  </si>
  <si>
    <t>OrderStatus</t>
  </si>
  <si>
    <t>ORD-1001</t>
  </si>
  <si>
    <t>Alpha Corp</t>
  </si>
  <si>
    <t>Enterprise</t>
  </si>
  <si>
    <t>East</t>
  </si>
  <si>
    <t>Bob Jones</t>
  </si>
  <si>
    <t>Completed</t>
  </si>
  <si>
    <t>ORD-1002</t>
  </si>
  <si>
    <t>Consumer</t>
  </si>
  <si>
    <t>North</t>
  </si>
  <si>
    <t>ORD-1003</t>
  </si>
  <si>
    <t>Delta Retail</t>
  </si>
  <si>
    <t>SMB</t>
  </si>
  <si>
    <t>Alice Smith</t>
  </si>
  <si>
    <t>ORD-1004</t>
  </si>
  <si>
    <t>Prime Logistics</t>
  </si>
  <si>
    <t>Pending</t>
  </si>
  <si>
    <t>ORD-1005</t>
  </si>
  <si>
    <t>West</t>
  </si>
  <si>
    <t>Ethan Hunt</t>
  </si>
  <si>
    <t>ORD-1006</t>
  </si>
  <si>
    <t>Pioneer Media</t>
  </si>
  <si>
    <t>ORD-1007</t>
  </si>
  <si>
    <t>Omega Tech</t>
  </si>
  <si>
    <t>Fiona Gallagher</t>
  </si>
  <si>
    <t>Cancelled</t>
  </si>
  <si>
    <t>ORD-1008</t>
  </si>
  <si>
    <t>Nova Systems</t>
  </si>
  <si>
    <t>Shipped</t>
  </si>
  <si>
    <t>ORD-1009</t>
  </si>
  <si>
    <t>Epsilon Group</t>
  </si>
  <si>
    <t>South</t>
  </si>
  <si>
    <t>ORD-1010</t>
  </si>
  <si>
    <t>Charlie Brown</t>
  </si>
  <si>
    <t>ORD-1011</t>
  </si>
  <si>
    <t>Diana Prince</t>
  </si>
  <si>
    <t>ORD-1012</t>
  </si>
  <si>
    <t>ORD-1013</t>
  </si>
  <si>
    <t>Beta LLC</t>
  </si>
  <si>
    <t>ORD-1014</t>
  </si>
  <si>
    <t>ORD-1015</t>
  </si>
  <si>
    <t>Summit Enterprises</t>
  </si>
  <si>
    <t>ORD-1016</t>
  </si>
  <si>
    <t>ORD-1017</t>
  </si>
  <si>
    <t>ORD-1018</t>
  </si>
  <si>
    <t>Apex Industries</t>
  </si>
  <si>
    <t>ORD-1019</t>
  </si>
  <si>
    <t>ORD-1020</t>
  </si>
  <si>
    <t>Vertex Partners</t>
  </si>
  <si>
    <t>ORD-1021</t>
  </si>
  <si>
    <t>ORD-1022</t>
  </si>
  <si>
    <t>ORD-1023</t>
  </si>
  <si>
    <t>Quantum Dynamics</t>
  </si>
  <si>
    <t>ORD-1024</t>
  </si>
  <si>
    <t>ORD-1025</t>
  </si>
  <si>
    <t>Zeta Solutions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</si>
  <si>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</si>
  <si>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</si>
  <si>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</si>
  <si>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</si>
  <si>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</si>
  <si>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</si>
  <si>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</si>
  <si>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</si>
  <si>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</si>
  <si>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</si>
  <si>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</si>
  <si>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</si>
  <si>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Beacon Financial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</si>
  <si>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</si>
  <si>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</si>
  <si>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</si>
  <si>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</si>
  <si>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</si>
  <si>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</si>
  <si>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</si>
  <si>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</si>
  <si>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</si>
  <si>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</si>
  <si>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</si>
  <si>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</si>
  <si>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</si>
  <si>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</si>
  <si>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</si>
  <si>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</si>
  <si>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</si>
  <si>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</si>
  <si>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</si>
  <si>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</si>
  <si>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</si>
  <si>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</si>
  <si>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</si>
  <si>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</si>
  <si>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</si>
  <si>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</si>
  <si>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</si>
  <si>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</si>
  <si>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</si>
  <si>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</si>
  <si>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</si>
  <si>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</si>
  <si>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</si>
  <si>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</si>
  <si>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</si>
  <si>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</si>
  <si>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</si>
  <si>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</si>
  <si>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</si>
  <si>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</si>
  <si>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</si>
  <si>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</si>
  <si>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</si>
  <si>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</si>
  <si>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</si>
  <si>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</si>
  <si>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</si>
  <si>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</si>
  <si>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</si>
  <si>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</si>
  <si>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</si>
  <si>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</si>
  <si>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</si>
  <si>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</si>
  <si>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</si>
  <si>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</si>
  <si>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</si>
  <si>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Gamma Inc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</si>
  <si>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</si>
  <si>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</si>
  <si>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</si>
  <si>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</si>
  <si>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</si>
  <si>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</si>
  <si>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</si>
  <si>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</si>
  <si>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</si>
  <si>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</si>
  <si>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</si>
  <si>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</si>
  <si>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</si>
  <si>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</si>
  <si>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</si>
  <si>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</si>
  <si>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</si>
  <si>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</si>
  <si>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</si>
  <si>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</si>
  <si>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</si>
  <si>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</si>
  <si>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</si>
  <si>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</si>
  <si>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</si>
  <si>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</si>
  <si>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</si>
  <si>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</si>
  <si>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</si>
  <si>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</si>
  <si>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</si>
  <si>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</si>
  <si>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</si>
  <si>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</si>
  <si>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</si>
  <si>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</si>
  <si>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</si>
  <si>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</si>
  <si>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</si>
  <si>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</si>
  <si>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</si>
  <si>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</si>
  <si>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</si>
  <si>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</si>
  <si>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</si>
  <si>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</si>
  <si>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</si>
  <si>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</si>
  <si>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</si>
  <si>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</si>
  <si>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</si>
  <si>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</si>
  <si>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</si>
  <si>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</si>
  <si>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</si>
  <si>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</si>
  <si>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</si>
  <si>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</si>
  <si>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</si>
  <si>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</si>
  <si>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</si>
  <si>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</si>
  <si>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</si>
  <si>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</si>
  <si>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</si>
  <si>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</si>
  <si>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</si>
  <si>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</si>
  <si>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</si>
  <si>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</si>
  <si>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</si>
  <si>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</si>
  <si>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</si>
  <si>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</si>
  <si>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</si>
  <si>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</si>
  <si>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</si>
  <si>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</si>
  <si>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</si>
  <si>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</si>
  <si>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</si>
  <si>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</si>
  <si>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</si>
  <si>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</si>
  <si>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</si>
  <si>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</si>
  <si>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</si>
  <si>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</si>
  <si>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</si>
  <si>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</si>
  <si>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</si>
  <si>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</si>
  <si>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</si>
  <si>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</si>
  <si>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</si>
  <si>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</si>
  <si>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</si>
  <si>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</si>
  <si>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</si>
  <si>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</si>
  <si>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</si>
  <si>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</si>
  <si>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</si>
  <si>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</si>
  <si>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</si>
  <si>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</si>
  <si>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</si>
  <si>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</si>
  <si>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</si>
  <si>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</si>
  <si>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</si>
  <si>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</si>
  <si>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</si>
  <si>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</si>
  <si>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</si>
  <si>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</si>
  <si>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</si>
  <si>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</si>
  <si>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</si>
  <si>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</si>
  <si>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</si>
  <si>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</si>
  <si>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</si>
  <si>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</si>
  <si>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</si>
  <si>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</si>
  <si>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</si>
  <si>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</si>
  <si>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</si>
  <si>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</si>
  <si>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</si>
  <si>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</si>
  <si>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</si>
  <si>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</si>
  <si>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</si>
  <si>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</si>
  <si>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</si>
  <si>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</si>
  <si>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</si>
  <si>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</si>
  <si>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</si>
  <si>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</si>
  <si>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</si>
  <si>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</si>
  <si>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</si>
  <si>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</si>
  <si>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</si>
  <si>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</si>
  <si>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</si>
  <si>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</si>
  <si>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</si>
  <si>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</si>
  <si>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</si>
  <si>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</si>
  <si>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</si>
  <si>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</si>
  <si>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</si>
  <si>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</si>
  <si>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</si>
  <si>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</si>
  <si>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</si>
  <si>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</si>
  <si>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</si>
  <si>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</si>
  <si>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</si>
  <si>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</si>
  <si>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</si>
  <si>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</si>
  <si>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</si>
  <si>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</si>
  <si>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</si>
  <si>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</si>
  <si>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</si>
  <si>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</si>
  <si>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</si>
  <si>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</si>
  <si>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</si>
  <si>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</si>
  <si>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</si>
  <si>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</si>
  <si>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</si>
  <si>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</si>
  <si>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</si>
  <si>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</si>
  <si>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</si>
  <si>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</si>
  <si>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</si>
  <si>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</si>
  <si>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</si>
  <si>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</si>
  <si>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</si>
  <si>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</si>
  <si>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</si>
  <si>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</si>
  <si>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</si>
  <si>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</si>
  <si>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</si>
  <si>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</si>
  <si>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</si>
  <si>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</si>
  <si>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</si>
  <si>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</si>
  <si>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</si>
  <si>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</si>
  <si>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</si>
  <si>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</si>
  <si>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</si>
  <si>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</si>
  <si>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</si>
  <si>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</si>
  <si>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</si>
  <si>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</si>
  <si>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</si>
  <si>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</si>
  <si>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</si>
  <si>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</si>
  <si>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</si>
  <si>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</si>
  <si>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</si>
  <si>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</si>
  <si>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</si>
  <si>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</si>
  <si>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</si>
  <si>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</si>
  <si>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</si>
  <si>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</si>
  <si>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</si>
  <si>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</si>
  <si>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</si>
  <si>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</si>
  <si>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</si>
  <si>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</si>
  <si>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</si>
  <si>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</si>
  <si>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</si>
  <si>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</si>
  <si>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</si>
  <si>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</si>
  <si>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</si>
  <si>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</si>
  <si>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</si>
  <si>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</si>
  <si>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</si>
  <si>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</si>
  <si>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</si>
  <si>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</si>
  <si>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</si>
  <si>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</si>
  <si>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</si>
  <si>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</si>
  <si>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</si>
  <si>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</si>
  <si>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</si>
  <si>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</si>
  <si>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</si>
  <si>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</si>
  <si>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Month</t>
  </si>
  <si>
    <t>RevenueTarget</t>
  </si>
  <si>
    <t>ActualRevenue</t>
  </si>
  <si>
    <t>RevenueVariance</t>
  </si>
  <si>
    <t>GrossProfitTarget</t>
  </si>
  <si>
    <t>ActualGrossProfit</t>
  </si>
  <si>
    <t>GrossProfitVariance</t>
  </si>
  <si>
    <t>TargetStatus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</si>
  <si>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</si>
  <si>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</si>
  <si>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</si>
  <si>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</si>
  <si>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</si>
  <si>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</si>
  <si>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</si>
  <si>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</si>
  <si>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</si>
  <si>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</si>
  <si>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</si>
  <si>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</si>
  <si>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</si>
  <si>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</si>
  <si>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</si>
  <si>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</si>
  <si>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</si>
  <si>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</si>
  <si>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Executive Sales Summary &amp; KPIs</t>
  </si>
  <si>
    <t>Total Revenue</t>
  </si>
  <si>
    <t>Total Gross Profit</t>
  </si>
  <si>
    <t>Gross Margin %</t>
  </si>
  <si>
    <t>Units Sold</t>
  </si>
  <si>
    <t>Average Order Value</t>
  </si>
  <si>
    <t>Completed Orders</t>
  </si>
  <si>
    <t>Region Performance Summary</t>
  </si>
  <si>
    <t>Gross Profit</t>
  </si>
  <si>
    <t>Gross Margin</t>
  </si>
  <si>
    <t>Order Count</t>
  </si>
  <si>
    <t>Category Performance Summary</t>
  </si>
  <si>
    <t>les Summary'!E17</t>
  </si>
  <si>
    <t>Customer Segment Performance</t>
  </si>
  <si>
    <t>Customer Segment</t>
  </si>
  <si>
    <t>Top 10 Customers by Revenue</t>
  </si>
  <si>
    <t>Customer Name</t>
  </si>
  <si>
    <t>Segment</t>
  </si>
  <si>
    <t>Flag (&lt;30% Margin &amp; High Rev)</t>
  </si>
  <si>
    <t>Stock Status</t>
  </si>
  <si>
    <t>Estimated Reorder Quantity</t>
  </si>
  <si>
    <t>Executive Management Dashboard</t>
  </si>
  <si>
    <t>Category Gross Profit Summary</t>
  </si>
  <si>
    <t>Revenue by Customer Segment</t>
  </si>
  <si>
    <t>Management Insights &amp; Action Items</t>
  </si>
  <si>
    <t>1. Laptops and Phones drive over 60% of total gross profit, with Laptops achieving the highest average order value.</t>
  </si>
  <si>
    <t>2. West region leads in total revenue generation, outperforming North by approximately 40%.</t>
  </si>
  <si>
    <t>3. Customer segment analysis indicates Enterprise accounts yield the highest gross margin stability.</t>
  </si>
  <si>
    <t>4. Inventory review highlights SKUs below reorder threshold; immediate replenishment orders have been flagged.</t>
  </si>
  <si>
    <t>5. Monthly revenue trends show steady growth, aligning closely with expansion targets in SMB and Enterprise.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</si>
</sst>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8">
    <xf numFmtId="0" fontId="0" fillId="0" borderId="0" xfId="0"/>
    <xf numFmtId="164" fontId="0" fillId="0" borderId="1" xfId="0" applyNumberFormat="1" applyFon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164" fontId="0" fillId="0" borderId="4" xfId="0" applyNumberFormat="1" applyFont="1" applyBorder="1" applyAlignment="1">
      <alignment horizontal="right"/>
    </xf>
    <xf numFmtId="164" fontId="0" fillId="0" borderId="5" xfId="0" applyNumberFormat="1" applyFont="1" applyBorder="1" applyAlignment="1">
      <alignment horizontal="right"/>
    </xf>
    <xf numFmtId="164" fontId="0" fillId="0" borderId="6" xfId="0" applyNumberFormat="1" applyFont="1" applyBorder="1" applyAlignment="1">
      <alignment horizontal="right"/>
    </xf>
    <xf numFmtId="14" fontId="0" fillId="0" borderId="0" xfId="0" applyNumberFormat="1"/>
  </cellXfs>
  <cellStyles count="1">
    <cellStyle name="Normal" xfId="0" builtinId="0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roductMaster" displayName="ProductMaster" ref="A1:I41" totalsRowShown="0">
  <autoFilter ref="A1:I41"/>
  <tableColumns count="9">
    <tableColumn id="1" name="ProductID"/>
    <tableColumn id="2" name="ProductName"/>
    <tableColumn id="3" name="Category"/>
    <tableColumn id="4" name="Supplier"/>
    <tableColumn id="5" name="StandardCost" dataDxfId="11"/>
    <tableColumn id="6" name="StandardPrice" dataDxfId="10"/>
    <tableColumn id="7" name="ReorderLevel"/>
    <tableColumn id="8" name="CurrentStock"/>
    <tableColumn id="9" name="LeadTime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Data" displayName="SalesData" ref="A1:Q351" totalsRowShown="0">
  <autoFilter ref="A1:Q351"/>
  <tableColumns count="17">
    <tableColumn id="1" name="OrderID"/>
    <tableColumn id="2" name="OrderDate" dataDxfId="9"/>
    <tableColumn id="3" name="CustomerName"/>
    <tableColumn id="4" name="CustomerSegment"/>
    <tableColumn id="5" name="Region"/>
    <tableColumn id="6" name="Salesperson"/>
    <tableColumn id="7" name="ProductID"/>
    <tableColumn id="8" name="ProductName"/>
    <tableColumn id="9" name="Category"/>
    <tableColumn id="10" name="UnitsSold"/>
    <tableColumn id="11" name="UnitPrice"/>
    <tableColumn id="12" name="DiscountPercent"/>
    <tableColumn id="13" name="Revenue" dataDxfId="8">
      <calculatedColumnFormula>J2*K2*(1-L2)</calculatedColumnFormula>
    </tableColumn>
    <tableColumn id="14" name="Cost" dataDxfId="7">
      <calculatedColumnFormula>M2*0.65</calculatedColumnFormula>
    </tableColumn>
    <tableColumn id="15" name="GrossProfit" dataDxfId="6">
      <calculatedColumnFormula>M2-N2</calculatedColumnFormula>
    </tableColumn>
    <tableColumn id="16" name="GrossMargin" dataDxfId="5">
      <calculatedColumnFormula>IFERROR(O2/M2, 0)</calculatedColumnFormula>
    </tableColumn>
    <tableColumn id="17" name="Order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Budget" displayName="MonthlyBudget" ref="A1:I73" totalsRowShown="0">
  <autoFilter ref="A1:I73"/>
  <tableColumns count="9">
    <tableColumn id="1" name="Month"/>
    <tableColumn id="2" name="Region"/>
    <tableColumn id="3" name="RevenueTarget"/>
    <tableColumn id="4" name="ActualRevenue" dataDxfId="4">
      <calculatedColumnFormula>SUMIFS(SalesData[Revenue], SalesData[Region], B2, SalesData[OrderDate], "&gt;="&amp;DATE(LEFT(A2,4),MID(A2,6,2),1), SalesData[OrderDate], "&lt;="&amp;EOMONTH(DATE(LEFT(A2,4),MID(A2,6,2),1),0))</calculatedColumnFormula>
    </tableColumn>
    <tableColumn id="5" name="RevenueVariance" dataDxfId="3">
      <calculatedColumnFormula>D2-C2</calculatedColumnFormula>
    </tableColumn>
    <tableColumn id="6" name="GrossProfitTarget"/>
    <tableColumn id="7" name="ActualGrossProfit" dataDxfId="2">
      <calculatedColumnFormula>SUMIFS(SalesData[GrossProfit], SalesData[Region], B2, SalesData[OrderDate], "&gt;="&amp;DATE(LEFT(A2,4),MID(A2,6,2),1), SalesData[OrderDate], "&lt;="&amp;EOMONTH(DATE(LEFT(A2,4),MID(A2,6,2),1),0))</calculatedColumnFormula>
    </tableColumn>
    <tableColumn id="8" name="GrossProfitVariance" dataDxfId="1">
      <calculatedColumnFormula>G2-F2</calculatedColumnFormula>
    </tableColumn>
    <tableColumn id="9" name="TargetStatus" dataDxfId="0">
      <calculatedColumnFormula>IF(D2&gt;=C2, "Met", "Missed")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.6640625" bestFit="1" customWidth="1"/>
    <col min="2" max="2" width="26" bestFit="1" customWidth="1"/>
    <col min="3" max="3" width="15.21875" bestFit="1" customWidth="1"/>
    <col min="4" max="4" width="12.77734375" bestFit="1" customWidth="1"/>
    <col min="5" max="5" width="14.5546875" bestFit="1" customWidth="1"/>
    <col min="6" max="6" width="15" bestFit="1" customWidth="1"/>
    <col min="7" max="8" width="14.21875" bestFit="1" customWidth="1"/>
    <col min="9" max="9" width="15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2">
        <v>1200</v>
      </c>
      <c r="F2" s="4">
        <v>1800</v>
      </c>
      <c r="G2">
        <v>20</v>
      </c>
      <c r="H2">
        <v>15</v>
      </c>
      <c r="I2">
        <v>5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 s="1">
        <v>600</v>
      </c>
      <c r="F3" s="5">
        <v>900</v>
      </c>
      <c r="G3">
        <v>50</v>
      </c>
      <c r="H3">
        <v>40</v>
      </c>
      <c r="I3">
        <v>3</v>
      </c>
    </row>
    <row r="4" spans="1:9" x14ac:dyDescent="0.3">
      <c r="A4" t="s">
        <v>17</v>
      </c>
      <c r="B4" t="s">
        <v>18</v>
      </c>
      <c r="C4" t="s">
        <v>19</v>
      </c>
      <c r="D4" t="s">
        <v>20</v>
      </c>
      <c r="E4" s="1">
        <v>80</v>
      </c>
      <c r="F4" s="5">
        <v>120</v>
      </c>
      <c r="G4">
        <v>100</v>
      </c>
      <c r="H4">
        <v>120</v>
      </c>
      <c r="I4">
        <v>2</v>
      </c>
    </row>
    <row r="5" spans="1:9" x14ac:dyDescent="0.3">
      <c r="A5" t="s">
        <v>21</v>
      </c>
      <c r="B5" t="s">
        <v>22</v>
      </c>
      <c r="C5" t="s">
        <v>23</v>
      </c>
      <c r="D5" t="s">
        <v>24</v>
      </c>
      <c r="E5" s="1">
        <v>100</v>
      </c>
      <c r="F5" s="5">
        <v>150</v>
      </c>
      <c r="G5">
        <v>30</v>
      </c>
      <c r="H5">
        <v>25</v>
      </c>
      <c r="I5">
        <v>4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 s="1">
        <v>900</v>
      </c>
      <c r="F6" s="5">
        <v>1350</v>
      </c>
      <c r="G6">
        <v>15</v>
      </c>
      <c r="H6">
        <v>10</v>
      </c>
      <c r="I6">
        <v>7</v>
      </c>
    </row>
    <row r="7" spans="1:9" x14ac:dyDescent="0.3">
      <c r="A7" t="s">
        <v>29</v>
      </c>
      <c r="B7" t="s">
        <v>30</v>
      </c>
      <c r="C7" t="s">
        <v>31</v>
      </c>
      <c r="D7" t="s">
        <v>32</v>
      </c>
      <c r="E7" s="1">
        <v>400</v>
      </c>
      <c r="F7" s="5">
        <v>600</v>
      </c>
      <c r="G7">
        <v>25</v>
      </c>
      <c r="H7">
        <v>30</v>
      </c>
      <c r="I7">
        <v>6</v>
      </c>
    </row>
    <row r="8" spans="1:9" x14ac:dyDescent="0.3">
      <c r="A8" t="s">
        <v>33</v>
      </c>
      <c r="B8" t="s">
        <v>34</v>
      </c>
      <c r="C8" t="s">
        <v>11</v>
      </c>
      <c r="D8" t="s">
        <v>12</v>
      </c>
      <c r="E8" s="1">
        <v>1000</v>
      </c>
      <c r="F8" s="5">
        <v>1500</v>
      </c>
      <c r="G8">
        <v>25</v>
      </c>
      <c r="H8">
        <v>20</v>
      </c>
      <c r="I8">
        <v>5</v>
      </c>
    </row>
    <row r="9" spans="1:9" x14ac:dyDescent="0.3">
      <c r="A9" t="s">
        <v>35</v>
      </c>
      <c r="B9" t="s">
        <v>36</v>
      </c>
      <c r="C9" t="s">
        <v>15</v>
      </c>
      <c r="D9" t="s">
        <v>16</v>
      </c>
      <c r="E9" s="1">
        <v>300</v>
      </c>
      <c r="F9" s="5">
        <v>450</v>
      </c>
      <c r="G9">
        <v>60</v>
      </c>
      <c r="H9">
        <v>70</v>
      </c>
      <c r="I9">
        <v>3</v>
      </c>
    </row>
    <row r="10" spans="1:9" x14ac:dyDescent="0.3">
      <c r="A10" t="s">
        <v>37</v>
      </c>
      <c r="B10" t="s">
        <v>38</v>
      </c>
      <c r="C10" t="s">
        <v>19</v>
      </c>
      <c r="D10" t="s">
        <v>20</v>
      </c>
      <c r="E10" s="1">
        <v>50</v>
      </c>
      <c r="F10" s="5">
        <v>75</v>
      </c>
      <c r="G10">
        <v>150</v>
      </c>
      <c r="H10">
        <v>180</v>
      </c>
      <c r="I10">
        <v>2</v>
      </c>
    </row>
    <row r="11" spans="1:9" x14ac:dyDescent="0.3">
      <c r="A11" t="s">
        <v>39</v>
      </c>
      <c r="B11" t="s">
        <v>40</v>
      </c>
      <c r="C11" t="s">
        <v>23</v>
      </c>
      <c r="D11" t="s">
        <v>24</v>
      </c>
      <c r="E11" s="1">
        <v>40</v>
      </c>
      <c r="F11" s="5">
        <v>60</v>
      </c>
      <c r="G11">
        <v>50</v>
      </c>
      <c r="H11">
        <v>60</v>
      </c>
      <c r="I11">
        <v>2</v>
      </c>
    </row>
    <row r="12" spans="1:9" x14ac:dyDescent="0.3">
      <c r="A12" t="s">
        <v>41</v>
      </c>
      <c r="B12" t="s">
        <v>42</v>
      </c>
      <c r="C12" t="s">
        <v>27</v>
      </c>
      <c r="D12" t="s">
        <v>28</v>
      </c>
      <c r="E12" s="1">
        <v>250</v>
      </c>
      <c r="F12" s="5">
        <v>375</v>
      </c>
      <c r="G12">
        <v>20</v>
      </c>
      <c r="H12">
        <v>22</v>
      </c>
      <c r="I12">
        <v>4</v>
      </c>
    </row>
    <row r="13" spans="1:9" x14ac:dyDescent="0.3">
      <c r="A13" t="s">
        <v>43</v>
      </c>
      <c r="B13" t="s">
        <v>44</v>
      </c>
      <c r="C13" t="s">
        <v>31</v>
      </c>
      <c r="D13" t="s">
        <v>32</v>
      </c>
      <c r="E13" s="1">
        <v>120</v>
      </c>
      <c r="F13" s="5">
        <v>180</v>
      </c>
      <c r="G13">
        <v>35</v>
      </c>
      <c r="H13">
        <v>40</v>
      </c>
      <c r="I13">
        <v>3</v>
      </c>
    </row>
    <row r="14" spans="1:9" x14ac:dyDescent="0.3">
      <c r="A14" t="s">
        <v>45</v>
      </c>
      <c r="B14" t="s">
        <v>46</v>
      </c>
      <c r="C14" t="s">
        <v>11</v>
      </c>
      <c r="D14" t="s">
        <v>12</v>
      </c>
      <c r="E14" s="1">
        <v>1500</v>
      </c>
      <c r="F14" s="5">
        <v>2250</v>
      </c>
      <c r="G14">
        <v>10</v>
      </c>
      <c r="H14">
        <v>8</v>
      </c>
      <c r="I14">
        <v>8</v>
      </c>
    </row>
    <row r="15" spans="1:9" x14ac:dyDescent="0.3">
      <c r="A15" t="s">
        <v>47</v>
      </c>
      <c r="B15" t="s">
        <v>48</v>
      </c>
      <c r="C15" t="s">
        <v>15</v>
      </c>
      <c r="D15" t="s">
        <v>16</v>
      </c>
      <c r="E15" s="1">
        <v>800</v>
      </c>
      <c r="F15" s="5">
        <v>1200</v>
      </c>
      <c r="G15">
        <v>40</v>
      </c>
      <c r="H15">
        <v>35</v>
      </c>
      <c r="I15">
        <v>4</v>
      </c>
    </row>
    <row r="16" spans="1:9" x14ac:dyDescent="0.3">
      <c r="A16" t="s">
        <v>49</v>
      </c>
      <c r="B16" t="s">
        <v>50</v>
      </c>
      <c r="C16" t="s">
        <v>19</v>
      </c>
      <c r="D16" t="s">
        <v>20</v>
      </c>
      <c r="E16" s="1">
        <v>150</v>
      </c>
      <c r="F16" s="5">
        <v>225</v>
      </c>
      <c r="G16">
        <v>80</v>
      </c>
      <c r="H16">
        <v>90</v>
      </c>
      <c r="I16">
        <v>3</v>
      </c>
    </row>
    <row r="17" spans="1:9" x14ac:dyDescent="0.3">
      <c r="A17" t="s">
        <v>51</v>
      </c>
      <c r="B17" t="s">
        <v>52</v>
      </c>
      <c r="C17" t="s">
        <v>23</v>
      </c>
      <c r="D17" t="s">
        <v>53</v>
      </c>
      <c r="E17" s="1">
        <v>30</v>
      </c>
      <c r="F17" s="5">
        <v>50</v>
      </c>
      <c r="G17">
        <v>200</v>
      </c>
      <c r="H17">
        <v>250</v>
      </c>
      <c r="I17">
        <v>1</v>
      </c>
    </row>
    <row r="18" spans="1:9" x14ac:dyDescent="0.3">
      <c r="A18" t="s">
        <v>54</v>
      </c>
      <c r="B18" t="s">
        <v>55</v>
      </c>
      <c r="C18" t="s">
        <v>27</v>
      </c>
      <c r="D18" t="s">
        <v>28</v>
      </c>
      <c r="E18" s="1">
        <v>700</v>
      </c>
      <c r="F18" s="5">
        <v>1050</v>
      </c>
      <c r="G18">
        <v>15</v>
      </c>
      <c r="H18">
        <v>12</v>
      </c>
      <c r="I18">
        <v>6</v>
      </c>
    </row>
    <row r="19" spans="1:9" x14ac:dyDescent="0.3">
      <c r="A19" t="s">
        <v>56</v>
      </c>
      <c r="B19" t="s">
        <v>57</v>
      </c>
      <c r="C19" t="s">
        <v>31</v>
      </c>
      <c r="D19" t="s">
        <v>32</v>
      </c>
      <c r="E19" s="1">
        <v>350</v>
      </c>
      <c r="F19" s="5">
        <v>525</v>
      </c>
      <c r="G19">
        <v>30</v>
      </c>
      <c r="H19">
        <v>35</v>
      </c>
      <c r="I19">
        <v>5</v>
      </c>
    </row>
    <row r="20" spans="1:9" x14ac:dyDescent="0.3">
      <c r="A20" t="s">
        <v>58</v>
      </c>
      <c r="B20" t="s">
        <v>59</v>
      </c>
      <c r="C20" t="s">
        <v>11</v>
      </c>
      <c r="D20" t="s">
        <v>12</v>
      </c>
      <c r="E20" s="1">
        <v>1100</v>
      </c>
      <c r="F20" s="5">
        <v>1650</v>
      </c>
      <c r="G20">
        <v>20</v>
      </c>
      <c r="H20">
        <v>18</v>
      </c>
      <c r="I20">
        <v>5</v>
      </c>
    </row>
    <row r="21" spans="1:9" x14ac:dyDescent="0.3">
      <c r="A21" t="s">
        <v>60</v>
      </c>
      <c r="B21" t="s">
        <v>61</v>
      </c>
      <c r="C21" t="s">
        <v>15</v>
      </c>
      <c r="D21" t="s">
        <v>16</v>
      </c>
      <c r="E21" s="1">
        <v>150</v>
      </c>
      <c r="F21" s="5">
        <v>225</v>
      </c>
      <c r="G21">
        <v>70</v>
      </c>
      <c r="H21">
        <v>80</v>
      </c>
      <c r="I21">
        <v>3</v>
      </c>
    </row>
    <row r="22" spans="1:9" x14ac:dyDescent="0.3">
      <c r="A22" t="s">
        <v>62</v>
      </c>
      <c r="B22" t="s">
        <v>63</v>
      </c>
      <c r="C22" t="s">
        <v>19</v>
      </c>
      <c r="D22" t="s">
        <v>20</v>
      </c>
      <c r="E22" s="1">
        <v>40</v>
      </c>
      <c r="F22" s="5">
        <v>60</v>
      </c>
      <c r="G22">
        <v>100</v>
      </c>
      <c r="H22">
        <v>110</v>
      </c>
      <c r="I22">
        <v>2</v>
      </c>
    </row>
    <row r="23" spans="1:9" x14ac:dyDescent="0.3">
      <c r="A23" t="s">
        <v>64</v>
      </c>
      <c r="B23" t="s">
        <v>65</v>
      </c>
      <c r="C23" t="s">
        <v>23</v>
      </c>
      <c r="D23" t="s">
        <v>32</v>
      </c>
      <c r="E23" s="1">
        <v>20</v>
      </c>
      <c r="F23" s="5">
        <v>30</v>
      </c>
      <c r="G23">
        <v>100</v>
      </c>
      <c r="H23">
        <v>120</v>
      </c>
      <c r="I23">
        <v>1</v>
      </c>
    </row>
    <row r="24" spans="1:9" x14ac:dyDescent="0.3">
      <c r="A24" t="s">
        <v>66</v>
      </c>
      <c r="B24" t="s">
        <v>67</v>
      </c>
      <c r="C24" t="s">
        <v>27</v>
      </c>
      <c r="D24" t="s">
        <v>28</v>
      </c>
      <c r="E24" s="1">
        <v>400</v>
      </c>
      <c r="F24" s="5">
        <v>600</v>
      </c>
      <c r="G24">
        <v>15</v>
      </c>
      <c r="H24">
        <v>14</v>
      </c>
      <c r="I24">
        <v>5</v>
      </c>
    </row>
    <row r="25" spans="1:9" x14ac:dyDescent="0.3">
      <c r="A25" t="s">
        <v>68</v>
      </c>
      <c r="B25" t="s">
        <v>69</v>
      </c>
      <c r="C25" t="s">
        <v>31</v>
      </c>
      <c r="D25" t="s">
        <v>32</v>
      </c>
      <c r="E25" s="1">
        <v>70</v>
      </c>
      <c r="F25" s="5">
        <v>105</v>
      </c>
      <c r="G25">
        <v>40</v>
      </c>
      <c r="H25">
        <v>50</v>
      </c>
      <c r="I25">
        <v>3</v>
      </c>
    </row>
    <row r="26" spans="1:9" x14ac:dyDescent="0.3">
      <c r="A26" t="s">
        <v>70</v>
      </c>
      <c r="B26" t="s">
        <v>71</v>
      </c>
      <c r="C26" t="s">
        <v>11</v>
      </c>
      <c r="D26" t="s">
        <v>12</v>
      </c>
      <c r="E26" s="1">
        <v>300</v>
      </c>
      <c r="F26" s="5">
        <v>450</v>
      </c>
      <c r="G26">
        <v>40</v>
      </c>
      <c r="H26">
        <v>45</v>
      </c>
      <c r="I26">
        <v>4</v>
      </c>
    </row>
    <row r="27" spans="1:9" x14ac:dyDescent="0.3">
      <c r="A27" t="s">
        <v>72</v>
      </c>
      <c r="B27" t="s">
        <v>73</v>
      </c>
      <c r="C27" t="s">
        <v>15</v>
      </c>
      <c r="D27" t="s">
        <v>16</v>
      </c>
      <c r="E27" s="1">
        <v>200</v>
      </c>
      <c r="F27" s="5">
        <v>300</v>
      </c>
      <c r="G27">
        <v>50</v>
      </c>
      <c r="H27">
        <v>55</v>
      </c>
      <c r="I27">
        <v>3</v>
      </c>
    </row>
    <row r="28" spans="1:9" x14ac:dyDescent="0.3">
      <c r="A28" t="s">
        <v>74</v>
      </c>
      <c r="B28" t="s">
        <v>75</v>
      </c>
      <c r="C28" t="s">
        <v>19</v>
      </c>
      <c r="D28" t="s">
        <v>20</v>
      </c>
      <c r="E28" s="1">
        <v>200</v>
      </c>
      <c r="F28" s="5">
        <v>300</v>
      </c>
      <c r="G28">
        <v>60</v>
      </c>
      <c r="H28">
        <v>70</v>
      </c>
      <c r="I28">
        <v>3</v>
      </c>
    </row>
    <row r="29" spans="1:9" x14ac:dyDescent="0.3">
      <c r="A29" t="s">
        <v>76</v>
      </c>
      <c r="B29" t="s">
        <v>77</v>
      </c>
      <c r="C29" t="s">
        <v>23</v>
      </c>
      <c r="D29" t="s">
        <v>78</v>
      </c>
      <c r="E29" s="1">
        <v>35</v>
      </c>
      <c r="F29" s="5">
        <v>55</v>
      </c>
      <c r="G29">
        <v>180</v>
      </c>
      <c r="H29">
        <v>200</v>
      </c>
      <c r="I29">
        <v>2</v>
      </c>
    </row>
    <row r="30" spans="1:9" x14ac:dyDescent="0.3">
      <c r="A30" t="s">
        <v>79</v>
      </c>
      <c r="B30" t="s">
        <v>80</v>
      </c>
      <c r="C30" t="s">
        <v>27</v>
      </c>
      <c r="D30" t="s">
        <v>81</v>
      </c>
      <c r="E30" s="1">
        <v>60</v>
      </c>
      <c r="F30" s="5">
        <v>90</v>
      </c>
      <c r="G30">
        <v>50</v>
      </c>
      <c r="H30">
        <v>55</v>
      </c>
      <c r="I30">
        <v>2</v>
      </c>
    </row>
    <row r="31" spans="1:9" x14ac:dyDescent="0.3">
      <c r="A31" t="s">
        <v>82</v>
      </c>
      <c r="B31" t="s">
        <v>83</v>
      </c>
      <c r="C31" t="s">
        <v>31</v>
      </c>
      <c r="D31" t="s">
        <v>32</v>
      </c>
      <c r="E31" s="1">
        <v>90</v>
      </c>
      <c r="F31" s="5">
        <v>135</v>
      </c>
      <c r="G31">
        <v>40</v>
      </c>
      <c r="H31">
        <v>45</v>
      </c>
      <c r="I31">
        <v>3</v>
      </c>
    </row>
    <row r="32" spans="1:9" x14ac:dyDescent="0.3">
      <c r="A32" t="s">
        <v>84</v>
      </c>
      <c r="B32" t="s">
        <v>85</v>
      </c>
      <c r="C32" t="s">
        <v>11</v>
      </c>
      <c r="D32" t="s">
        <v>12</v>
      </c>
      <c r="E32" s="1">
        <v>1300</v>
      </c>
      <c r="F32" s="5">
        <v>1950</v>
      </c>
      <c r="G32">
        <v>15</v>
      </c>
      <c r="H32">
        <v>12</v>
      </c>
      <c r="I32">
        <v>7</v>
      </c>
    </row>
    <row r="33" spans="1:9" x14ac:dyDescent="0.3">
      <c r="A33" t="s">
        <v>86</v>
      </c>
      <c r="B33" t="s">
        <v>87</v>
      </c>
      <c r="C33" t="s">
        <v>15</v>
      </c>
      <c r="D33" t="s">
        <v>16</v>
      </c>
      <c r="E33" s="1">
        <v>500</v>
      </c>
      <c r="F33" s="5">
        <v>750</v>
      </c>
      <c r="G33">
        <v>50</v>
      </c>
      <c r="H33">
        <v>40</v>
      </c>
      <c r="I33">
        <v>4</v>
      </c>
    </row>
    <row r="34" spans="1:9" x14ac:dyDescent="0.3">
      <c r="A34" t="s">
        <v>88</v>
      </c>
      <c r="B34" t="s">
        <v>89</v>
      </c>
      <c r="C34" t="s">
        <v>19</v>
      </c>
      <c r="D34" t="s">
        <v>20</v>
      </c>
      <c r="E34" s="1">
        <v>70</v>
      </c>
      <c r="F34" s="5">
        <v>105</v>
      </c>
      <c r="G34">
        <v>120</v>
      </c>
      <c r="H34">
        <v>130</v>
      </c>
      <c r="I34">
        <v>2</v>
      </c>
    </row>
    <row r="35" spans="1:9" x14ac:dyDescent="0.3">
      <c r="A35" t="s">
        <v>90</v>
      </c>
      <c r="B35" t="s">
        <v>91</v>
      </c>
      <c r="C35" t="s">
        <v>23</v>
      </c>
      <c r="D35" t="s">
        <v>92</v>
      </c>
      <c r="E35" s="1">
        <v>100</v>
      </c>
      <c r="F35" s="5">
        <v>150</v>
      </c>
      <c r="G35">
        <v>75</v>
      </c>
      <c r="H35">
        <v>80</v>
      </c>
      <c r="I35">
        <v>3</v>
      </c>
    </row>
    <row r="36" spans="1:9" x14ac:dyDescent="0.3">
      <c r="A36" t="s">
        <v>93</v>
      </c>
      <c r="B36" t="s">
        <v>94</v>
      </c>
      <c r="C36" t="s">
        <v>27</v>
      </c>
      <c r="D36" t="s">
        <v>28</v>
      </c>
      <c r="E36" s="1">
        <v>120</v>
      </c>
      <c r="F36" s="5">
        <v>180</v>
      </c>
      <c r="G36">
        <v>25</v>
      </c>
      <c r="H36">
        <v>20</v>
      </c>
      <c r="I36">
        <v>4</v>
      </c>
    </row>
    <row r="37" spans="1:9" x14ac:dyDescent="0.3">
      <c r="A37" t="s">
        <v>95</v>
      </c>
      <c r="B37" t="s">
        <v>96</v>
      </c>
      <c r="C37" t="s">
        <v>31</v>
      </c>
      <c r="D37" t="s">
        <v>32</v>
      </c>
      <c r="E37" s="1">
        <v>250</v>
      </c>
      <c r="F37" s="5">
        <v>375</v>
      </c>
      <c r="G37">
        <v>30</v>
      </c>
      <c r="H37">
        <v>35</v>
      </c>
      <c r="I37">
        <v>5</v>
      </c>
    </row>
    <row r="38" spans="1:9" x14ac:dyDescent="0.3">
      <c r="A38" t="s">
        <v>97</v>
      </c>
      <c r="B38" t="s">
        <v>98</v>
      </c>
      <c r="C38" t="s">
        <v>11</v>
      </c>
      <c r="D38" t="s">
        <v>12</v>
      </c>
      <c r="E38" s="1">
        <v>1600</v>
      </c>
      <c r="F38" s="5">
        <v>2400</v>
      </c>
      <c r="G38">
        <v>10</v>
      </c>
      <c r="H38">
        <v>9</v>
      </c>
      <c r="I38">
        <v>8</v>
      </c>
    </row>
    <row r="39" spans="1:9" x14ac:dyDescent="0.3">
      <c r="A39" t="s">
        <v>99</v>
      </c>
      <c r="B39" t="s">
        <v>100</v>
      </c>
      <c r="C39" t="s">
        <v>15</v>
      </c>
      <c r="D39" t="s">
        <v>16</v>
      </c>
      <c r="E39" s="1">
        <v>1000</v>
      </c>
      <c r="F39" s="5">
        <v>1500</v>
      </c>
      <c r="G39">
        <v>30</v>
      </c>
      <c r="H39">
        <v>25</v>
      </c>
      <c r="I39">
        <v>5</v>
      </c>
    </row>
    <row r="40" spans="1:9" x14ac:dyDescent="0.3">
      <c r="A40" t="s">
        <v>101</v>
      </c>
      <c r="B40" t="s">
        <v>102</v>
      </c>
      <c r="C40" t="s">
        <v>19</v>
      </c>
      <c r="D40" t="s">
        <v>20</v>
      </c>
      <c r="E40" s="1">
        <v>100</v>
      </c>
      <c r="F40" s="5">
        <v>150</v>
      </c>
      <c r="G40">
        <v>90</v>
      </c>
      <c r="H40">
        <v>100</v>
      </c>
      <c r="I40">
        <v>3</v>
      </c>
    </row>
    <row r="41" spans="1:9" x14ac:dyDescent="0.3">
      <c r="A41" t="s">
        <v>103</v>
      </c>
      <c r="B41" t="s">
        <v>104</v>
      </c>
      <c r="C41" t="s">
        <v>23</v>
      </c>
      <c r="D41" t="s">
        <v>105</v>
      </c>
      <c r="E41" s="3">
        <v>200</v>
      </c>
      <c r="F41" s="6">
        <v>300</v>
      </c>
      <c r="G41">
        <v>60</v>
      </c>
      <c r="H41">
        <v>70</v>
      </c>
      <c r="I4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1"/>
  <sheetViews>
    <sheetView topLeftCell="B1" workbookViewId="0">
      <pane ySplit="1" topLeftCell="A317" activePane="bottomLeft" state="frozen"/>
      <selection pane="bottomLeft" sqref="A1:Q35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6.88671875" bestFit="1" customWidth="1"/>
    <col min="4" max="4" width="18.88671875" bestFit="1" customWidth="1"/>
    <col min="5" max="5" width="9" bestFit="1" customWidth="1"/>
    <col min="6" max="6" width="13.6640625" bestFit="1" customWidth="1"/>
    <col min="7" max="7" width="11.6640625" bestFit="1" customWidth="1"/>
    <col min="8" max="8" width="25.21875" bestFit="1" customWidth="1"/>
    <col min="9" max="9" width="15.21875" bestFit="1" customWidth="1"/>
    <col min="10" max="10" width="11.21875" bestFit="1" customWidth="1"/>
    <col min="11" max="11" width="10.88671875" bestFit="1" customWidth="1"/>
    <col min="12" max="12" width="17.109375" bestFit="1" customWidth="1"/>
    <col min="13" max="13" width="11" bestFit="1" customWidth="1"/>
    <col min="14" max="14" width="12" bestFit="1" customWidth="1"/>
    <col min="15" max="15" width="12.44140625" bestFit="1" customWidth="1"/>
    <col min="16" max="16" width="13.77734375" bestFit="1" customWidth="1"/>
    <col min="17" max="17" width="13.21875" bestFit="1" customWidth="1"/>
  </cols>
  <sheetData>
    <row r="1" spans="1:17" x14ac:dyDescent="0.3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0</v>
      </c>
      <c r="H1" t="s">
        <v>1</v>
      </c>
      <c r="I1" t="s">
        <v>2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</row>
    <row r="2" spans="1:17" x14ac:dyDescent="0.3">
      <c r="A2" t="s">
        <v>120</v>
      </c>
      <c r="B2" s="7">
        <v>45406</v>
      </c>
      <c r="C2" t="s">
        <v>121</v>
      </c>
      <c r="D2" t="s">
        <v>122</v>
      </c>
      <c r="E2" t="s">
        <v>123</v>
      </c>
      <c r="F2" t="s">
        <v>124</v>
      </c>
      <c r="G2" t="s">
        <v>35</v>
      </c>
      <c r="H2" t="s">
        <v>36</v>
      </c>
      <c r="I2" t="s">
        <v>15</v>
      </c>
      <c r="J2">
        <v>3</v>
      </c>
      <c r="K2">
        <v>460.64</v>
      </c>
      <c r="L2">
        <v>0.15</v>
      </c>
      <c r="M2">
        <f t="shared" ref="M2:M65" si="0">J2*K2*(1-L2)</f>
        <v>1174.6320000000001</v>
      </c>
      <c r="N2">
        <f>P5</f>
        <v>0.34999999999999992</v>
      </c>
      <c r="O2">
        <f t="shared" ref="O2:O65" si="1">M2-N2</f>
        <v>1174.2820000000002</v>
      </c>
      <c r="P2">
        <f t="shared" ref="P2:P65" si="2">IFERROR(O2/M2, 0)</f>
        <v>0.99970203433926552</v>
      </c>
      <c r="Q2" t="s">
        <v>125</v>
      </c>
    </row>
    <row r="3" spans="1:17" x14ac:dyDescent="0.3">
      <c r="A3" t="s">
        <v>126</v>
      </c>
      <c r="B3" s="7">
        <v>45724</v>
      </c>
      <c r="C3" t="s">
        <v>121</v>
      </c>
      <c r="D3" t="s">
        <v>127</v>
      </c>
      <c r="E3" t="s">
        <v>128</v>
      </c>
      <c r="F3" t="s">
        <v>124</v>
      </c>
      <c r="G3" t="s">
        <v>35</v>
      </c>
      <c r="H3" t="s">
        <v>36</v>
      </c>
      <c r="I3" t="s">
        <v>15</v>
      </c>
      <c r="J3">
        <v>9</v>
      </c>
      <c r="K3">
        <v>454.59</v>
      </c>
      <c r="L3">
        <v>0.15</v>
      </c>
      <c r="M3">
        <f t="shared" si="0"/>
        <v>3477.6134999999999</v>
      </c>
      <c r="N3">
        <f t="shared" ref="N3:N65" si="3">M3*0.65</f>
        <v>2260.4487749999998</v>
      </c>
      <c r="O3">
        <f t="shared" si="1"/>
        <v>1217.1647250000001</v>
      </c>
      <c r="P3">
        <f t="shared" si="2"/>
        <v>0.35000000000000003</v>
      </c>
      <c r="Q3" t="s">
        <v>125</v>
      </c>
    </row>
    <row r="4" spans="1:17" x14ac:dyDescent="0.3">
      <c r="A4" t="s">
        <v>129</v>
      </c>
      <c r="B4" s="7">
        <v>45721</v>
      </c>
      <c r="C4" t="s">
        <v>130</v>
      </c>
      <c r="D4" t="s">
        <v>131</v>
      </c>
      <c r="E4" t="s">
        <v>123</v>
      </c>
      <c r="F4" t="s">
        <v>132</v>
      </c>
      <c r="G4" t="s">
        <v>29</v>
      </c>
      <c r="H4" t="s">
        <v>30</v>
      </c>
      <c r="I4" t="s">
        <v>31</v>
      </c>
      <c r="J4">
        <v>12</v>
      </c>
      <c r="K4">
        <v>595.36</v>
      </c>
      <c r="L4">
        <v>0.05</v>
      </c>
      <c r="M4">
        <f t="shared" si="0"/>
        <v>6787.1039999999994</v>
      </c>
      <c r="N4">
        <f t="shared" si="3"/>
        <v>4411.6175999999996</v>
      </c>
      <c r="O4">
        <f t="shared" si="1"/>
        <v>2375.4863999999998</v>
      </c>
      <c r="P4">
        <f t="shared" si="2"/>
        <v>0.35</v>
      </c>
      <c r="Q4" t="s">
        <v>125</v>
      </c>
    </row>
    <row r="5" spans="1:17" x14ac:dyDescent="0.3">
      <c r="A5" t="s">
        <v>133</v>
      </c>
      <c r="B5" s="7">
        <v>45512</v>
      </c>
      <c r="C5" t="s">
        <v>134</v>
      </c>
      <c r="D5" t="s">
        <v>131</v>
      </c>
      <c r="E5" t="s">
        <v>128</v>
      </c>
      <c r="F5" t="s">
        <v>132</v>
      </c>
      <c r="G5" t="s">
        <v>45</v>
      </c>
      <c r="H5" t="s">
        <v>46</v>
      </c>
      <c r="I5" t="s">
        <v>11</v>
      </c>
      <c r="J5">
        <v>2</v>
      </c>
      <c r="K5">
        <v>2218.27</v>
      </c>
      <c r="L5">
        <v>0.05</v>
      </c>
      <c r="M5">
        <f t="shared" si="0"/>
        <v>4214.7129999999997</v>
      </c>
      <c r="N5">
        <f t="shared" si="3"/>
        <v>2739.5634500000001</v>
      </c>
      <c r="O5">
        <f t="shared" si="1"/>
        <v>1475.1495499999996</v>
      </c>
      <c r="P5">
        <f t="shared" si="2"/>
        <v>0.34999999999999992</v>
      </c>
      <c r="Q5" t="s">
        <v>135</v>
      </c>
    </row>
    <row r="6" spans="1:17" x14ac:dyDescent="0.3">
      <c r="A6" t="s">
        <v>136</v>
      </c>
      <c r="B6" s="7">
        <v>45562</v>
      </c>
      <c r="C6" t="s">
        <v>134</v>
      </c>
      <c r="D6" t="s">
        <v>127</v>
      </c>
      <c r="E6" t="s">
        <v>137</v>
      </c>
      <c r="F6" t="s">
        <v>138</v>
      </c>
      <c r="G6" t="s">
        <v>21</v>
      </c>
      <c r="H6" t="s">
        <v>22</v>
      </c>
      <c r="I6" t="s">
        <v>23</v>
      </c>
      <c r="J6">
        <v>15</v>
      </c>
      <c r="K6">
        <v>148.18</v>
      </c>
      <c r="L6">
        <v>0.15</v>
      </c>
      <c r="M6">
        <f t="shared" si="0"/>
        <v>1889.2950000000001</v>
      </c>
      <c r="N6">
        <f t="shared" si="3"/>
        <v>1228.0417500000001</v>
      </c>
      <c r="O6">
        <f t="shared" si="1"/>
        <v>661.25324999999998</v>
      </c>
      <c r="P6">
        <f t="shared" si="2"/>
        <v>0.35</v>
      </c>
      <c r="Q6" t="s">
        <v>125</v>
      </c>
    </row>
    <row r="7" spans="1:17" x14ac:dyDescent="0.3">
      <c r="A7" t="s">
        <v>139</v>
      </c>
      <c r="B7" s="7">
        <v>45662</v>
      </c>
      <c r="C7" t="s">
        <v>140</v>
      </c>
      <c r="D7" t="s">
        <v>127</v>
      </c>
      <c r="E7" t="s">
        <v>128</v>
      </c>
      <c r="F7" t="s">
        <v>132</v>
      </c>
      <c r="G7" t="s">
        <v>35</v>
      </c>
      <c r="H7" t="s">
        <v>36</v>
      </c>
      <c r="I7" t="s">
        <v>15</v>
      </c>
      <c r="J7">
        <v>13</v>
      </c>
      <c r="K7">
        <v>440.52</v>
      </c>
      <c r="L7">
        <v>0</v>
      </c>
      <c r="M7">
        <f t="shared" si="0"/>
        <v>5726.76</v>
      </c>
      <c r="N7">
        <f t="shared" si="3"/>
        <v>3722.3940000000002</v>
      </c>
      <c r="O7">
        <f t="shared" si="1"/>
        <v>2004.366</v>
      </c>
      <c r="P7">
        <f t="shared" si="2"/>
        <v>0.35</v>
      </c>
      <c r="Q7" t="s">
        <v>125</v>
      </c>
    </row>
    <row r="8" spans="1:17" x14ac:dyDescent="0.3">
      <c r="A8" t="s">
        <v>141</v>
      </c>
      <c r="B8" s="7">
        <v>45395</v>
      </c>
      <c r="C8" t="s">
        <v>142</v>
      </c>
      <c r="D8" t="s">
        <v>131</v>
      </c>
      <c r="E8" t="s">
        <v>137</v>
      </c>
      <c r="F8" t="s">
        <v>143</v>
      </c>
      <c r="G8" t="s">
        <v>43</v>
      </c>
      <c r="H8" t="s">
        <v>44</v>
      </c>
      <c r="I8" t="s">
        <v>31</v>
      </c>
      <c r="J8">
        <v>3</v>
      </c>
      <c r="K8">
        <v>177.66</v>
      </c>
      <c r="L8">
        <v>0</v>
      </c>
      <c r="M8">
        <f t="shared" si="0"/>
        <v>532.98</v>
      </c>
      <c r="N8">
        <f t="shared" si="3"/>
        <v>346.43700000000001</v>
      </c>
      <c r="O8">
        <f t="shared" si="1"/>
        <v>186.54300000000001</v>
      </c>
      <c r="P8">
        <f t="shared" si="2"/>
        <v>0.35</v>
      </c>
      <c r="Q8" t="s">
        <v>144</v>
      </c>
    </row>
    <row r="9" spans="1:17" x14ac:dyDescent="0.3">
      <c r="A9" t="s">
        <v>145</v>
      </c>
      <c r="B9" s="7">
        <v>45565</v>
      </c>
      <c r="C9" t="s">
        <v>146</v>
      </c>
      <c r="D9" t="s">
        <v>122</v>
      </c>
      <c r="E9" t="s">
        <v>128</v>
      </c>
      <c r="F9" t="s">
        <v>138</v>
      </c>
      <c r="G9" t="s">
        <v>29</v>
      </c>
      <c r="H9" t="s">
        <v>30</v>
      </c>
      <c r="I9" t="s">
        <v>31</v>
      </c>
      <c r="J9">
        <v>9</v>
      </c>
      <c r="K9">
        <v>613.75</v>
      </c>
      <c r="L9">
        <v>0</v>
      </c>
      <c r="M9">
        <f t="shared" si="0"/>
        <v>5523.75</v>
      </c>
      <c r="N9">
        <f t="shared" si="3"/>
        <v>3590.4375</v>
      </c>
      <c r="O9">
        <f t="shared" si="1"/>
        <v>1933.3125</v>
      </c>
      <c r="P9">
        <f t="shared" si="2"/>
        <v>0.35</v>
      </c>
      <c r="Q9" t="s">
        <v>147</v>
      </c>
    </row>
    <row r="10" spans="1:17" x14ac:dyDescent="0.3">
      <c r="A10" t="s">
        <v>148</v>
      </c>
      <c r="B10" s="7">
        <v>45680</v>
      </c>
      <c r="C10" t="s">
        <v>149</v>
      </c>
      <c r="D10" t="s">
        <v>122</v>
      </c>
      <c r="E10" t="s">
        <v>150</v>
      </c>
      <c r="F10" t="s">
        <v>143</v>
      </c>
      <c r="G10" t="s">
        <v>41</v>
      </c>
      <c r="H10" t="s">
        <v>42</v>
      </c>
      <c r="I10" t="s">
        <v>27</v>
      </c>
      <c r="J10">
        <v>14</v>
      </c>
      <c r="K10">
        <v>385.06</v>
      </c>
      <c r="L10">
        <v>0</v>
      </c>
      <c r="M10">
        <f t="shared" si="0"/>
        <v>5390.84</v>
      </c>
      <c r="N10">
        <f t="shared" si="3"/>
        <v>3504.0460000000003</v>
      </c>
      <c r="O10">
        <f t="shared" si="1"/>
        <v>1886.7939999999999</v>
      </c>
      <c r="P10">
        <f t="shared" si="2"/>
        <v>0.35</v>
      </c>
      <c r="Q10" t="s">
        <v>125</v>
      </c>
    </row>
    <row r="11" spans="1:17" x14ac:dyDescent="0.3">
      <c r="A11" t="s">
        <v>151</v>
      </c>
      <c r="B11" s="7">
        <v>45324</v>
      </c>
      <c r="C11" t="s">
        <v>134</v>
      </c>
      <c r="D11" t="s">
        <v>131</v>
      </c>
      <c r="E11" t="s">
        <v>137</v>
      </c>
      <c r="F11" t="s">
        <v>152</v>
      </c>
      <c r="G11" t="s">
        <v>17</v>
      </c>
      <c r="H11" t="s">
        <v>18</v>
      </c>
      <c r="I11" t="s">
        <v>19</v>
      </c>
      <c r="J11">
        <v>4</v>
      </c>
      <c r="K11">
        <v>124.96</v>
      </c>
      <c r="L11">
        <v>0.15</v>
      </c>
      <c r="M11">
        <f t="shared" si="0"/>
        <v>424.86399999999998</v>
      </c>
      <c r="N11">
        <f t="shared" si="3"/>
        <v>276.16160000000002</v>
      </c>
      <c r="O11">
        <f t="shared" si="1"/>
        <v>148.70239999999995</v>
      </c>
      <c r="P11">
        <f t="shared" si="2"/>
        <v>0.34999999999999992</v>
      </c>
      <c r="Q11" t="s">
        <v>144</v>
      </c>
    </row>
    <row r="12" spans="1:17" x14ac:dyDescent="0.3">
      <c r="A12" t="s">
        <v>153</v>
      </c>
      <c r="B12" s="7">
        <v>45614</v>
      </c>
      <c r="C12" t="s">
        <v>130</v>
      </c>
      <c r="D12" t="s">
        <v>122</v>
      </c>
      <c r="E12" t="s">
        <v>137</v>
      </c>
      <c r="F12" t="s">
        <v>154</v>
      </c>
      <c r="G12" t="s">
        <v>49</v>
      </c>
      <c r="H12" t="s">
        <v>50</v>
      </c>
      <c r="I12" t="s">
        <v>19</v>
      </c>
      <c r="J12">
        <v>3</v>
      </c>
      <c r="K12">
        <v>219.71</v>
      </c>
      <c r="L12">
        <v>0</v>
      </c>
      <c r="M12">
        <f t="shared" si="0"/>
        <v>659.13</v>
      </c>
      <c r="N12">
        <f t="shared" si="3"/>
        <v>428.43450000000001</v>
      </c>
      <c r="O12">
        <f t="shared" si="1"/>
        <v>230.69549999999998</v>
      </c>
      <c r="P12">
        <f t="shared" si="2"/>
        <v>0.35</v>
      </c>
      <c r="Q12" t="s">
        <v>144</v>
      </c>
    </row>
    <row r="13" spans="1:17" x14ac:dyDescent="0.3">
      <c r="A13" t="s">
        <v>155</v>
      </c>
      <c r="B13" s="7">
        <v>45561</v>
      </c>
      <c r="C13" t="s">
        <v>146</v>
      </c>
      <c r="D13" t="s">
        <v>122</v>
      </c>
      <c r="E13" t="s">
        <v>137</v>
      </c>
      <c r="F13" t="s">
        <v>138</v>
      </c>
      <c r="G13" t="s">
        <v>45</v>
      </c>
      <c r="H13" t="s">
        <v>46</v>
      </c>
      <c r="I13" t="s">
        <v>11</v>
      </c>
      <c r="J13">
        <v>6</v>
      </c>
      <c r="K13">
        <v>2186.85</v>
      </c>
      <c r="L13">
        <v>0</v>
      </c>
      <c r="M13">
        <f t="shared" si="0"/>
        <v>13121.099999999999</v>
      </c>
      <c r="N13">
        <f t="shared" si="3"/>
        <v>8528.7150000000001</v>
      </c>
      <c r="O13">
        <f t="shared" si="1"/>
        <v>4592.3849999999984</v>
      </c>
      <c r="P13">
        <f t="shared" si="2"/>
        <v>0.34999999999999992</v>
      </c>
      <c r="Q13" t="s">
        <v>135</v>
      </c>
    </row>
    <row r="14" spans="1:17" x14ac:dyDescent="0.3">
      <c r="A14" t="s">
        <v>156</v>
      </c>
      <c r="B14" s="7">
        <v>45797</v>
      </c>
      <c r="C14" t="s">
        <v>157</v>
      </c>
      <c r="D14" t="s">
        <v>127</v>
      </c>
      <c r="E14" t="s">
        <v>128</v>
      </c>
      <c r="F14" t="s">
        <v>124</v>
      </c>
      <c r="G14" t="s">
        <v>29</v>
      </c>
      <c r="H14" t="s">
        <v>30</v>
      </c>
      <c r="I14" t="s">
        <v>31</v>
      </c>
      <c r="J14">
        <v>13</v>
      </c>
      <c r="K14">
        <v>610.83000000000004</v>
      </c>
      <c r="L14">
        <v>0.15</v>
      </c>
      <c r="M14">
        <f t="shared" si="0"/>
        <v>6749.6715000000004</v>
      </c>
      <c r="N14">
        <f t="shared" si="3"/>
        <v>4387.2864750000008</v>
      </c>
      <c r="O14">
        <f t="shared" si="1"/>
        <v>2362.3850249999996</v>
      </c>
      <c r="P14">
        <f t="shared" si="2"/>
        <v>0.34999999999999992</v>
      </c>
      <c r="Q14" t="s">
        <v>125</v>
      </c>
    </row>
    <row r="15" spans="1:17" x14ac:dyDescent="0.3">
      <c r="A15" t="s">
        <v>158</v>
      </c>
      <c r="B15" s="7">
        <v>45686</v>
      </c>
      <c r="C15" t="s">
        <v>142</v>
      </c>
      <c r="D15" t="s">
        <v>122</v>
      </c>
      <c r="E15" t="s">
        <v>137</v>
      </c>
      <c r="F15" t="s">
        <v>138</v>
      </c>
      <c r="G15" t="s">
        <v>37</v>
      </c>
      <c r="H15" t="s">
        <v>38</v>
      </c>
      <c r="I15" t="s">
        <v>19</v>
      </c>
      <c r="J15">
        <v>9</v>
      </c>
      <c r="K15">
        <v>77.709999999999994</v>
      </c>
      <c r="L15">
        <v>0</v>
      </c>
      <c r="M15">
        <f t="shared" si="0"/>
        <v>699.39</v>
      </c>
      <c r="N15">
        <f t="shared" si="3"/>
        <v>454.6035</v>
      </c>
      <c r="O15">
        <f t="shared" si="1"/>
        <v>244.78649999999999</v>
      </c>
      <c r="P15">
        <f t="shared" si="2"/>
        <v>0.35</v>
      </c>
      <c r="Q15" t="s">
        <v>144</v>
      </c>
    </row>
    <row r="16" spans="1:17" x14ac:dyDescent="0.3">
      <c r="A16" t="s">
        <v>159</v>
      </c>
      <c r="B16" s="7">
        <v>45409</v>
      </c>
      <c r="C16" t="s">
        <v>160</v>
      </c>
      <c r="D16" t="s">
        <v>122</v>
      </c>
      <c r="E16" t="s">
        <v>123</v>
      </c>
      <c r="F16" t="s">
        <v>143</v>
      </c>
      <c r="G16" t="s">
        <v>41</v>
      </c>
      <c r="H16" t="s">
        <v>42</v>
      </c>
      <c r="I16" t="s">
        <v>27</v>
      </c>
      <c r="J16">
        <v>2</v>
      </c>
      <c r="K16">
        <v>367.26</v>
      </c>
      <c r="L16">
        <v>0</v>
      </c>
      <c r="M16">
        <f t="shared" si="0"/>
        <v>734.52</v>
      </c>
      <c r="N16">
        <f t="shared" si="3"/>
        <v>477.43799999999999</v>
      </c>
      <c r="O16">
        <f t="shared" si="1"/>
        <v>257.08199999999999</v>
      </c>
      <c r="P16">
        <f t="shared" si="2"/>
        <v>0.35</v>
      </c>
      <c r="Q16" t="s">
        <v>147</v>
      </c>
    </row>
    <row r="17" spans="1:17" x14ac:dyDescent="0.3">
      <c r="A17" t="s">
        <v>161</v>
      </c>
      <c r="B17" s="7">
        <v>45295</v>
      </c>
      <c r="C17" t="s">
        <v>146</v>
      </c>
      <c r="D17" t="s">
        <v>122</v>
      </c>
      <c r="E17" t="s">
        <v>123</v>
      </c>
      <c r="F17" t="s">
        <v>138</v>
      </c>
      <c r="G17" t="s">
        <v>29</v>
      </c>
      <c r="H17" t="s">
        <v>30</v>
      </c>
      <c r="I17" t="s">
        <v>31</v>
      </c>
      <c r="J17">
        <v>9</v>
      </c>
      <c r="K17">
        <v>624.76</v>
      </c>
      <c r="L17">
        <v>0.05</v>
      </c>
      <c r="M17">
        <f t="shared" si="0"/>
        <v>5341.6980000000003</v>
      </c>
      <c r="N17">
        <f t="shared" si="3"/>
        <v>3472.1037000000001</v>
      </c>
      <c r="O17">
        <f t="shared" si="1"/>
        <v>1869.5943000000002</v>
      </c>
      <c r="P17">
        <f t="shared" si="2"/>
        <v>0.35000000000000003</v>
      </c>
      <c r="Q17" t="s">
        <v>144</v>
      </c>
    </row>
    <row r="18" spans="1:17" x14ac:dyDescent="0.3">
      <c r="A18" t="s">
        <v>162</v>
      </c>
      <c r="B18" s="7">
        <v>45811</v>
      </c>
      <c r="C18" t="s">
        <v>140</v>
      </c>
      <c r="D18" t="s">
        <v>127</v>
      </c>
      <c r="E18" t="s">
        <v>150</v>
      </c>
      <c r="F18" t="s">
        <v>152</v>
      </c>
      <c r="G18" t="s">
        <v>29</v>
      </c>
      <c r="H18" t="s">
        <v>30</v>
      </c>
      <c r="I18" t="s">
        <v>31</v>
      </c>
      <c r="J18">
        <v>9</v>
      </c>
      <c r="K18">
        <v>627.21</v>
      </c>
      <c r="L18">
        <v>0.15</v>
      </c>
      <c r="M18">
        <f t="shared" si="0"/>
        <v>4798.1565000000001</v>
      </c>
      <c r="N18">
        <f t="shared" si="3"/>
        <v>3118.8017250000003</v>
      </c>
      <c r="O18">
        <f t="shared" si="1"/>
        <v>1679.3547749999998</v>
      </c>
      <c r="P18">
        <f t="shared" si="2"/>
        <v>0.35</v>
      </c>
      <c r="Q18" t="s">
        <v>125</v>
      </c>
    </row>
    <row r="19" spans="1:17" x14ac:dyDescent="0.3">
      <c r="A19" t="s">
        <v>163</v>
      </c>
      <c r="B19" s="7">
        <v>45623</v>
      </c>
      <c r="C19" t="s">
        <v>164</v>
      </c>
      <c r="D19" t="s">
        <v>127</v>
      </c>
      <c r="E19" t="s">
        <v>128</v>
      </c>
      <c r="F19" t="s">
        <v>152</v>
      </c>
      <c r="G19" t="s">
        <v>39</v>
      </c>
      <c r="H19" t="s">
        <v>40</v>
      </c>
      <c r="I19" t="s">
        <v>23</v>
      </c>
      <c r="J19">
        <v>4</v>
      </c>
      <c r="K19">
        <v>57.35</v>
      </c>
      <c r="L19">
        <v>0.15</v>
      </c>
      <c r="M19">
        <f t="shared" si="0"/>
        <v>194.99</v>
      </c>
      <c r="N19">
        <f t="shared" si="3"/>
        <v>126.74350000000001</v>
      </c>
      <c r="O19">
        <f t="shared" si="1"/>
        <v>68.246499999999997</v>
      </c>
      <c r="P19">
        <f t="shared" si="2"/>
        <v>0.35</v>
      </c>
      <c r="Q19" t="s">
        <v>125</v>
      </c>
    </row>
    <row r="20" spans="1:17" x14ac:dyDescent="0.3">
      <c r="A20" t="s">
        <v>165</v>
      </c>
      <c r="B20" s="7">
        <v>45379</v>
      </c>
      <c r="C20" t="s">
        <v>146</v>
      </c>
      <c r="D20" t="s">
        <v>131</v>
      </c>
      <c r="E20" t="s">
        <v>128</v>
      </c>
      <c r="F20" t="s">
        <v>138</v>
      </c>
      <c r="G20" t="s">
        <v>25</v>
      </c>
      <c r="H20" t="s">
        <v>26</v>
      </c>
      <c r="I20" t="s">
        <v>27</v>
      </c>
      <c r="J20">
        <v>3</v>
      </c>
      <c r="K20">
        <v>1371.57</v>
      </c>
      <c r="L20">
        <v>0.15</v>
      </c>
      <c r="M20">
        <f t="shared" si="0"/>
        <v>3497.5034999999998</v>
      </c>
      <c r="N20">
        <f t="shared" si="3"/>
        <v>2273.3772749999998</v>
      </c>
      <c r="O20">
        <f t="shared" si="1"/>
        <v>1224.126225</v>
      </c>
      <c r="P20">
        <f t="shared" si="2"/>
        <v>0.35000000000000003</v>
      </c>
      <c r="Q20" t="s">
        <v>125</v>
      </c>
    </row>
    <row r="21" spans="1:17" x14ac:dyDescent="0.3">
      <c r="A21" t="s">
        <v>166</v>
      </c>
      <c r="B21" s="7">
        <v>45563</v>
      </c>
      <c r="C21" t="s">
        <v>167</v>
      </c>
      <c r="D21" t="s">
        <v>122</v>
      </c>
      <c r="E21" t="s">
        <v>137</v>
      </c>
      <c r="F21" t="s">
        <v>124</v>
      </c>
      <c r="G21" t="s">
        <v>56</v>
      </c>
      <c r="H21" t="s">
        <v>57</v>
      </c>
      <c r="I21" t="s">
        <v>31</v>
      </c>
      <c r="J21">
        <v>13</v>
      </c>
      <c r="K21">
        <v>537.07000000000005</v>
      </c>
      <c r="L21">
        <v>0</v>
      </c>
      <c r="M21">
        <f t="shared" si="0"/>
        <v>6981.9100000000008</v>
      </c>
      <c r="N21">
        <f t="shared" si="3"/>
        <v>4538.241500000001</v>
      </c>
      <c r="O21">
        <f t="shared" si="1"/>
        <v>2443.6684999999998</v>
      </c>
      <c r="P21">
        <f t="shared" si="2"/>
        <v>0.34999999999999992</v>
      </c>
      <c r="Q21" t="s">
        <v>144</v>
      </c>
    </row>
    <row r="22" spans="1:17" x14ac:dyDescent="0.3">
      <c r="A22" t="s">
        <v>168</v>
      </c>
      <c r="B22" s="7">
        <v>45611</v>
      </c>
      <c r="C22" t="s">
        <v>142</v>
      </c>
      <c r="D22" t="s">
        <v>122</v>
      </c>
      <c r="E22" t="s">
        <v>123</v>
      </c>
      <c r="F22" t="s">
        <v>154</v>
      </c>
      <c r="G22" t="s">
        <v>54</v>
      </c>
      <c r="H22" t="s">
        <v>55</v>
      </c>
      <c r="I22" t="s">
        <v>27</v>
      </c>
      <c r="J22">
        <v>8</v>
      </c>
      <c r="K22">
        <v>1010.21</v>
      </c>
      <c r="L22">
        <v>0</v>
      </c>
      <c r="M22">
        <f t="shared" si="0"/>
        <v>8081.68</v>
      </c>
      <c r="N22">
        <f t="shared" si="3"/>
        <v>5253.0920000000006</v>
      </c>
      <c r="O22">
        <f t="shared" si="1"/>
        <v>2828.5879999999997</v>
      </c>
      <c r="P22">
        <f t="shared" si="2"/>
        <v>0.35</v>
      </c>
      <c r="Q22" t="s">
        <v>125</v>
      </c>
    </row>
    <row r="23" spans="1:17" x14ac:dyDescent="0.3">
      <c r="A23" t="s">
        <v>169</v>
      </c>
      <c r="B23" s="7">
        <v>45638</v>
      </c>
      <c r="C23" t="s">
        <v>121</v>
      </c>
      <c r="D23" t="s">
        <v>122</v>
      </c>
      <c r="E23" t="s">
        <v>150</v>
      </c>
      <c r="F23" t="s">
        <v>138</v>
      </c>
      <c r="G23" t="s">
        <v>35</v>
      </c>
      <c r="H23" t="s">
        <v>36</v>
      </c>
      <c r="I23" t="s">
        <v>15</v>
      </c>
      <c r="J23">
        <v>1</v>
      </c>
      <c r="K23">
        <v>430.69</v>
      </c>
      <c r="L23">
        <v>0</v>
      </c>
      <c r="M23">
        <f t="shared" si="0"/>
        <v>430.69</v>
      </c>
      <c r="N23">
        <f t="shared" si="3"/>
        <v>279.94850000000002</v>
      </c>
      <c r="O23">
        <f t="shared" si="1"/>
        <v>150.74149999999997</v>
      </c>
      <c r="P23">
        <f t="shared" si="2"/>
        <v>0.34999999999999992</v>
      </c>
      <c r="Q23" t="s">
        <v>125</v>
      </c>
    </row>
    <row r="24" spans="1:17" x14ac:dyDescent="0.3">
      <c r="A24" t="s">
        <v>170</v>
      </c>
      <c r="B24" s="7">
        <v>45361</v>
      </c>
      <c r="C24" t="s">
        <v>171</v>
      </c>
      <c r="D24" t="s">
        <v>127</v>
      </c>
      <c r="E24" t="s">
        <v>123</v>
      </c>
      <c r="F24" t="s">
        <v>132</v>
      </c>
      <c r="G24" t="s">
        <v>54</v>
      </c>
      <c r="H24" t="s">
        <v>55</v>
      </c>
      <c r="I24" t="s">
        <v>27</v>
      </c>
      <c r="J24">
        <v>4</v>
      </c>
      <c r="K24">
        <v>1026.74</v>
      </c>
      <c r="L24">
        <v>0.1</v>
      </c>
      <c r="M24">
        <f t="shared" si="0"/>
        <v>3696.2640000000001</v>
      </c>
      <c r="N24">
        <f t="shared" si="3"/>
        <v>2402.5716000000002</v>
      </c>
      <c r="O24">
        <f t="shared" si="1"/>
        <v>1293.6923999999999</v>
      </c>
      <c r="P24">
        <f t="shared" si="2"/>
        <v>0.35</v>
      </c>
      <c r="Q24" t="s">
        <v>125</v>
      </c>
    </row>
    <row r="25" spans="1:17" x14ac:dyDescent="0.3">
      <c r="A25" t="s">
        <v>172</v>
      </c>
      <c r="B25" s="7">
        <v>45427</v>
      </c>
      <c r="C25" t="s">
        <v>146</v>
      </c>
      <c r="D25" t="s">
        <v>122</v>
      </c>
      <c r="E25" t="s">
        <v>137</v>
      </c>
      <c r="F25" t="s">
        <v>124</v>
      </c>
      <c r="G25" t="s">
        <v>51</v>
      </c>
      <c r="H25" t="s">
        <v>52</v>
      </c>
      <c r="I25" t="s">
        <v>23</v>
      </c>
      <c r="J25">
        <v>13</v>
      </c>
      <c r="K25">
        <v>49.54</v>
      </c>
      <c r="L25">
        <v>0</v>
      </c>
      <c r="M25">
        <f t="shared" si="0"/>
        <v>644.02</v>
      </c>
      <c r="N25">
        <f t="shared" si="3"/>
        <v>418.613</v>
      </c>
      <c r="O25">
        <f t="shared" si="1"/>
        <v>225.40699999999998</v>
      </c>
      <c r="P25">
        <f t="shared" si="2"/>
        <v>0.35</v>
      </c>
      <c r="Q25" t="s">
        <v>125</v>
      </c>
    </row>
    <row r="26" spans="1:17" x14ac:dyDescent="0.3">
      <c r="A26" t="s">
        <v>173</v>
      </c>
      <c r="B26" s="7">
        <v>45733</v>
      </c>
      <c r="C26" t="s">
        <v>174</v>
      </c>
      <c r="D26" t="s">
        <v>131</v>
      </c>
      <c r="E26" t="s">
        <v>137</v>
      </c>
      <c r="F26" t="s">
        <v>154</v>
      </c>
      <c r="G26" t="s">
        <v>13</v>
      </c>
      <c r="H26" t="s">
        <v>14</v>
      </c>
      <c r="I26" t="s">
        <v>15</v>
      </c>
      <c r="J26">
        <v>11</v>
      </c>
      <c r="K26">
        <v>913.81</v>
      </c>
      <c r="L26">
        <v>0</v>
      </c>
      <c r="M26">
        <f t="shared" si="0"/>
        <v>10051.91</v>
      </c>
      <c r="N26">
        <f t="shared" si="3"/>
        <v>6533.7415000000001</v>
      </c>
      <c r="O26">
        <f t="shared" si="1"/>
        <v>3518.1684999999998</v>
      </c>
      <c r="P26">
        <f t="shared" si="2"/>
        <v>0.35</v>
      </c>
      <c r="Q26" t="s">
        <v>125</v>
      </c>
    </row>
    <row r="27" spans="1:17" x14ac:dyDescent="0.3">
      <c r="A27" t="s">
        <v>175</v>
      </c>
      <c r="B27" s="7">
        <v>45704</v>
      </c>
      <c r="C27" t="s">
        <v>146</v>
      </c>
      <c r="D27" t="s">
        <v>131</v>
      </c>
      <c r="E27" t="s">
        <v>128</v>
      </c>
      <c r="F27" t="s">
        <v>124</v>
      </c>
      <c r="G27" t="s">
        <v>33</v>
      </c>
      <c r="H27" t="s">
        <v>34</v>
      </c>
      <c r="I27" t="s">
        <v>11</v>
      </c>
      <c r="J27">
        <v>4</v>
      </c>
      <c r="K27">
        <v>1505.44</v>
      </c>
      <c r="L27">
        <v>0</v>
      </c>
      <c r="M27">
        <f t="shared" si="0"/>
        <v>6021.76</v>
      </c>
      <c r="N27">
        <f t="shared" si="3"/>
        <v>3914.1440000000002</v>
      </c>
      <c r="O27">
        <f t="shared" si="1"/>
        <v>2107.616</v>
      </c>
      <c r="P27">
        <f t="shared" si="2"/>
        <v>0.35</v>
      </c>
      <c r="Q27" t="s">
        <v>147</v>
      </c>
    </row>
    <row r="28" spans="1:17" x14ac:dyDescent="0.3">
      <c r="A28" t="s">
        <v>176</v>
      </c>
      <c r="B28" s="7">
        <v>45479</v>
      </c>
      <c r="C28" t="s">
        <v>149</v>
      </c>
      <c r="D28" t="s">
        <v>131</v>
      </c>
      <c r="E28" t="s">
        <v>150</v>
      </c>
      <c r="F28" t="s">
        <v>132</v>
      </c>
      <c r="G28" t="s">
        <v>49</v>
      </c>
      <c r="H28" t="s">
        <v>50</v>
      </c>
      <c r="I28" t="s">
        <v>19</v>
      </c>
      <c r="J28">
        <v>13</v>
      </c>
      <c r="K28">
        <v>233.13</v>
      </c>
      <c r="L28">
        <v>0.15</v>
      </c>
      <c r="M28">
        <f t="shared" si="0"/>
        <v>2576.0864999999999</v>
      </c>
      <c r="N28">
        <f t="shared" si="3"/>
        <v>1674.4562249999999</v>
      </c>
      <c r="O28">
        <f t="shared" si="1"/>
        <v>901.63027499999998</v>
      </c>
      <c r="P28">
        <f t="shared" si="2"/>
        <v>0.35000000000000003</v>
      </c>
      <c r="Q28" t="s">
        <v>125</v>
      </c>
    </row>
    <row r="29" spans="1:17" x14ac:dyDescent="0.3">
      <c r="A29" t="s">
        <v>177</v>
      </c>
      <c r="B29" s="7">
        <v>45343</v>
      </c>
      <c r="C29" t="s">
        <v>160</v>
      </c>
      <c r="D29" t="s">
        <v>122</v>
      </c>
      <c r="E29" t="s">
        <v>128</v>
      </c>
      <c r="F29" t="s">
        <v>132</v>
      </c>
      <c r="G29" t="s">
        <v>35</v>
      </c>
      <c r="H29" t="s">
        <v>36</v>
      </c>
      <c r="I29" t="s">
        <v>15</v>
      </c>
      <c r="J29">
        <v>3</v>
      </c>
      <c r="K29">
        <v>445.79</v>
      </c>
      <c r="L29">
        <v>0.1</v>
      </c>
      <c r="M29">
        <f t="shared" si="0"/>
        <v>1203.633</v>
      </c>
      <c r="N29">
        <f t="shared" si="3"/>
        <v>782.3614500000001</v>
      </c>
      <c r="O29">
        <f t="shared" si="1"/>
        <v>421.27154999999993</v>
      </c>
      <c r="P29">
        <f t="shared" si="2"/>
        <v>0.34999999999999992</v>
      </c>
      <c r="Q29" t="s">
        <v>125</v>
      </c>
    </row>
    <row r="30" spans="1:17" x14ac:dyDescent="0.3">
      <c r="A30" t="s">
        <v>178</v>
      </c>
      <c r="B30" s="7">
        <v>45702</v>
      </c>
      <c r="C30" t="s">
        <v>171</v>
      </c>
      <c r="D30" t="s">
        <v>127</v>
      </c>
      <c r="E30" t="s">
        <v>150</v>
      </c>
      <c r="F30" t="s">
        <v>154</v>
      </c>
      <c r="G30" t="s">
        <v>9</v>
      </c>
      <c r="H30" t="s">
        <v>10</v>
      </c>
      <c r="I30" t="s">
        <v>11</v>
      </c>
      <c r="J30">
        <v>7</v>
      </c>
      <c r="K30">
        <v>1757.74</v>
      </c>
      <c r="L30">
        <v>0.1</v>
      </c>
      <c r="M30">
        <f t="shared" si="0"/>
        <v>11073.762000000001</v>
      </c>
      <c r="N30">
        <f t="shared" si="3"/>
        <v>7197.9453000000003</v>
      </c>
      <c r="O30">
        <f t="shared" si="1"/>
        <v>3875.8167000000003</v>
      </c>
      <c r="P30">
        <f t="shared" si="2"/>
        <v>0.35000000000000003</v>
      </c>
      <c r="Q30" t="s">
        <v>125</v>
      </c>
    </row>
    <row r="31" spans="1:17" x14ac:dyDescent="0.3">
      <c r="A31" t="s">
        <v>179</v>
      </c>
      <c r="B31" s="7">
        <v>45725</v>
      </c>
      <c r="C31" t="s">
        <v>146</v>
      </c>
      <c r="D31" t="s">
        <v>122</v>
      </c>
      <c r="E31" t="s">
        <v>137</v>
      </c>
      <c r="F31" t="s">
        <v>124</v>
      </c>
      <c r="G31" t="s">
        <v>33</v>
      </c>
      <c r="H31" t="s">
        <v>34</v>
      </c>
      <c r="I31" t="s">
        <v>11</v>
      </c>
      <c r="J31">
        <v>5</v>
      </c>
      <c r="K31">
        <v>1457.66</v>
      </c>
      <c r="L31">
        <v>0</v>
      </c>
      <c r="M31">
        <f t="shared" si="0"/>
        <v>7288.3</v>
      </c>
      <c r="N31">
        <f t="shared" si="3"/>
        <v>4737.3950000000004</v>
      </c>
      <c r="O31">
        <f t="shared" si="1"/>
        <v>2550.9049999999997</v>
      </c>
      <c r="P31">
        <f t="shared" si="2"/>
        <v>0.35</v>
      </c>
      <c r="Q31" t="s">
        <v>135</v>
      </c>
    </row>
    <row r="32" spans="1:17" x14ac:dyDescent="0.3">
      <c r="A32" t="s">
        <v>180</v>
      </c>
      <c r="B32" s="7">
        <v>45354</v>
      </c>
      <c r="C32" t="s">
        <v>146</v>
      </c>
      <c r="D32" t="s">
        <v>131</v>
      </c>
      <c r="E32" t="s">
        <v>128</v>
      </c>
      <c r="F32" t="s">
        <v>132</v>
      </c>
      <c r="G32" t="s">
        <v>58</v>
      </c>
      <c r="H32" t="s">
        <v>59</v>
      </c>
      <c r="I32" t="s">
        <v>11</v>
      </c>
      <c r="J32">
        <v>8</v>
      </c>
      <c r="K32">
        <v>1650.47</v>
      </c>
      <c r="L32">
        <v>0.15</v>
      </c>
      <c r="M32">
        <f t="shared" si="0"/>
        <v>11223.196</v>
      </c>
      <c r="N32">
        <f t="shared" si="3"/>
        <v>7295.0774000000001</v>
      </c>
      <c r="O32">
        <f t="shared" si="1"/>
        <v>3928.1185999999998</v>
      </c>
      <c r="P32">
        <f t="shared" si="2"/>
        <v>0.35</v>
      </c>
      <c r="Q32" t="s">
        <v>125</v>
      </c>
    </row>
    <row r="33" spans="1:17" x14ac:dyDescent="0.3">
      <c r="A33" t="s">
        <v>181</v>
      </c>
      <c r="B33" s="7">
        <v>45350</v>
      </c>
      <c r="C33" t="s">
        <v>167</v>
      </c>
      <c r="D33" t="s">
        <v>127</v>
      </c>
      <c r="E33" t="s">
        <v>150</v>
      </c>
      <c r="F33" t="s">
        <v>132</v>
      </c>
      <c r="G33" t="s">
        <v>60</v>
      </c>
      <c r="H33" t="s">
        <v>61</v>
      </c>
      <c r="I33" t="s">
        <v>15</v>
      </c>
      <c r="J33">
        <v>2</v>
      </c>
      <c r="K33">
        <v>228.94</v>
      </c>
      <c r="L33">
        <v>0</v>
      </c>
      <c r="M33">
        <f t="shared" si="0"/>
        <v>457.88</v>
      </c>
      <c r="N33">
        <f t="shared" si="3"/>
        <v>297.62200000000001</v>
      </c>
      <c r="O33">
        <f t="shared" si="1"/>
        <v>160.25799999999998</v>
      </c>
      <c r="P33">
        <f t="shared" si="2"/>
        <v>0.35</v>
      </c>
      <c r="Q33" t="s">
        <v>147</v>
      </c>
    </row>
    <row r="34" spans="1:17" x14ac:dyDescent="0.3">
      <c r="A34" t="s">
        <v>182</v>
      </c>
      <c r="B34" s="7">
        <v>45414</v>
      </c>
      <c r="C34" t="s">
        <v>171</v>
      </c>
      <c r="D34" t="s">
        <v>122</v>
      </c>
      <c r="E34" t="s">
        <v>150</v>
      </c>
      <c r="F34" t="s">
        <v>138</v>
      </c>
      <c r="G34" t="s">
        <v>60</v>
      </c>
      <c r="H34" t="s">
        <v>61</v>
      </c>
      <c r="I34" t="s">
        <v>15</v>
      </c>
      <c r="J34">
        <v>1</v>
      </c>
      <c r="K34">
        <v>227.69</v>
      </c>
      <c r="L34">
        <v>0.1</v>
      </c>
      <c r="M34">
        <f t="shared" si="0"/>
        <v>204.92099999999999</v>
      </c>
      <c r="N34">
        <f t="shared" si="3"/>
        <v>133.19864999999999</v>
      </c>
      <c r="O34">
        <f t="shared" si="1"/>
        <v>71.722350000000006</v>
      </c>
      <c r="P34">
        <f t="shared" si="2"/>
        <v>0.35000000000000003</v>
      </c>
      <c r="Q34" t="s">
        <v>144</v>
      </c>
    </row>
    <row r="35" spans="1:17" x14ac:dyDescent="0.3">
      <c r="A35" t="s">
        <v>183</v>
      </c>
      <c r="B35" s="7">
        <v>45827</v>
      </c>
      <c r="C35" t="s">
        <v>174</v>
      </c>
      <c r="D35" t="s">
        <v>131</v>
      </c>
      <c r="E35" t="s">
        <v>150</v>
      </c>
      <c r="F35" t="s">
        <v>143</v>
      </c>
      <c r="G35" t="s">
        <v>41</v>
      </c>
      <c r="H35" t="s">
        <v>42</v>
      </c>
      <c r="I35" t="s">
        <v>27</v>
      </c>
      <c r="J35">
        <v>4</v>
      </c>
      <c r="K35">
        <v>366.21</v>
      </c>
      <c r="L35">
        <v>0</v>
      </c>
      <c r="M35">
        <f t="shared" si="0"/>
        <v>1464.84</v>
      </c>
      <c r="N35">
        <f t="shared" si="3"/>
        <v>952.14599999999996</v>
      </c>
      <c r="O35">
        <f t="shared" si="1"/>
        <v>512.69399999999996</v>
      </c>
      <c r="P35">
        <f t="shared" si="2"/>
        <v>0.35</v>
      </c>
      <c r="Q35" t="s">
        <v>144</v>
      </c>
    </row>
    <row r="36" spans="1:17" x14ac:dyDescent="0.3">
      <c r="A36" t="s">
        <v>184</v>
      </c>
      <c r="B36" s="7">
        <v>45599</v>
      </c>
      <c r="C36" t="s">
        <v>164</v>
      </c>
      <c r="D36" t="s">
        <v>131</v>
      </c>
      <c r="E36" t="s">
        <v>128</v>
      </c>
      <c r="F36" t="s">
        <v>132</v>
      </c>
      <c r="G36" t="s">
        <v>49</v>
      </c>
      <c r="H36" t="s">
        <v>50</v>
      </c>
      <c r="I36" t="s">
        <v>19</v>
      </c>
      <c r="J36">
        <v>10</v>
      </c>
      <c r="K36">
        <v>236.22</v>
      </c>
      <c r="L36">
        <v>0</v>
      </c>
      <c r="M36">
        <f t="shared" si="0"/>
        <v>2362.1999999999998</v>
      </c>
      <c r="N36">
        <f t="shared" si="3"/>
        <v>1535.4299999999998</v>
      </c>
      <c r="O36">
        <f t="shared" si="1"/>
        <v>826.77</v>
      </c>
      <c r="P36">
        <f t="shared" si="2"/>
        <v>0.35000000000000003</v>
      </c>
      <c r="Q36" t="s">
        <v>125</v>
      </c>
    </row>
    <row r="37" spans="1:17" x14ac:dyDescent="0.3">
      <c r="A37" t="s">
        <v>185</v>
      </c>
      <c r="B37" s="7">
        <v>45510</v>
      </c>
      <c r="C37" t="s">
        <v>167</v>
      </c>
      <c r="D37" t="s">
        <v>131</v>
      </c>
      <c r="E37" t="s">
        <v>150</v>
      </c>
      <c r="F37" t="s">
        <v>152</v>
      </c>
      <c r="G37" t="s">
        <v>17</v>
      </c>
      <c r="H37" t="s">
        <v>18</v>
      </c>
      <c r="I37" t="s">
        <v>19</v>
      </c>
      <c r="J37">
        <v>15</v>
      </c>
      <c r="K37">
        <v>116.93</v>
      </c>
      <c r="L37">
        <v>0.05</v>
      </c>
      <c r="M37">
        <f t="shared" si="0"/>
        <v>1666.2525000000001</v>
      </c>
      <c r="N37">
        <f t="shared" si="3"/>
        <v>1083.0641250000001</v>
      </c>
      <c r="O37">
        <f t="shared" si="1"/>
        <v>583.18837499999995</v>
      </c>
      <c r="P37">
        <f t="shared" si="2"/>
        <v>0.35</v>
      </c>
      <c r="Q37" t="s">
        <v>125</v>
      </c>
    </row>
    <row r="38" spans="1:17" x14ac:dyDescent="0.3">
      <c r="A38" t="s">
        <v>186</v>
      </c>
      <c r="B38" s="7">
        <v>45740</v>
      </c>
      <c r="C38" t="s">
        <v>187</v>
      </c>
      <c r="D38" t="s">
        <v>122</v>
      </c>
      <c r="E38" t="s">
        <v>123</v>
      </c>
      <c r="F38" t="s">
        <v>138</v>
      </c>
      <c r="G38" t="s">
        <v>54</v>
      </c>
      <c r="H38" t="s">
        <v>55</v>
      </c>
      <c r="I38" t="s">
        <v>27</v>
      </c>
      <c r="J38">
        <v>1</v>
      </c>
      <c r="K38">
        <v>1067.6300000000001</v>
      </c>
      <c r="L38">
        <v>0.15</v>
      </c>
      <c r="M38">
        <f t="shared" si="0"/>
        <v>907.48550000000012</v>
      </c>
      <c r="N38">
        <f t="shared" si="3"/>
        <v>589.86557500000015</v>
      </c>
      <c r="O38">
        <f t="shared" si="1"/>
        <v>317.61992499999997</v>
      </c>
      <c r="P38">
        <f t="shared" si="2"/>
        <v>0.34999999999999992</v>
      </c>
      <c r="Q38" t="s">
        <v>125</v>
      </c>
    </row>
    <row r="39" spans="1:17" x14ac:dyDescent="0.3">
      <c r="A39" t="s">
        <v>188</v>
      </c>
      <c r="B39" s="7">
        <v>45398</v>
      </c>
      <c r="C39" t="s">
        <v>171</v>
      </c>
      <c r="D39" t="s">
        <v>127</v>
      </c>
      <c r="E39" t="s">
        <v>123</v>
      </c>
      <c r="F39" t="s">
        <v>132</v>
      </c>
      <c r="G39" t="s">
        <v>21</v>
      </c>
      <c r="H39" t="s">
        <v>22</v>
      </c>
      <c r="I39" t="s">
        <v>23</v>
      </c>
      <c r="J39">
        <v>12</v>
      </c>
      <c r="K39">
        <v>150.80000000000001</v>
      </c>
      <c r="L39">
        <v>0.05</v>
      </c>
      <c r="M39">
        <f t="shared" si="0"/>
        <v>1719.1200000000001</v>
      </c>
      <c r="N39">
        <f t="shared" si="3"/>
        <v>1117.4280000000001</v>
      </c>
      <c r="O39">
        <f t="shared" si="1"/>
        <v>601.69200000000001</v>
      </c>
      <c r="P39">
        <f t="shared" si="2"/>
        <v>0.35</v>
      </c>
      <c r="Q39" t="s">
        <v>125</v>
      </c>
    </row>
    <row r="40" spans="1:17" x14ac:dyDescent="0.3">
      <c r="A40" t="s">
        <v>189</v>
      </c>
      <c r="B40" s="7">
        <v>45507</v>
      </c>
      <c r="C40" t="s">
        <v>146</v>
      </c>
      <c r="D40" t="s">
        <v>131</v>
      </c>
      <c r="E40" t="s">
        <v>150</v>
      </c>
      <c r="F40" t="s">
        <v>143</v>
      </c>
      <c r="G40" t="s">
        <v>37</v>
      </c>
      <c r="H40" t="s">
        <v>38</v>
      </c>
      <c r="I40" t="s">
        <v>19</v>
      </c>
      <c r="J40">
        <v>9</v>
      </c>
      <c r="K40">
        <v>74.91</v>
      </c>
      <c r="L40">
        <v>0</v>
      </c>
      <c r="M40">
        <f t="shared" si="0"/>
        <v>674.18999999999994</v>
      </c>
      <c r="N40">
        <f t="shared" si="3"/>
        <v>438.2235</v>
      </c>
      <c r="O40">
        <f t="shared" si="1"/>
        <v>235.96649999999994</v>
      </c>
      <c r="P40">
        <f t="shared" si="2"/>
        <v>0.34999999999999992</v>
      </c>
      <c r="Q40" t="s">
        <v>125</v>
      </c>
    </row>
    <row r="41" spans="1:17" x14ac:dyDescent="0.3">
      <c r="A41" t="s">
        <v>190</v>
      </c>
      <c r="B41" s="7">
        <v>45725</v>
      </c>
      <c r="C41" t="s">
        <v>187</v>
      </c>
      <c r="D41" t="s">
        <v>131</v>
      </c>
      <c r="E41" t="s">
        <v>128</v>
      </c>
      <c r="F41" t="s">
        <v>132</v>
      </c>
      <c r="G41" t="s">
        <v>41</v>
      </c>
      <c r="H41" t="s">
        <v>42</v>
      </c>
      <c r="I41" t="s">
        <v>27</v>
      </c>
      <c r="J41">
        <v>13</v>
      </c>
      <c r="K41">
        <v>361.16</v>
      </c>
      <c r="L41">
        <v>0.05</v>
      </c>
      <c r="M41">
        <f t="shared" si="0"/>
        <v>4460.326</v>
      </c>
      <c r="N41">
        <f t="shared" si="3"/>
        <v>2899.2119000000002</v>
      </c>
      <c r="O41">
        <f t="shared" si="1"/>
        <v>1561.1140999999998</v>
      </c>
      <c r="P41">
        <f t="shared" si="2"/>
        <v>0.34999999999999992</v>
      </c>
      <c r="Q41" t="s">
        <v>125</v>
      </c>
    </row>
    <row r="42" spans="1:17" x14ac:dyDescent="0.3">
      <c r="A42" t="s">
        <v>191</v>
      </c>
      <c r="B42" s="7">
        <v>45744</v>
      </c>
      <c r="C42" t="s">
        <v>167</v>
      </c>
      <c r="D42" t="s">
        <v>122</v>
      </c>
      <c r="E42" t="s">
        <v>137</v>
      </c>
      <c r="F42" t="s">
        <v>138</v>
      </c>
      <c r="G42" t="s">
        <v>9</v>
      </c>
      <c r="H42" t="s">
        <v>10</v>
      </c>
      <c r="I42" t="s">
        <v>11</v>
      </c>
      <c r="J42">
        <v>2</v>
      </c>
      <c r="K42">
        <v>1723.54</v>
      </c>
      <c r="L42">
        <v>0</v>
      </c>
      <c r="M42">
        <f t="shared" si="0"/>
        <v>3447.08</v>
      </c>
      <c r="N42">
        <f t="shared" si="3"/>
        <v>2240.6019999999999</v>
      </c>
      <c r="O42">
        <f t="shared" si="1"/>
        <v>1206.4780000000001</v>
      </c>
      <c r="P42">
        <f t="shared" si="2"/>
        <v>0.35000000000000003</v>
      </c>
      <c r="Q42" t="s">
        <v>135</v>
      </c>
    </row>
    <row r="43" spans="1:17" x14ac:dyDescent="0.3">
      <c r="A43" t="s">
        <v>192</v>
      </c>
      <c r="B43" s="7">
        <v>45328</v>
      </c>
      <c r="C43" t="s">
        <v>187</v>
      </c>
      <c r="D43" t="s">
        <v>131</v>
      </c>
      <c r="E43" t="s">
        <v>150</v>
      </c>
      <c r="F43" t="s">
        <v>154</v>
      </c>
      <c r="G43" t="s">
        <v>25</v>
      </c>
      <c r="H43" t="s">
        <v>26</v>
      </c>
      <c r="I43" t="s">
        <v>27</v>
      </c>
      <c r="J43">
        <v>1</v>
      </c>
      <c r="K43">
        <v>1324.11</v>
      </c>
      <c r="L43">
        <v>0</v>
      </c>
      <c r="M43">
        <f t="shared" si="0"/>
        <v>1324.11</v>
      </c>
      <c r="N43">
        <f t="shared" si="3"/>
        <v>860.67149999999992</v>
      </c>
      <c r="O43">
        <f t="shared" si="1"/>
        <v>463.43849999999998</v>
      </c>
      <c r="P43">
        <f t="shared" si="2"/>
        <v>0.35000000000000003</v>
      </c>
      <c r="Q43" t="s">
        <v>125</v>
      </c>
    </row>
    <row r="44" spans="1:17" x14ac:dyDescent="0.3">
      <c r="A44" t="s">
        <v>193</v>
      </c>
      <c r="B44" s="7">
        <v>45507</v>
      </c>
      <c r="C44" t="s">
        <v>160</v>
      </c>
      <c r="D44" t="s">
        <v>127</v>
      </c>
      <c r="E44" t="s">
        <v>128</v>
      </c>
      <c r="F44" t="s">
        <v>152</v>
      </c>
      <c r="G44" t="s">
        <v>56</v>
      </c>
      <c r="H44" t="s">
        <v>57</v>
      </c>
      <c r="I44" t="s">
        <v>31</v>
      </c>
      <c r="J44">
        <v>15</v>
      </c>
      <c r="K44">
        <v>544.66999999999996</v>
      </c>
      <c r="L44">
        <v>0.15</v>
      </c>
      <c r="M44">
        <f t="shared" si="0"/>
        <v>6944.5424999999996</v>
      </c>
      <c r="N44">
        <f t="shared" si="3"/>
        <v>4513.9526249999999</v>
      </c>
      <c r="O44">
        <f t="shared" si="1"/>
        <v>2430.5898749999997</v>
      </c>
      <c r="P44">
        <f t="shared" si="2"/>
        <v>0.35</v>
      </c>
      <c r="Q44" t="s">
        <v>144</v>
      </c>
    </row>
    <row r="45" spans="1:17" x14ac:dyDescent="0.3">
      <c r="A45" t="s">
        <v>194</v>
      </c>
      <c r="B45" s="7">
        <v>45450</v>
      </c>
      <c r="C45" t="s">
        <v>171</v>
      </c>
      <c r="D45" t="s">
        <v>127</v>
      </c>
      <c r="E45" t="s">
        <v>150</v>
      </c>
      <c r="F45" t="s">
        <v>124</v>
      </c>
      <c r="G45" t="s">
        <v>47</v>
      </c>
      <c r="H45" t="s">
        <v>48</v>
      </c>
      <c r="I45" t="s">
        <v>15</v>
      </c>
      <c r="J45">
        <v>1</v>
      </c>
      <c r="K45">
        <v>1161.52</v>
      </c>
      <c r="L45">
        <v>0.05</v>
      </c>
      <c r="M45">
        <f t="shared" si="0"/>
        <v>1103.444</v>
      </c>
      <c r="N45">
        <f t="shared" si="3"/>
        <v>717.23860000000002</v>
      </c>
      <c r="O45">
        <f t="shared" si="1"/>
        <v>386.20539999999994</v>
      </c>
      <c r="P45">
        <f t="shared" si="2"/>
        <v>0.35</v>
      </c>
      <c r="Q45" t="s">
        <v>147</v>
      </c>
    </row>
    <row r="46" spans="1:17" x14ac:dyDescent="0.3">
      <c r="A46" t="s">
        <v>195</v>
      </c>
      <c r="B46" s="7">
        <v>45546</v>
      </c>
      <c r="C46" t="s">
        <v>149</v>
      </c>
      <c r="D46" t="s">
        <v>127</v>
      </c>
      <c r="E46" t="s">
        <v>128</v>
      </c>
      <c r="F46" t="s">
        <v>154</v>
      </c>
      <c r="G46" t="s">
        <v>13</v>
      </c>
      <c r="H46" t="s">
        <v>14</v>
      </c>
      <c r="I46" t="s">
        <v>15</v>
      </c>
      <c r="J46">
        <v>14</v>
      </c>
      <c r="K46">
        <v>897.36</v>
      </c>
      <c r="L46">
        <v>0</v>
      </c>
      <c r="M46">
        <f t="shared" si="0"/>
        <v>12563.04</v>
      </c>
      <c r="N46">
        <f t="shared" si="3"/>
        <v>8165.9760000000006</v>
      </c>
      <c r="O46">
        <f t="shared" si="1"/>
        <v>4397.0640000000003</v>
      </c>
      <c r="P46">
        <f t="shared" si="2"/>
        <v>0.35</v>
      </c>
      <c r="Q46" t="s">
        <v>147</v>
      </c>
    </row>
    <row r="47" spans="1:17" x14ac:dyDescent="0.3">
      <c r="A47" t="s">
        <v>196</v>
      </c>
      <c r="B47" s="7">
        <v>45650</v>
      </c>
      <c r="C47" t="s">
        <v>149</v>
      </c>
      <c r="D47" t="s">
        <v>127</v>
      </c>
      <c r="E47" t="s">
        <v>150</v>
      </c>
      <c r="F47" t="s">
        <v>132</v>
      </c>
      <c r="G47" t="s">
        <v>33</v>
      </c>
      <c r="H47" t="s">
        <v>34</v>
      </c>
      <c r="I47" t="s">
        <v>11</v>
      </c>
      <c r="J47">
        <v>7</v>
      </c>
      <c r="K47">
        <v>1474.24</v>
      </c>
      <c r="L47">
        <v>0</v>
      </c>
      <c r="M47">
        <f t="shared" si="0"/>
        <v>10319.68</v>
      </c>
      <c r="N47">
        <f t="shared" si="3"/>
        <v>6707.7920000000004</v>
      </c>
      <c r="O47">
        <f t="shared" si="1"/>
        <v>3611.8879999999999</v>
      </c>
      <c r="P47">
        <f t="shared" si="2"/>
        <v>0.35</v>
      </c>
      <c r="Q47" t="s">
        <v>125</v>
      </c>
    </row>
    <row r="48" spans="1:17" x14ac:dyDescent="0.3">
      <c r="A48" t="s">
        <v>197</v>
      </c>
      <c r="B48" s="7">
        <v>45651</v>
      </c>
      <c r="C48" t="s">
        <v>160</v>
      </c>
      <c r="D48" t="s">
        <v>122</v>
      </c>
      <c r="E48" t="s">
        <v>137</v>
      </c>
      <c r="F48" t="s">
        <v>143</v>
      </c>
      <c r="G48" t="s">
        <v>56</v>
      </c>
      <c r="H48" t="s">
        <v>57</v>
      </c>
      <c r="I48" t="s">
        <v>31</v>
      </c>
      <c r="J48">
        <v>6</v>
      </c>
      <c r="K48">
        <v>548.05999999999995</v>
      </c>
      <c r="L48">
        <v>0</v>
      </c>
      <c r="M48">
        <f t="shared" si="0"/>
        <v>3288.3599999999997</v>
      </c>
      <c r="N48">
        <f t="shared" si="3"/>
        <v>2137.4339999999997</v>
      </c>
      <c r="O48">
        <f t="shared" si="1"/>
        <v>1150.9259999999999</v>
      </c>
      <c r="P48">
        <f t="shared" si="2"/>
        <v>0.35000000000000003</v>
      </c>
      <c r="Q48" t="s">
        <v>125</v>
      </c>
    </row>
    <row r="49" spans="1:17" x14ac:dyDescent="0.3">
      <c r="A49" t="s">
        <v>198</v>
      </c>
      <c r="B49" s="7">
        <v>45474</v>
      </c>
      <c r="C49" t="s">
        <v>140</v>
      </c>
      <c r="D49" t="s">
        <v>131</v>
      </c>
      <c r="E49" t="s">
        <v>128</v>
      </c>
      <c r="F49" t="s">
        <v>132</v>
      </c>
      <c r="G49" t="s">
        <v>60</v>
      </c>
      <c r="H49" t="s">
        <v>61</v>
      </c>
      <c r="I49" t="s">
        <v>15</v>
      </c>
      <c r="J49">
        <v>7</v>
      </c>
      <c r="K49">
        <v>221.53</v>
      </c>
      <c r="L49">
        <v>0.05</v>
      </c>
      <c r="M49">
        <f t="shared" si="0"/>
        <v>1473.1744999999999</v>
      </c>
      <c r="N49">
        <f t="shared" si="3"/>
        <v>957.56342499999994</v>
      </c>
      <c r="O49">
        <f t="shared" si="1"/>
        <v>515.61107499999991</v>
      </c>
      <c r="P49">
        <f t="shared" si="2"/>
        <v>0.35</v>
      </c>
      <c r="Q49" t="s">
        <v>147</v>
      </c>
    </row>
    <row r="50" spans="1:17" x14ac:dyDescent="0.3">
      <c r="A50" t="s">
        <v>199</v>
      </c>
      <c r="B50" s="7">
        <v>45815</v>
      </c>
      <c r="C50" t="s">
        <v>157</v>
      </c>
      <c r="D50" t="s">
        <v>131</v>
      </c>
      <c r="E50" t="s">
        <v>150</v>
      </c>
      <c r="F50" t="s">
        <v>152</v>
      </c>
      <c r="G50" t="s">
        <v>13</v>
      </c>
      <c r="H50" t="s">
        <v>14</v>
      </c>
      <c r="I50" t="s">
        <v>15</v>
      </c>
      <c r="J50">
        <v>12</v>
      </c>
      <c r="K50">
        <v>894.25</v>
      </c>
      <c r="L50">
        <v>0.15</v>
      </c>
      <c r="M50">
        <f t="shared" si="0"/>
        <v>9121.35</v>
      </c>
      <c r="N50">
        <f t="shared" si="3"/>
        <v>5928.8775000000005</v>
      </c>
      <c r="O50">
        <f t="shared" si="1"/>
        <v>3192.4724999999999</v>
      </c>
      <c r="P50">
        <f t="shared" si="2"/>
        <v>0.35</v>
      </c>
      <c r="Q50" t="s">
        <v>135</v>
      </c>
    </row>
    <row r="51" spans="1:17" x14ac:dyDescent="0.3">
      <c r="A51" t="s">
        <v>200</v>
      </c>
      <c r="B51" s="7">
        <v>45493</v>
      </c>
      <c r="C51" t="s">
        <v>174</v>
      </c>
      <c r="D51" t="s">
        <v>131</v>
      </c>
      <c r="E51" t="s">
        <v>128</v>
      </c>
      <c r="F51" t="s">
        <v>143</v>
      </c>
      <c r="G51" t="s">
        <v>41</v>
      </c>
      <c r="H51" t="s">
        <v>42</v>
      </c>
      <c r="I51" t="s">
        <v>27</v>
      </c>
      <c r="J51">
        <v>10</v>
      </c>
      <c r="K51">
        <v>368.02</v>
      </c>
      <c r="L51">
        <v>0</v>
      </c>
      <c r="M51">
        <f t="shared" si="0"/>
        <v>3680.2</v>
      </c>
      <c r="N51">
        <f t="shared" si="3"/>
        <v>2392.13</v>
      </c>
      <c r="O51">
        <f t="shared" si="1"/>
        <v>1288.0699999999997</v>
      </c>
      <c r="P51">
        <f t="shared" si="2"/>
        <v>0.34999999999999992</v>
      </c>
      <c r="Q51" t="s">
        <v>144</v>
      </c>
    </row>
    <row r="52" spans="1:17" x14ac:dyDescent="0.3">
      <c r="A52" t="s">
        <v>201</v>
      </c>
      <c r="B52" s="7">
        <v>45599</v>
      </c>
      <c r="C52" t="s">
        <v>167</v>
      </c>
      <c r="D52" t="s">
        <v>131</v>
      </c>
      <c r="E52" t="s">
        <v>137</v>
      </c>
      <c r="F52" t="s">
        <v>152</v>
      </c>
      <c r="G52" t="s">
        <v>45</v>
      </c>
      <c r="H52" t="s">
        <v>46</v>
      </c>
      <c r="I52" t="s">
        <v>11</v>
      </c>
      <c r="J52">
        <v>12</v>
      </c>
      <c r="K52">
        <v>2204.02</v>
      </c>
      <c r="L52">
        <v>0</v>
      </c>
      <c r="M52">
        <f t="shared" si="0"/>
        <v>26448.239999999998</v>
      </c>
      <c r="N52">
        <f t="shared" si="3"/>
        <v>17191.356</v>
      </c>
      <c r="O52">
        <f t="shared" si="1"/>
        <v>9256.8839999999982</v>
      </c>
      <c r="P52">
        <f t="shared" si="2"/>
        <v>0.35</v>
      </c>
      <c r="Q52" t="s">
        <v>125</v>
      </c>
    </row>
    <row r="53" spans="1:17" x14ac:dyDescent="0.3">
      <c r="A53" t="s">
        <v>202</v>
      </c>
      <c r="B53" s="7">
        <v>45722</v>
      </c>
      <c r="C53" t="s">
        <v>160</v>
      </c>
      <c r="D53" t="s">
        <v>131</v>
      </c>
      <c r="E53" t="s">
        <v>150</v>
      </c>
      <c r="F53" t="s">
        <v>138</v>
      </c>
      <c r="G53" t="s">
        <v>58</v>
      </c>
      <c r="H53" t="s">
        <v>59</v>
      </c>
      <c r="I53" t="s">
        <v>11</v>
      </c>
      <c r="J53">
        <v>5</v>
      </c>
      <c r="K53">
        <v>1634.5</v>
      </c>
      <c r="L53">
        <v>0</v>
      </c>
      <c r="M53">
        <f t="shared" si="0"/>
        <v>8172.5</v>
      </c>
      <c r="N53">
        <f t="shared" si="3"/>
        <v>5312.125</v>
      </c>
      <c r="O53">
        <f t="shared" si="1"/>
        <v>2860.375</v>
      </c>
      <c r="P53">
        <f t="shared" si="2"/>
        <v>0.35</v>
      </c>
      <c r="Q53" t="s">
        <v>125</v>
      </c>
    </row>
    <row r="54" spans="1:17" x14ac:dyDescent="0.3">
      <c r="A54" t="s">
        <v>203</v>
      </c>
      <c r="B54" s="7">
        <v>45585</v>
      </c>
      <c r="C54" t="s">
        <v>130</v>
      </c>
      <c r="D54" t="s">
        <v>131</v>
      </c>
      <c r="E54" t="s">
        <v>123</v>
      </c>
      <c r="F54" t="s">
        <v>154</v>
      </c>
      <c r="G54" t="s">
        <v>49</v>
      </c>
      <c r="H54" t="s">
        <v>50</v>
      </c>
      <c r="I54" t="s">
        <v>19</v>
      </c>
      <c r="J54">
        <v>8</v>
      </c>
      <c r="K54">
        <v>228.95</v>
      </c>
      <c r="L54">
        <v>0.15</v>
      </c>
      <c r="M54">
        <f t="shared" si="0"/>
        <v>1556.86</v>
      </c>
      <c r="N54">
        <f t="shared" si="3"/>
        <v>1011.9589999999999</v>
      </c>
      <c r="O54">
        <f t="shared" si="1"/>
        <v>544.90099999999995</v>
      </c>
      <c r="P54">
        <f t="shared" si="2"/>
        <v>0.35</v>
      </c>
      <c r="Q54" t="s">
        <v>147</v>
      </c>
    </row>
    <row r="55" spans="1:17" x14ac:dyDescent="0.3">
      <c r="A55" t="s">
        <v>204</v>
      </c>
      <c r="B55" s="7">
        <v>45465</v>
      </c>
      <c r="C55" t="s">
        <v>160</v>
      </c>
      <c r="D55" t="s">
        <v>127</v>
      </c>
      <c r="E55" t="s">
        <v>123</v>
      </c>
      <c r="F55" t="s">
        <v>138</v>
      </c>
      <c r="G55" t="s">
        <v>60</v>
      </c>
      <c r="H55" t="s">
        <v>61</v>
      </c>
      <c r="I55" t="s">
        <v>15</v>
      </c>
      <c r="J55">
        <v>6</v>
      </c>
      <c r="K55">
        <v>215.85</v>
      </c>
      <c r="L55">
        <v>0</v>
      </c>
      <c r="M55">
        <f t="shared" si="0"/>
        <v>1295.0999999999999</v>
      </c>
      <c r="N55">
        <f t="shared" si="3"/>
        <v>841.81499999999994</v>
      </c>
      <c r="O55">
        <f t="shared" si="1"/>
        <v>453.28499999999997</v>
      </c>
      <c r="P55">
        <f t="shared" si="2"/>
        <v>0.35</v>
      </c>
      <c r="Q55" t="s">
        <v>144</v>
      </c>
    </row>
    <row r="56" spans="1:17" x14ac:dyDescent="0.3">
      <c r="A56" t="s">
        <v>205</v>
      </c>
      <c r="B56" s="7">
        <v>45609</v>
      </c>
      <c r="C56" t="s">
        <v>130</v>
      </c>
      <c r="D56" t="s">
        <v>127</v>
      </c>
      <c r="E56" t="s">
        <v>150</v>
      </c>
      <c r="F56" t="s">
        <v>132</v>
      </c>
      <c r="G56" t="s">
        <v>13</v>
      </c>
      <c r="H56" t="s">
        <v>14</v>
      </c>
      <c r="I56" t="s">
        <v>15</v>
      </c>
      <c r="J56">
        <v>4</v>
      </c>
      <c r="K56">
        <v>943.55</v>
      </c>
      <c r="L56">
        <v>0.15</v>
      </c>
      <c r="M56">
        <f t="shared" si="0"/>
        <v>3208.0699999999997</v>
      </c>
      <c r="N56">
        <f t="shared" si="3"/>
        <v>2085.2455</v>
      </c>
      <c r="O56">
        <f t="shared" si="1"/>
        <v>1122.8244999999997</v>
      </c>
      <c r="P56">
        <f t="shared" si="2"/>
        <v>0.34999999999999992</v>
      </c>
      <c r="Q56" t="s">
        <v>125</v>
      </c>
    </row>
    <row r="57" spans="1:17" x14ac:dyDescent="0.3">
      <c r="A57" t="s">
        <v>206</v>
      </c>
      <c r="B57" s="7">
        <v>45758</v>
      </c>
      <c r="C57" t="s">
        <v>142</v>
      </c>
      <c r="D57" t="s">
        <v>122</v>
      </c>
      <c r="E57" t="s">
        <v>150</v>
      </c>
      <c r="F57" t="s">
        <v>143</v>
      </c>
      <c r="G57" t="s">
        <v>45</v>
      </c>
      <c r="H57" t="s">
        <v>46</v>
      </c>
      <c r="I57" t="s">
        <v>11</v>
      </c>
      <c r="J57">
        <v>8</v>
      </c>
      <c r="K57">
        <v>2227.42</v>
      </c>
      <c r="L57">
        <v>0</v>
      </c>
      <c r="M57">
        <f t="shared" si="0"/>
        <v>17819.36</v>
      </c>
      <c r="N57">
        <f t="shared" si="3"/>
        <v>11582.584000000001</v>
      </c>
      <c r="O57">
        <f t="shared" si="1"/>
        <v>6236.7759999999998</v>
      </c>
      <c r="P57">
        <f t="shared" si="2"/>
        <v>0.35</v>
      </c>
      <c r="Q57" t="s">
        <v>144</v>
      </c>
    </row>
    <row r="58" spans="1:17" x14ac:dyDescent="0.3">
      <c r="A58" t="s">
        <v>207</v>
      </c>
      <c r="B58" s="7">
        <v>45297</v>
      </c>
      <c r="C58" t="s">
        <v>171</v>
      </c>
      <c r="D58" t="s">
        <v>127</v>
      </c>
      <c r="E58" t="s">
        <v>137</v>
      </c>
      <c r="F58" t="s">
        <v>124</v>
      </c>
      <c r="G58" t="s">
        <v>29</v>
      </c>
      <c r="H58" t="s">
        <v>30</v>
      </c>
      <c r="I58" t="s">
        <v>31</v>
      </c>
      <c r="J58">
        <v>13</v>
      </c>
      <c r="K58">
        <v>627.48</v>
      </c>
      <c r="L58">
        <v>0.15</v>
      </c>
      <c r="M58">
        <f t="shared" si="0"/>
        <v>6933.6539999999995</v>
      </c>
      <c r="N58">
        <f t="shared" si="3"/>
        <v>4506.8751000000002</v>
      </c>
      <c r="O58">
        <f t="shared" si="1"/>
        <v>2426.7788999999993</v>
      </c>
      <c r="P58">
        <f t="shared" si="2"/>
        <v>0.34999999999999992</v>
      </c>
      <c r="Q58" t="s">
        <v>147</v>
      </c>
    </row>
    <row r="59" spans="1:17" x14ac:dyDescent="0.3">
      <c r="A59" t="s">
        <v>208</v>
      </c>
      <c r="B59" s="7">
        <v>45343</v>
      </c>
      <c r="C59" t="s">
        <v>167</v>
      </c>
      <c r="D59" t="s">
        <v>127</v>
      </c>
      <c r="E59" t="s">
        <v>128</v>
      </c>
      <c r="F59" t="s">
        <v>154</v>
      </c>
      <c r="G59" t="s">
        <v>25</v>
      </c>
      <c r="H59" t="s">
        <v>26</v>
      </c>
      <c r="I59" t="s">
        <v>27</v>
      </c>
      <c r="J59">
        <v>13</v>
      </c>
      <c r="K59">
        <v>1345.23</v>
      </c>
      <c r="L59">
        <v>0.15</v>
      </c>
      <c r="M59">
        <f t="shared" si="0"/>
        <v>14864.791500000001</v>
      </c>
      <c r="N59">
        <f t="shared" si="3"/>
        <v>9662.1144750000003</v>
      </c>
      <c r="O59">
        <f t="shared" si="1"/>
        <v>5202.6770250000009</v>
      </c>
      <c r="P59">
        <f t="shared" si="2"/>
        <v>0.35000000000000003</v>
      </c>
      <c r="Q59" t="s">
        <v>135</v>
      </c>
    </row>
    <row r="60" spans="1:17" x14ac:dyDescent="0.3">
      <c r="A60" t="s">
        <v>209</v>
      </c>
      <c r="B60" s="7">
        <v>45616</v>
      </c>
      <c r="C60" t="s">
        <v>134</v>
      </c>
      <c r="D60" t="s">
        <v>131</v>
      </c>
      <c r="E60" t="s">
        <v>137</v>
      </c>
      <c r="F60" t="s">
        <v>138</v>
      </c>
      <c r="G60" t="s">
        <v>49</v>
      </c>
      <c r="H60" t="s">
        <v>50</v>
      </c>
      <c r="I60" t="s">
        <v>19</v>
      </c>
      <c r="J60">
        <v>15</v>
      </c>
      <c r="K60">
        <v>217.33</v>
      </c>
      <c r="L60">
        <v>0.1</v>
      </c>
      <c r="M60">
        <f t="shared" si="0"/>
        <v>2933.9550000000004</v>
      </c>
      <c r="N60">
        <f t="shared" si="3"/>
        <v>1907.0707500000003</v>
      </c>
      <c r="O60">
        <f t="shared" si="1"/>
        <v>1026.8842500000001</v>
      </c>
      <c r="P60">
        <f t="shared" si="2"/>
        <v>0.35</v>
      </c>
      <c r="Q60" t="s">
        <v>147</v>
      </c>
    </row>
    <row r="61" spans="1:17" x14ac:dyDescent="0.3">
      <c r="A61" t="s">
        <v>210</v>
      </c>
      <c r="B61" s="7">
        <v>45557</v>
      </c>
      <c r="C61" t="s">
        <v>134</v>
      </c>
      <c r="D61" t="s">
        <v>127</v>
      </c>
      <c r="E61" t="s">
        <v>123</v>
      </c>
      <c r="F61" t="s">
        <v>138</v>
      </c>
      <c r="G61" t="s">
        <v>51</v>
      </c>
      <c r="H61" t="s">
        <v>52</v>
      </c>
      <c r="I61" t="s">
        <v>23</v>
      </c>
      <c r="J61">
        <v>11</v>
      </c>
      <c r="K61">
        <v>48.7</v>
      </c>
      <c r="L61">
        <v>0.1</v>
      </c>
      <c r="M61">
        <f t="shared" si="0"/>
        <v>482.13000000000005</v>
      </c>
      <c r="N61">
        <f t="shared" si="3"/>
        <v>313.38450000000006</v>
      </c>
      <c r="O61">
        <f t="shared" si="1"/>
        <v>168.74549999999999</v>
      </c>
      <c r="P61">
        <f t="shared" si="2"/>
        <v>0.34999999999999992</v>
      </c>
      <c r="Q61" t="s">
        <v>125</v>
      </c>
    </row>
    <row r="62" spans="1:17" x14ac:dyDescent="0.3">
      <c r="A62" t="s">
        <v>211</v>
      </c>
      <c r="B62" s="7">
        <v>45584</v>
      </c>
      <c r="C62" t="s">
        <v>130</v>
      </c>
      <c r="D62" t="s">
        <v>131</v>
      </c>
      <c r="E62" t="s">
        <v>123</v>
      </c>
      <c r="F62" t="s">
        <v>152</v>
      </c>
      <c r="G62" t="s">
        <v>56</v>
      </c>
      <c r="H62" t="s">
        <v>57</v>
      </c>
      <c r="I62" t="s">
        <v>31</v>
      </c>
      <c r="J62">
        <v>2</v>
      </c>
      <c r="K62">
        <v>506.01</v>
      </c>
      <c r="L62">
        <v>0</v>
      </c>
      <c r="M62">
        <f t="shared" si="0"/>
        <v>1012.02</v>
      </c>
      <c r="N62">
        <f t="shared" si="3"/>
        <v>657.81299999999999</v>
      </c>
      <c r="O62">
        <f t="shared" si="1"/>
        <v>354.20699999999999</v>
      </c>
      <c r="P62">
        <f t="shared" si="2"/>
        <v>0.35</v>
      </c>
      <c r="Q62" t="s">
        <v>147</v>
      </c>
    </row>
    <row r="63" spans="1:17" x14ac:dyDescent="0.3">
      <c r="A63" t="s">
        <v>212</v>
      </c>
      <c r="B63" s="7">
        <v>45448</v>
      </c>
      <c r="C63" t="s">
        <v>146</v>
      </c>
      <c r="D63" t="s">
        <v>127</v>
      </c>
      <c r="E63" t="s">
        <v>128</v>
      </c>
      <c r="F63" t="s">
        <v>154</v>
      </c>
      <c r="G63" t="s">
        <v>47</v>
      </c>
      <c r="H63" t="s">
        <v>48</v>
      </c>
      <c r="I63" t="s">
        <v>15</v>
      </c>
      <c r="J63">
        <v>6</v>
      </c>
      <c r="K63">
        <v>1205.1099999999999</v>
      </c>
      <c r="L63">
        <v>0.1</v>
      </c>
      <c r="M63">
        <f t="shared" si="0"/>
        <v>6507.5940000000001</v>
      </c>
      <c r="N63">
        <f t="shared" si="3"/>
        <v>4229.9360999999999</v>
      </c>
      <c r="O63">
        <f t="shared" si="1"/>
        <v>2277.6579000000002</v>
      </c>
      <c r="P63">
        <f t="shared" si="2"/>
        <v>0.35000000000000003</v>
      </c>
      <c r="Q63" t="s">
        <v>125</v>
      </c>
    </row>
    <row r="64" spans="1:17" x14ac:dyDescent="0.3">
      <c r="A64" t="s">
        <v>213</v>
      </c>
      <c r="B64" s="7">
        <v>45503</v>
      </c>
      <c r="C64" t="s">
        <v>187</v>
      </c>
      <c r="D64" t="s">
        <v>131</v>
      </c>
      <c r="E64" t="s">
        <v>137</v>
      </c>
      <c r="F64" t="s">
        <v>138</v>
      </c>
      <c r="G64" t="s">
        <v>9</v>
      </c>
      <c r="H64" t="s">
        <v>10</v>
      </c>
      <c r="I64" t="s">
        <v>11</v>
      </c>
      <c r="J64">
        <v>14</v>
      </c>
      <c r="K64">
        <v>1868.52</v>
      </c>
      <c r="L64">
        <v>0.15</v>
      </c>
      <c r="M64">
        <f t="shared" si="0"/>
        <v>22235.387999999999</v>
      </c>
      <c r="N64">
        <f t="shared" si="3"/>
        <v>14453.002199999999</v>
      </c>
      <c r="O64">
        <f t="shared" si="1"/>
        <v>7782.3858</v>
      </c>
      <c r="P64">
        <f t="shared" si="2"/>
        <v>0.35000000000000003</v>
      </c>
      <c r="Q64" t="s">
        <v>147</v>
      </c>
    </row>
    <row r="65" spans="1:17" x14ac:dyDescent="0.3">
      <c r="A65" t="s">
        <v>214</v>
      </c>
      <c r="B65" s="7">
        <v>45780</v>
      </c>
      <c r="C65" t="s">
        <v>121</v>
      </c>
      <c r="D65" t="s">
        <v>131</v>
      </c>
      <c r="E65" t="s">
        <v>123</v>
      </c>
      <c r="F65" t="s">
        <v>154</v>
      </c>
      <c r="G65" t="s">
        <v>47</v>
      </c>
      <c r="H65" t="s">
        <v>48</v>
      </c>
      <c r="I65" t="s">
        <v>15</v>
      </c>
      <c r="J65">
        <v>9</v>
      </c>
      <c r="K65">
        <v>1229.7</v>
      </c>
      <c r="L65">
        <v>0.15</v>
      </c>
      <c r="M65">
        <f t="shared" si="0"/>
        <v>9407.2049999999999</v>
      </c>
      <c r="N65">
        <f t="shared" si="3"/>
        <v>6114.68325</v>
      </c>
      <c r="O65">
        <f t="shared" si="1"/>
        <v>3292.5217499999999</v>
      </c>
      <c r="P65">
        <f t="shared" si="2"/>
        <v>0.35</v>
      </c>
      <c r="Q65" t="s">
        <v>135</v>
      </c>
    </row>
    <row r="66" spans="1:17" x14ac:dyDescent="0.3">
      <c r="A66" t="s">
        <v>215</v>
      </c>
      <c r="B66" s="7">
        <v>45517</v>
      </c>
      <c r="C66" t="s">
        <v>164</v>
      </c>
      <c r="D66" t="s">
        <v>127</v>
      </c>
      <c r="E66" t="s">
        <v>123</v>
      </c>
      <c r="F66" t="s">
        <v>154</v>
      </c>
      <c r="G66" t="s">
        <v>51</v>
      </c>
      <c r="H66" t="s">
        <v>52</v>
      </c>
      <c r="I66" t="s">
        <v>23</v>
      </c>
      <c r="J66">
        <v>1</v>
      </c>
      <c r="K66">
        <v>49.44</v>
      </c>
      <c r="L66">
        <v>0.1</v>
      </c>
      <c r="M66">
        <f t="shared" ref="M66:M129" si="4">J66*K66*(1-L66)</f>
        <v>44.496000000000002</v>
      </c>
      <c r="N66">
        <f t="shared" ref="N66:N129" si="5">M66*0.65</f>
        <v>28.922400000000003</v>
      </c>
      <c r="O66">
        <f t="shared" ref="O66:O129" si="6">M66-N66</f>
        <v>15.573599999999999</v>
      </c>
      <c r="P66">
        <f t="shared" ref="P66:P129" si="7">IFERROR(O66/M66, 0)</f>
        <v>0.35</v>
      </c>
      <c r="Q66" t="s">
        <v>144</v>
      </c>
    </row>
    <row r="67" spans="1:17" x14ac:dyDescent="0.3">
      <c r="A67" t="s">
        <v>216</v>
      </c>
      <c r="B67" s="7">
        <v>45461</v>
      </c>
      <c r="C67" t="s">
        <v>187</v>
      </c>
      <c r="D67" t="s">
        <v>131</v>
      </c>
      <c r="E67" t="s">
        <v>150</v>
      </c>
      <c r="F67" t="s">
        <v>138</v>
      </c>
      <c r="G67" t="s">
        <v>56</v>
      </c>
      <c r="H67" t="s">
        <v>57</v>
      </c>
      <c r="I67" t="s">
        <v>31</v>
      </c>
      <c r="J67">
        <v>1</v>
      </c>
      <c r="K67">
        <v>546.36</v>
      </c>
      <c r="L67">
        <v>0.15</v>
      </c>
      <c r="M67">
        <f t="shared" si="4"/>
        <v>464.40600000000001</v>
      </c>
      <c r="N67">
        <f t="shared" si="5"/>
        <v>301.8639</v>
      </c>
      <c r="O67">
        <f t="shared" si="6"/>
        <v>162.5421</v>
      </c>
      <c r="P67">
        <f t="shared" si="7"/>
        <v>0.35000000000000003</v>
      </c>
      <c r="Q67" t="s">
        <v>135</v>
      </c>
    </row>
    <row r="68" spans="1:17" x14ac:dyDescent="0.3">
      <c r="A68" t="s">
        <v>217</v>
      </c>
      <c r="B68" s="7">
        <v>45319</v>
      </c>
      <c r="C68" t="s">
        <v>157</v>
      </c>
      <c r="D68" t="s">
        <v>122</v>
      </c>
      <c r="E68" t="s">
        <v>137</v>
      </c>
      <c r="F68" t="s">
        <v>124</v>
      </c>
      <c r="G68" t="s">
        <v>49</v>
      </c>
      <c r="H68" t="s">
        <v>50</v>
      </c>
      <c r="I68" t="s">
        <v>19</v>
      </c>
      <c r="J68">
        <v>3</v>
      </c>
      <c r="K68">
        <v>214.88</v>
      </c>
      <c r="L68">
        <v>0.1</v>
      </c>
      <c r="M68">
        <f t="shared" si="4"/>
        <v>580.17600000000004</v>
      </c>
      <c r="N68">
        <f t="shared" si="5"/>
        <v>377.11440000000005</v>
      </c>
      <c r="O68">
        <f t="shared" si="6"/>
        <v>203.0616</v>
      </c>
      <c r="P68">
        <f t="shared" si="7"/>
        <v>0.35</v>
      </c>
      <c r="Q68" t="s">
        <v>125</v>
      </c>
    </row>
    <row r="69" spans="1:17" x14ac:dyDescent="0.3">
      <c r="A69" t="s">
        <v>218</v>
      </c>
      <c r="B69" s="7">
        <v>45508</v>
      </c>
      <c r="C69" t="s">
        <v>164</v>
      </c>
      <c r="D69" t="s">
        <v>131</v>
      </c>
      <c r="E69" t="s">
        <v>123</v>
      </c>
      <c r="F69" t="s">
        <v>154</v>
      </c>
      <c r="G69" t="s">
        <v>37</v>
      </c>
      <c r="H69" t="s">
        <v>38</v>
      </c>
      <c r="I69" t="s">
        <v>19</v>
      </c>
      <c r="J69">
        <v>13</v>
      </c>
      <c r="K69">
        <v>78.38</v>
      </c>
      <c r="L69">
        <v>0.1</v>
      </c>
      <c r="M69">
        <f t="shared" si="4"/>
        <v>917.04599999999994</v>
      </c>
      <c r="N69">
        <f t="shared" si="5"/>
        <v>596.07989999999995</v>
      </c>
      <c r="O69">
        <f t="shared" si="6"/>
        <v>320.96609999999998</v>
      </c>
      <c r="P69">
        <f t="shared" si="7"/>
        <v>0.35000000000000003</v>
      </c>
      <c r="Q69" t="s">
        <v>125</v>
      </c>
    </row>
    <row r="70" spans="1:17" x14ac:dyDescent="0.3">
      <c r="A70" t="s">
        <v>219</v>
      </c>
      <c r="B70" s="7">
        <v>45375</v>
      </c>
      <c r="C70" t="s">
        <v>164</v>
      </c>
      <c r="D70" t="s">
        <v>127</v>
      </c>
      <c r="E70" t="s">
        <v>128</v>
      </c>
      <c r="F70" t="s">
        <v>152</v>
      </c>
      <c r="G70" t="s">
        <v>35</v>
      </c>
      <c r="H70" t="s">
        <v>36</v>
      </c>
      <c r="I70" t="s">
        <v>15</v>
      </c>
      <c r="J70">
        <v>11</v>
      </c>
      <c r="K70">
        <v>430.59</v>
      </c>
      <c r="L70">
        <v>0</v>
      </c>
      <c r="M70">
        <f t="shared" si="4"/>
        <v>4736.49</v>
      </c>
      <c r="N70">
        <f t="shared" si="5"/>
        <v>3078.7184999999999</v>
      </c>
      <c r="O70">
        <f t="shared" si="6"/>
        <v>1657.7714999999998</v>
      </c>
      <c r="P70">
        <f t="shared" si="7"/>
        <v>0.35</v>
      </c>
      <c r="Q70" t="s">
        <v>125</v>
      </c>
    </row>
    <row r="71" spans="1:17" x14ac:dyDescent="0.3">
      <c r="A71" t="s">
        <v>220</v>
      </c>
      <c r="B71" s="7">
        <v>45545</v>
      </c>
      <c r="C71" t="s">
        <v>130</v>
      </c>
      <c r="D71" t="s">
        <v>127</v>
      </c>
      <c r="E71" t="s">
        <v>150</v>
      </c>
      <c r="F71" t="s">
        <v>124</v>
      </c>
      <c r="G71" t="s">
        <v>25</v>
      </c>
      <c r="H71" t="s">
        <v>26</v>
      </c>
      <c r="I71" t="s">
        <v>27</v>
      </c>
      <c r="J71">
        <v>8</v>
      </c>
      <c r="K71">
        <v>1372.88</v>
      </c>
      <c r="L71">
        <v>0.15</v>
      </c>
      <c r="M71">
        <f t="shared" si="4"/>
        <v>9335.5840000000007</v>
      </c>
      <c r="N71">
        <f t="shared" si="5"/>
        <v>6068.1296000000011</v>
      </c>
      <c r="O71">
        <f t="shared" si="6"/>
        <v>3267.4543999999996</v>
      </c>
      <c r="P71">
        <f t="shared" si="7"/>
        <v>0.34999999999999992</v>
      </c>
      <c r="Q71" t="s">
        <v>125</v>
      </c>
    </row>
    <row r="72" spans="1:17" x14ac:dyDescent="0.3">
      <c r="A72" t="s">
        <v>221</v>
      </c>
      <c r="B72" s="7">
        <v>45768</v>
      </c>
      <c r="C72" t="s">
        <v>146</v>
      </c>
      <c r="D72" t="s">
        <v>131</v>
      </c>
      <c r="E72" t="s">
        <v>123</v>
      </c>
      <c r="F72" t="s">
        <v>124</v>
      </c>
      <c r="G72" t="s">
        <v>60</v>
      </c>
      <c r="H72" t="s">
        <v>61</v>
      </c>
      <c r="I72" t="s">
        <v>15</v>
      </c>
      <c r="J72">
        <v>10</v>
      </c>
      <c r="K72">
        <v>235.43</v>
      </c>
      <c r="L72">
        <v>0</v>
      </c>
      <c r="M72">
        <f t="shared" si="4"/>
        <v>2354.3000000000002</v>
      </c>
      <c r="N72">
        <f t="shared" si="5"/>
        <v>1530.2950000000001</v>
      </c>
      <c r="O72">
        <f t="shared" si="6"/>
        <v>824.00500000000011</v>
      </c>
      <c r="P72">
        <f t="shared" si="7"/>
        <v>0.35000000000000003</v>
      </c>
      <c r="Q72" t="s">
        <v>125</v>
      </c>
    </row>
    <row r="73" spans="1:17" x14ac:dyDescent="0.3">
      <c r="A73" t="s">
        <v>222</v>
      </c>
      <c r="B73" s="7">
        <v>45610</v>
      </c>
      <c r="C73" t="s">
        <v>157</v>
      </c>
      <c r="D73" t="s">
        <v>122</v>
      </c>
      <c r="E73" t="s">
        <v>128</v>
      </c>
      <c r="F73" t="s">
        <v>152</v>
      </c>
      <c r="G73" t="s">
        <v>58</v>
      </c>
      <c r="H73" t="s">
        <v>59</v>
      </c>
      <c r="I73" t="s">
        <v>11</v>
      </c>
      <c r="J73">
        <v>11</v>
      </c>
      <c r="K73">
        <v>1717.32</v>
      </c>
      <c r="L73">
        <v>0.1</v>
      </c>
      <c r="M73">
        <f t="shared" si="4"/>
        <v>17001.468000000001</v>
      </c>
      <c r="N73">
        <f t="shared" si="5"/>
        <v>11050.9542</v>
      </c>
      <c r="O73">
        <f t="shared" si="6"/>
        <v>5950.5138000000006</v>
      </c>
      <c r="P73">
        <f t="shared" si="7"/>
        <v>0.35000000000000003</v>
      </c>
      <c r="Q73" t="s">
        <v>147</v>
      </c>
    </row>
    <row r="74" spans="1:17" x14ac:dyDescent="0.3">
      <c r="A74" t="s">
        <v>223</v>
      </c>
      <c r="B74" s="7">
        <v>45495</v>
      </c>
      <c r="C74" t="s">
        <v>157</v>
      </c>
      <c r="D74" t="s">
        <v>122</v>
      </c>
      <c r="E74" t="s">
        <v>150</v>
      </c>
      <c r="F74" t="s">
        <v>132</v>
      </c>
      <c r="G74" t="s">
        <v>39</v>
      </c>
      <c r="H74" t="s">
        <v>40</v>
      </c>
      <c r="I74" t="s">
        <v>23</v>
      </c>
      <c r="J74">
        <v>14</v>
      </c>
      <c r="K74">
        <v>61.11</v>
      </c>
      <c r="L74">
        <v>0</v>
      </c>
      <c r="M74">
        <f t="shared" si="4"/>
        <v>855.54</v>
      </c>
      <c r="N74">
        <f t="shared" si="5"/>
        <v>556.101</v>
      </c>
      <c r="O74">
        <f t="shared" si="6"/>
        <v>299.43899999999996</v>
      </c>
      <c r="P74">
        <f t="shared" si="7"/>
        <v>0.35</v>
      </c>
      <c r="Q74" t="s">
        <v>135</v>
      </c>
    </row>
    <row r="75" spans="1:17" x14ac:dyDescent="0.3">
      <c r="A75" t="s">
        <v>224</v>
      </c>
      <c r="B75" s="7">
        <v>45334</v>
      </c>
      <c r="C75" t="s">
        <v>174</v>
      </c>
      <c r="D75" t="s">
        <v>122</v>
      </c>
      <c r="E75" t="s">
        <v>137</v>
      </c>
      <c r="F75" t="s">
        <v>143</v>
      </c>
      <c r="G75" t="s">
        <v>43</v>
      </c>
      <c r="H75" t="s">
        <v>44</v>
      </c>
      <c r="I75" t="s">
        <v>31</v>
      </c>
      <c r="J75">
        <v>2</v>
      </c>
      <c r="K75">
        <v>180.11</v>
      </c>
      <c r="L75">
        <v>0.05</v>
      </c>
      <c r="M75">
        <f t="shared" si="4"/>
        <v>342.209</v>
      </c>
      <c r="N75">
        <f t="shared" si="5"/>
        <v>222.43585000000002</v>
      </c>
      <c r="O75">
        <f t="shared" si="6"/>
        <v>119.77314999999999</v>
      </c>
      <c r="P75">
        <f t="shared" si="7"/>
        <v>0.35</v>
      </c>
      <c r="Q75" t="s">
        <v>125</v>
      </c>
    </row>
    <row r="76" spans="1:17" x14ac:dyDescent="0.3">
      <c r="A76" t="s">
        <v>225</v>
      </c>
      <c r="B76" s="7">
        <v>45722</v>
      </c>
      <c r="C76" t="s">
        <v>187</v>
      </c>
      <c r="D76" t="s">
        <v>131</v>
      </c>
      <c r="E76" t="s">
        <v>128</v>
      </c>
      <c r="F76" t="s">
        <v>154</v>
      </c>
      <c r="G76" t="s">
        <v>43</v>
      </c>
      <c r="H76" t="s">
        <v>44</v>
      </c>
      <c r="I76" t="s">
        <v>31</v>
      </c>
      <c r="J76">
        <v>11</v>
      </c>
      <c r="K76">
        <v>187.05</v>
      </c>
      <c r="L76">
        <v>0.1</v>
      </c>
      <c r="M76">
        <f t="shared" si="4"/>
        <v>1851.7950000000003</v>
      </c>
      <c r="N76">
        <f t="shared" si="5"/>
        <v>1203.6667500000003</v>
      </c>
      <c r="O76">
        <f t="shared" si="6"/>
        <v>648.12824999999998</v>
      </c>
      <c r="P76">
        <f t="shared" si="7"/>
        <v>0.34999999999999992</v>
      </c>
      <c r="Q76" t="s">
        <v>144</v>
      </c>
    </row>
    <row r="77" spans="1:17" x14ac:dyDescent="0.3">
      <c r="A77" t="s">
        <v>226</v>
      </c>
      <c r="B77" s="7">
        <v>45448</v>
      </c>
      <c r="C77" t="s">
        <v>142</v>
      </c>
      <c r="D77" t="s">
        <v>127</v>
      </c>
      <c r="E77" t="s">
        <v>123</v>
      </c>
      <c r="F77" t="s">
        <v>138</v>
      </c>
      <c r="G77" t="s">
        <v>56</v>
      </c>
      <c r="H77" t="s">
        <v>57</v>
      </c>
      <c r="I77" t="s">
        <v>31</v>
      </c>
      <c r="J77">
        <v>13</v>
      </c>
      <c r="K77">
        <v>524.13</v>
      </c>
      <c r="L77">
        <v>0.1</v>
      </c>
      <c r="M77">
        <f t="shared" si="4"/>
        <v>6132.3209999999999</v>
      </c>
      <c r="N77">
        <f t="shared" si="5"/>
        <v>3986.0086500000002</v>
      </c>
      <c r="O77">
        <f t="shared" si="6"/>
        <v>2146.3123499999997</v>
      </c>
      <c r="P77">
        <f t="shared" si="7"/>
        <v>0.35</v>
      </c>
      <c r="Q77" t="s">
        <v>144</v>
      </c>
    </row>
    <row r="78" spans="1:17" x14ac:dyDescent="0.3">
      <c r="A78" t="s">
        <v>227</v>
      </c>
      <c r="B78" s="7">
        <v>45566</v>
      </c>
      <c r="C78" t="s">
        <v>174</v>
      </c>
      <c r="D78" t="s">
        <v>127</v>
      </c>
      <c r="E78" t="s">
        <v>128</v>
      </c>
      <c r="F78" t="s">
        <v>152</v>
      </c>
      <c r="G78" t="s">
        <v>49</v>
      </c>
      <c r="H78" t="s">
        <v>50</v>
      </c>
      <c r="I78" t="s">
        <v>19</v>
      </c>
      <c r="J78">
        <v>4</v>
      </c>
      <c r="K78">
        <v>230.64</v>
      </c>
      <c r="L78">
        <v>0.15</v>
      </c>
      <c r="M78">
        <f t="shared" si="4"/>
        <v>784.17599999999993</v>
      </c>
      <c r="N78">
        <f t="shared" si="5"/>
        <v>509.71439999999996</v>
      </c>
      <c r="O78">
        <f t="shared" si="6"/>
        <v>274.46159999999998</v>
      </c>
      <c r="P78">
        <f t="shared" si="7"/>
        <v>0.35</v>
      </c>
      <c r="Q78" t="s">
        <v>135</v>
      </c>
    </row>
    <row r="79" spans="1:17" x14ac:dyDescent="0.3">
      <c r="A79" t="s">
        <v>228</v>
      </c>
      <c r="B79" s="7">
        <v>45680</v>
      </c>
      <c r="C79" t="s">
        <v>174</v>
      </c>
      <c r="D79" t="s">
        <v>127</v>
      </c>
      <c r="E79" t="s">
        <v>137</v>
      </c>
      <c r="F79" t="s">
        <v>152</v>
      </c>
      <c r="G79" t="s">
        <v>29</v>
      </c>
      <c r="H79" t="s">
        <v>30</v>
      </c>
      <c r="I79" t="s">
        <v>31</v>
      </c>
      <c r="J79">
        <v>8</v>
      </c>
      <c r="K79">
        <v>582.73</v>
      </c>
      <c r="L79">
        <v>0.05</v>
      </c>
      <c r="M79">
        <f t="shared" si="4"/>
        <v>4428.7479999999996</v>
      </c>
      <c r="N79">
        <f t="shared" si="5"/>
        <v>2878.6861999999996</v>
      </c>
      <c r="O79">
        <f t="shared" si="6"/>
        <v>1550.0617999999999</v>
      </c>
      <c r="P79">
        <f t="shared" si="7"/>
        <v>0.35000000000000003</v>
      </c>
      <c r="Q79" t="s">
        <v>125</v>
      </c>
    </row>
    <row r="80" spans="1:17" x14ac:dyDescent="0.3">
      <c r="A80" t="s">
        <v>229</v>
      </c>
      <c r="B80" s="7">
        <v>45578</v>
      </c>
      <c r="C80" t="s">
        <v>171</v>
      </c>
      <c r="D80" t="s">
        <v>122</v>
      </c>
      <c r="E80" t="s">
        <v>123</v>
      </c>
      <c r="F80" t="s">
        <v>138</v>
      </c>
      <c r="G80" t="s">
        <v>9</v>
      </c>
      <c r="H80" t="s">
        <v>10</v>
      </c>
      <c r="I80" t="s">
        <v>11</v>
      </c>
      <c r="J80">
        <v>9</v>
      </c>
      <c r="K80">
        <v>1880.65</v>
      </c>
      <c r="L80">
        <v>0</v>
      </c>
      <c r="M80">
        <f t="shared" si="4"/>
        <v>16925.850000000002</v>
      </c>
      <c r="N80">
        <f t="shared" si="5"/>
        <v>11001.802500000002</v>
      </c>
      <c r="O80">
        <f t="shared" si="6"/>
        <v>5924.0475000000006</v>
      </c>
      <c r="P80">
        <f t="shared" si="7"/>
        <v>0.35</v>
      </c>
      <c r="Q80" t="s">
        <v>125</v>
      </c>
    </row>
    <row r="81" spans="1:17" x14ac:dyDescent="0.3">
      <c r="A81" t="s">
        <v>230</v>
      </c>
      <c r="B81" s="7">
        <v>45708</v>
      </c>
      <c r="C81" t="s">
        <v>164</v>
      </c>
      <c r="D81" t="s">
        <v>122</v>
      </c>
      <c r="E81" t="s">
        <v>150</v>
      </c>
      <c r="F81" t="s">
        <v>143</v>
      </c>
      <c r="G81" t="s">
        <v>51</v>
      </c>
      <c r="H81" t="s">
        <v>52</v>
      </c>
      <c r="I81" t="s">
        <v>23</v>
      </c>
      <c r="J81">
        <v>11</v>
      </c>
      <c r="K81">
        <v>51.06</v>
      </c>
      <c r="L81">
        <v>0.1</v>
      </c>
      <c r="M81">
        <f t="shared" si="4"/>
        <v>505.49400000000009</v>
      </c>
      <c r="N81">
        <f t="shared" si="5"/>
        <v>328.57110000000006</v>
      </c>
      <c r="O81">
        <f t="shared" si="6"/>
        <v>176.92290000000003</v>
      </c>
      <c r="P81">
        <f t="shared" si="7"/>
        <v>0.35</v>
      </c>
      <c r="Q81" t="s">
        <v>125</v>
      </c>
    </row>
    <row r="82" spans="1:17" x14ac:dyDescent="0.3">
      <c r="A82" t="s">
        <v>231</v>
      </c>
      <c r="B82" s="7">
        <v>45387</v>
      </c>
      <c r="C82" t="s">
        <v>149</v>
      </c>
      <c r="D82" t="s">
        <v>127</v>
      </c>
      <c r="E82" t="s">
        <v>137</v>
      </c>
      <c r="F82" t="s">
        <v>143</v>
      </c>
      <c r="G82" t="s">
        <v>35</v>
      </c>
      <c r="H82" t="s">
        <v>36</v>
      </c>
      <c r="I82" t="s">
        <v>15</v>
      </c>
      <c r="J82">
        <v>5</v>
      </c>
      <c r="K82">
        <v>457.38</v>
      </c>
      <c r="L82">
        <v>0.05</v>
      </c>
      <c r="M82">
        <f t="shared" si="4"/>
        <v>2172.5549999999998</v>
      </c>
      <c r="N82">
        <f t="shared" si="5"/>
        <v>1412.16075</v>
      </c>
      <c r="O82">
        <f t="shared" si="6"/>
        <v>760.39424999999983</v>
      </c>
      <c r="P82">
        <f t="shared" si="7"/>
        <v>0.34999999999999992</v>
      </c>
      <c r="Q82" t="s">
        <v>147</v>
      </c>
    </row>
    <row r="83" spans="1:17" x14ac:dyDescent="0.3">
      <c r="A83" t="s">
        <v>232</v>
      </c>
      <c r="B83" s="7">
        <v>45835</v>
      </c>
      <c r="C83" t="s">
        <v>174</v>
      </c>
      <c r="D83" t="s">
        <v>131</v>
      </c>
      <c r="E83" t="s">
        <v>123</v>
      </c>
      <c r="F83" t="s">
        <v>152</v>
      </c>
      <c r="G83" t="s">
        <v>49</v>
      </c>
      <c r="H83" t="s">
        <v>50</v>
      </c>
      <c r="I83" t="s">
        <v>19</v>
      </c>
      <c r="J83">
        <v>5</v>
      </c>
      <c r="K83">
        <v>220.65</v>
      </c>
      <c r="L83">
        <v>0</v>
      </c>
      <c r="M83">
        <f t="shared" si="4"/>
        <v>1103.25</v>
      </c>
      <c r="N83">
        <f t="shared" si="5"/>
        <v>717.11250000000007</v>
      </c>
      <c r="O83">
        <f t="shared" si="6"/>
        <v>386.13749999999993</v>
      </c>
      <c r="P83">
        <f t="shared" si="7"/>
        <v>0.34999999999999992</v>
      </c>
      <c r="Q83" t="s">
        <v>125</v>
      </c>
    </row>
    <row r="84" spans="1:17" x14ac:dyDescent="0.3">
      <c r="A84" t="s">
        <v>233</v>
      </c>
      <c r="B84" s="7">
        <v>45489</v>
      </c>
      <c r="C84" t="s">
        <v>174</v>
      </c>
      <c r="D84" t="s">
        <v>127</v>
      </c>
      <c r="E84" t="s">
        <v>150</v>
      </c>
      <c r="F84" t="s">
        <v>124</v>
      </c>
      <c r="G84" t="s">
        <v>33</v>
      </c>
      <c r="H84" t="s">
        <v>34</v>
      </c>
      <c r="I84" t="s">
        <v>11</v>
      </c>
      <c r="J84">
        <v>12</v>
      </c>
      <c r="K84">
        <v>1497.63</v>
      </c>
      <c r="L84">
        <v>0.15</v>
      </c>
      <c r="M84">
        <f t="shared" si="4"/>
        <v>15275.826000000001</v>
      </c>
      <c r="N84">
        <f t="shared" si="5"/>
        <v>9929.286900000001</v>
      </c>
      <c r="O84">
        <f t="shared" si="6"/>
        <v>5346.5391</v>
      </c>
      <c r="P84">
        <f t="shared" si="7"/>
        <v>0.35</v>
      </c>
      <c r="Q84" t="s">
        <v>135</v>
      </c>
    </row>
    <row r="85" spans="1:17" x14ac:dyDescent="0.3">
      <c r="A85" t="s">
        <v>234</v>
      </c>
      <c r="B85" s="7">
        <v>45581</v>
      </c>
      <c r="C85" t="s">
        <v>157</v>
      </c>
      <c r="D85" t="s">
        <v>127</v>
      </c>
      <c r="E85" t="s">
        <v>123</v>
      </c>
      <c r="F85" t="s">
        <v>124</v>
      </c>
      <c r="G85" t="s">
        <v>43</v>
      </c>
      <c r="H85" t="s">
        <v>44</v>
      </c>
      <c r="I85" t="s">
        <v>31</v>
      </c>
      <c r="J85">
        <v>3</v>
      </c>
      <c r="K85">
        <v>176.44</v>
      </c>
      <c r="L85">
        <v>0.15</v>
      </c>
      <c r="M85">
        <f t="shared" si="4"/>
        <v>449.92199999999991</v>
      </c>
      <c r="N85">
        <f t="shared" si="5"/>
        <v>292.44929999999994</v>
      </c>
      <c r="O85">
        <f t="shared" si="6"/>
        <v>157.47269999999997</v>
      </c>
      <c r="P85">
        <f t="shared" si="7"/>
        <v>0.35000000000000003</v>
      </c>
      <c r="Q85" t="s">
        <v>125</v>
      </c>
    </row>
    <row r="86" spans="1:17" x14ac:dyDescent="0.3">
      <c r="A86" t="s">
        <v>235</v>
      </c>
      <c r="B86" s="7">
        <v>45572</v>
      </c>
      <c r="C86" t="s">
        <v>121</v>
      </c>
      <c r="D86" t="s">
        <v>127</v>
      </c>
      <c r="E86" t="s">
        <v>123</v>
      </c>
      <c r="F86" t="s">
        <v>143</v>
      </c>
      <c r="G86" t="s">
        <v>25</v>
      </c>
      <c r="H86" t="s">
        <v>26</v>
      </c>
      <c r="I86" t="s">
        <v>27</v>
      </c>
      <c r="J86">
        <v>11</v>
      </c>
      <c r="K86">
        <v>1399.74</v>
      </c>
      <c r="L86">
        <v>0.1</v>
      </c>
      <c r="M86">
        <f t="shared" si="4"/>
        <v>13857.425999999999</v>
      </c>
      <c r="N86">
        <f t="shared" si="5"/>
        <v>9007.3269</v>
      </c>
      <c r="O86">
        <f t="shared" si="6"/>
        <v>4850.0990999999995</v>
      </c>
      <c r="P86">
        <f t="shared" si="7"/>
        <v>0.35</v>
      </c>
      <c r="Q86" t="s">
        <v>125</v>
      </c>
    </row>
    <row r="87" spans="1:17" x14ac:dyDescent="0.3">
      <c r="A87" t="s">
        <v>236</v>
      </c>
      <c r="B87" s="7">
        <v>45304</v>
      </c>
      <c r="C87" t="s">
        <v>140</v>
      </c>
      <c r="D87" t="s">
        <v>131</v>
      </c>
      <c r="E87" t="s">
        <v>137</v>
      </c>
      <c r="F87" t="s">
        <v>154</v>
      </c>
      <c r="G87" t="s">
        <v>49</v>
      </c>
      <c r="H87" t="s">
        <v>50</v>
      </c>
      <c r="I87" t="s">
        <v>19</v>
      </c>
      <c r="J87">
        <v>6</v>
      </c>
      <c r="K87">
        <v>217.9</v>
      </c>
      <c r="L87">
        <v>0</v>
      </c>
      <c r="M87">
        <f t="shared" si="4"/>
        <v>1307.4000000000001</v>
      </c>
      <c r="N87">
        <f t="shared" si="5"/>
        <v>849.81000000000006</v>
      </c>
      <c r="O87">
        <f t="shared" si="6"/>
        <v>457.59000000000003</v>
      </c>
      <c r="P87">
        <f t="shared" si="7"/>
        <v>0.35</v>
      </c>
      <c r="Q87" t="s">
        <v>125</v>
      </c>
    </row>
    <row r="88" spans="1:17" x14ac:dyDescent="0.3">
      <c r="A88" t="s">
        <v>237</v>
      </c>
      <c r="B88" s="7">
        <v>45781</v>
      </c>
      <c r="C88" t="s">
        <v>157</v>
      </c>
      <c r="D88" t="s">
        <v>127</v>
      </c>
      <c r="E88" t="s">
        <v>137</v>
      </c>
      <c r="F88" t="s">
        <v>154</v>
      </c>
      <c r="G88" t="s">
        <v>17</v>
      </c>
      <c r="H88" t="s">
        <v>18</v>
      </c>
      <c r="I88" t="s">
        <v>19</v>
      </c>
      <c r="J88">
        <v>10</v>
      </c>
      <c r="K88">
        <v>121.55</v>
      </c>
      <c r="L88">
        <v>0</v>
      </c>
      <c r="M88">
        <f t="shared" si="4"/>
        <v>1215.5</v>
      </c>
      <c r="N88">
        <f t="shared" si="5"/>
        <v>790.07500000000005</v>
      </c>
      <c r="O88">
        <f t="shared" si="6"/>
        <v>425.42499999999995</v>
      </c>
      <c r="P88">
        <f t="shared" si="7"/>
        <v>0.35</v>
      </c>
      <c r="Q88" t="s">
        <v>125</v>
      </c>
    </row>
    <row r="89" spans="1:17" x14ac:dyDescent="0.3">
      <c r="A89" t="s">
        <v>238</v>
      </c>
      <c r="B89" s="7">
        <v>45444</v>
      </c>
      <c r="C89" t="s">
        <v>134</v>
      </c>
      <c r="D89" t="s">
        <v>122</v>
      </c>
      <c r="E89" t="s">
        <v>123</v>
      </c>
      <c r="F89" t="s">
        <v>132</v>
      </c>
      <c r="G89" t="s">
        <v>35</v>
      </c>
      <c r="H89" t="s">
        <v>36</v>
      </c>
      <c r="I89" t="s">
        <v>15</v>
      </c>
      <c r="J89">
        <v>2</v>
      </c>
      <c r="K89">
        <v>452.61</v>
      </c>
      <c r="L89">
        <v>0.1</v>
      </c>
      <c r="M89">
        <f t="shared" si="4"/>
        <v>814.69800000000009</v>
      </c>
      <c r="N89">
        <f t="shared" si="5"/>
        <v>529.55370000000005</v>
      </c>
      <c r="O89">
        <f t="shared" si="6"/>
        <v>285.14430000000004</v>
      </c>
      <c r="P89">
        <f t="shared" si="7"/>
        <v>0.35000000000000003</v>
      </c>
      <c r="Q89" t="s">
        <v>135</v>
      </c>
    </row>
    <row r="90" spans="1:17" x14ac:dyDescent="0.3">
      <c r="A90" t="s">
        <v>239</v>
      </c>
      <c r="B90" s="7">
        <v>45523</v>
      </c>
      <c r="C90" t="s">
        <v>134</v>
      </c>
      <c r="D90" t="s">
        <v>122</v>
      </c>
      <c r="E90" t="s">
        <v>137</v>
      </c>
      <c r="F90" t="s">
        <v>154</v>
      </c>
      <c r="G90" t="s">
        <v>49</v>
      </c>
      <c r="H90" t="s">
        <v>50</v>
      </c>
      <c r="I90" t="s">
        <v>19</v>
      </c>
      <c r="J90">
        <v>5</v>
      </c>
      <c r="K90">
        <v>233.1</v>
      </c>
      <c r="L90">
        <v>0.1</v>
      </c>
      <c r="M90">
        <f t="shared" si="4"/>
        <v>1048.95</v>
      </c>
      <c r="N90">
        <f t="shared" si="5"/>
        <v>681.81750000000011</v>
      </c>
      <c r="O90">
        <f t="shared" si="6"/>
        <v>367.13249999999994</v>
      </c>
      <c r="P90">
        <f t="shared" si="7"/>
        <v>0.34999999999999992</v>
      </c>
      <c r="Q90" t="s">
        <v>125</v>
      </c>
    </row>
    <row r="91" spans="1:17" x14ac:dyDescent="0.3">
      <c r="A91" t="s">
        <v>240</v>
      </c>
      <c r="B91" s="7">
        <v>45353</v>
      </c>
      <c r="C91" t="s">
        <v>140</v>
      </c>
      <c r="D91" t="s">
        <v>122</v>
      </c>
      <c r="E91" t="s">
        <v>128</v>
      </c>
      <c r="F91" t="s">
        <v>124</v>
      </c>
      <c r="G91" t="s">
        <v>33</v>
      </c>
      <c r="H91" t="s">
        <v>34</v>
      </c>
      <c r="I91" t="s">
        <v>11</v>
      </c>
      <c r="J91">
        <v>5</v>
      </c>
      <c r="K91">
        <v>1524.06</v>
      </c>
      <c r="L91">
        <v>0</v>
      </c>
      <c r="M91">
        <f t="shared" si="4"/>
        <v>7620.2999999999993</v>
      </c>
      <c r="N91">
        <f t="shared" si="5"/>
        <v>4953.1949999999997</v>
      </c>
      <c r="O91">
        <f t="shared" si="6"/>
        <v>2667.1049999999996</v>
      </c>
      <c r="P91">
        <f t="shared" si="7"/>
        <v>0.35</v>
      </c>
      <c r="Q91" t="s">
        <v>125</v>
      </c>
    </row>
    <row r="92" spans="1:17" x14ac:dyDescent="0.3">
      <c r="A92" t="s">
        <v>241</v>
      </c>
      <c r="B92" s="7">
        <v>45469</v>
      </c>
      <c r="C92" t="s">
        <v>167</v>
      </c>
      <c r="D92" t="s">
        <v>127</v>
      </c>
      <c r="E92" t="s">
        <v>150</v>
      </c>
      <c r="F92" t="s">
        <v>132</v>
      </c>
      <c r="G92" t="s">
        <v>47</v>
      </c>
      <c r="H92" t="s">
        <v>48</v>
      </c>
      <c r="I92" t="s">
        <v>15</v>
      </c>
      <c r="J92">
        <v>8</v>
      </c>
      <c r="K92">
        <v>1222.72</v>
      </c>
      <c r="L92">
        <v>0.1</v>
      </c>
      <c r="M92">
        <f t="shared" si="4"/>
        <v>8803.5840000000007</v>
      </c>
      <c r="N92">
        <f t="shared" si="5"/>
        <v>5722.3296000000009</v>
      </c>
      <c r="O92">
        <f t="shared" si="6"/>
        <v>3081.2543999999998</v>
      </c>
      <c r="P92">
        <f t="shared" si="7"/>
        <v>0.34999999999999992</v>
      </c>
      <c r="Q92" t="s">
        <v>125</v>
      </c>
    </row>
    <row r="93" spans="1:17" x14ac:dyDescent="0.3">
      <c r="A93" t="s">
        <v>242</v>
      </c>
      <c r="B93" s="7">
        <v>45325</v>
      </c>
      <c r="C93" t="s">
        <v>130</v>
      </c>
      <c r="D93" t="s">
        <v>131</v>
      </c>
      <c r="E93" t="s">
        <v>123</v>
      </c>
      <c r="F93" t="s">
        <v>143</v>
      </c>
      <c r="G93" t="s">
        <v>49</v>
      </c>
      <c r="H93" t="s">
        <v>50</v>
      </c>
      <c r="I93" t="s">
        <v>19</v>
      </c>
      <c r="J93">
        <v>2</v>
      </c>
      <c r="K93">
        <v>229.22</v>
      </c>
      <c r="L93">
        <v>0.05</v>
      </c>
      <c r="M93">
        <f t="shared" si="4"/>
        <v>435.51799999999997</v>
      </c>
      <c r="N93">
        <f t="shared" si="5"/>
        <v>283.08670000000001</v>
      </c>
      <c r="O93">
        <f t="shared" si="6"/>
        <v>152.43129999999996</v>
      </c>
      <c r="P93">
        <f t="shared" si="7"/>
        <v>0.34999999999999992</v>
      </c>
      <c r="Q93" t="s">
        <v>144</v>
      </c>
    </row>
    <row r="94" spans="1:17" x14ac:dyDescent="0.3">
      <c r="A94" t="s">
        <v>243</v>
      </c>
      <c r="B94" s="7">
        <v>45494</v>
      </c>
      <c r="C94" t="s">
        <v>142</v>
      </c>
      <c r="D94" t="s">
        <v>127</v>
      </c>
      <c r="E94" t="s">
        <v>150</v>
      </c>
      <c r="F94" t="s">
        <v>143</v>
      </c>
      <c r="G94" t="s">
        <v>25</v>
      </c>
      <c r="H94" t="s">
        <v>26</v>
      </c>
      <c r="I94" t="s">
        <v>27</v>
      </c>
      <c r="J94">
        <v>15</v>
      </c>
      <c r="K94">
        <v>1318.36</v>
      </c>
      <c r="L94">
        <v>0</v>
      </c>
      <c r="M94">
        <f t="shared" si="4"/>
        <v>19775.399999999998</v>
      </c>
      <c r="N94">
        <f t="shared" si="5"/>
        <v>12854.009999999998</v>
      </c>
      <c r="O94">
        <f t="shared" si="6"/>
        <v>6921.3899999999994</v>
      </c>
      <c r="P94">
        <f t="shared" si="7"/>
        <v>0.35000000000000003</v>
      </c>
      <c r="Q94" t="s">
        <v>125</v>
      </c>
    </row>
    <row r="95" spans="1:17" x14ac:dyDescent="0.3">
      <c r="A95" t="s">
        <v>244</v>
      </c>
      <c r="B95" s="7">
        <v>45353</v>
      </c>
      <c r="C95" t="s">
        <v>245</v>
      </c>
      <c r="D95" t="s">
        <v>131</v>
      </c>
      <c r="E95" t="s">
        <v>123</v>
      </c>
      <c r="F95" t="s">
        <v>154</v>
      </c>
      <c r="G95" t="s">
        <v>21</v>
      </c>
      <c r="H95" t="s">
        <v>22</v>
      </c>
      <c r="I95" t="s">
        <v>23</v>
      </c>
      <c r="J95">
        <v>8</v>
      </c>
      <c r="K95">
        <v>152.83000000000001</v>
      </c>
      <c r="L95">
        <v>0.1</v>
      </c>
      <c r="M95">
        <f t="shared" si="4"/>
        <v>1100.3760000000002</v>
      </c>
      <c r="N95">
        <f t="shared" si="5"/>
        <v>715.24440000000016</v>
      </c>
      <c r="O95">
        <f t="shared" si="6"/>
        <v>385.13160000000005</v>
      </c>
      <c r="P95">
        <f t="shared" si="7"/>
        <v>0.35</v>
      </c>
      <c r="Q95" t="s">
        <v>125</v>
      </c>
    </row>
    <row r="96" spans="1:17" x14ac:dyDescent="0.3">
      <c r="A96" t="s">
        <v>246</v>
      </c>
      <c r="B96" s="7">
        <v>45804</v>
      </c>
      <c r="C96" t="s">
        <v>167</v>
      </c>
      <c r="D96" t="s">
        <v>131</v>
      </c>
      <c r="E96" t="s">
        <v>137</v>
      </c>
      <c r="F96" t="s">
        <v>132</v>
      </c>
      <c r="G96" t="s">
        <v>60</v>
      </c>
      <c r="H96" t="s">
        <v>61</v>
      </c>
      <c r="I96" t="s">
        <v>15</v>
      </c>
      <c r="J96">
        <v>1</v>
      </c>
      <c r="K96">
        <v>233.76</v>
      </c>
      <c r="L96">
        <v>0.05</v>
      </c>
      <c r="M96">
        <f t="shared" si="4"/>
        <v>222.07199999999997</v>
      </c>
      <c r="N96">
        <f t="shared" si="5"/>
        <v>144.3468</v>
      </c>
      <c r="O96">
        <f t="shared" si="6"/>
        <v>77.725199999999973</v>
      </c>
      <c r="P96">
        <f t="shared" si="7"/>
        <v>0.34999999999999992</v>
      </c>
      <c r="Q96" t="s">
        <v>135</v>
      </c>
    </row>
    <row r="97" spans="1:17" x14ac:dyDescent="0.3">
      <c r="A97" t="s">
        <v>247</v>
      </c>
      <c r="B97" s="7">
        <v>45548</v>
      </c>
      <c r="C97" t="s">
        <v>121</v>
      </c>
      <c r="D97" t="s">
        <v>127</v>
      </c>
      <c r="E97" t="s">
        <v>150</v>
      </c>
      <c r="F97" t="s">
        <v>143</v>
      </c>
      <c r="G97" t="s">
        <v>58</v>
      </c>
      <c r="H97" t="s">
        <v>59</v>
      </c>
      <c r="I97" t="s">
        <v>11</v>
      </c>
      <c r="J97">
        <v>10</v>
      </c>
      <c r="K97">
        <v>1724.38</v>
      </c>
      <c r="L97">
        <v>0.05</v>
      </c>
      <c r="M97">
        <f t="shared" si="4"/>
        <v>16381.610000000002</v>
      </c>
      <c r="N97">
        <f t="shared" si="5"/>
        <v>10648.046500000002</v>
      </c>
      <c r="O97">
        <f t="shared" si="6"/>
        <v>5733.5635000000002</v>
      </c>
      <c r="P97">
        <f t="shared" si="7"/>
        <v>0.35</v>
      </c>
      <c r="Q97" t="s">
        <v>135</v>
      </c>
    </row>
    <row r="98" spans="1:17" x14ac:dyDescent="0.3">
      <c r="A98" t="s">
        <v>248</v>
      </c>
      <c r="B98" s="7">
        <v>45333</v>
      </c>
      <c r="C98" t="s">
        <v>134</v>
      </c>
      <c r="D98" t="s">
        <v>127</v>
      </c>
      <c r="E98" t="s">
        <v>137</v>
      </c>
      <c r="F98" t="s">
        <v>138</v>
      </c>
      <c r="G98" t="s">
        <v>49</v>
      </c>
      <c r="H98" t="s">
        <v>50</v>
      </c>
      <c r="I98" t="s">
        <v>19</v>
      </c>
      <c r="J98">
        <v>15</v>
      </c>
      <c r="K98">
        <v>220.01</v>
      </c>
      <c r="L98">
        <v>0.15</v>
      </c>
      <c r="M98">
        <f t="shared" si="4"/>
        <v>2805.1274999999996</v>
      </c>
      <c r="N98">
        <f t="shared" si="5"/>
        <v>1823.3328749999998</v>
      </c>
      <c r="O98">
        <f t="shared" si="6"/>
        <v>981.79462499999977</v>
      </c>
      <c r="P98">
        <f t="shared" si="7"/>
        <v>0.35</v>
      </c>
      <c r="Q98" t="s">
        <v>147</v>
      </c>
    </row>
    <row r="99" spans="1:17" x14ac:dyDescent="0.3">
      <c r="A99" t="s">
        <v>249</v>
      </c>
      <c r="B99" s="7">
        <v>45795</v>
      </c>
      <c r="C99" t="s">
        <v>157</v>
      </c>
      <c r="D99" t="s">
        <v>131</v>
      </c>
      <c r="E99" t="s">
        <v>123</v>
      </c>
      <c r="F99" t="s">
        <v>154</v>
      </c>
      <c r="G99" t="s">
        <v>41</v>
      </c>
      <c r="H99" t="s">
        <v>42</v>
      </c>
      <c r="I99" t="s">
        <v>27</v>
      </c>
      <c r="J99">
        <v>6</v>
      </c>
      <c r="K99">
        <v>381.38</v>
      </c>
      <c r="L99">
        <v>0</v>
      </c>
      <c r="M99">
        <f t="shared" si="4"/>
        <v>2288.2799999999997</v>
      </c>
      <c r="N99">
        <f t="shared" si="5"/>
        <v>1487.3819999999998</v>
      </c>
      <c r="O99">
        <f t="shared" si="6"/>
        <v>800.89799999999991</v>
      </c>
      <c r="P99">
        <f t="shared" si="7"/>
        <v>0.35</v>
      </c>
      <c r="Q99" t="s">
        <v>125</v>
      </c>
    </row>
    <row r="100" spans="1:17" x14ac:dyDescent="0.3">
      <c r="A100" t="s">
        <v>250</v>
      </c>
      <c r="B100" s="7">
        <v>45713</v>
      </c>
      <c r="C100" t="s">
        <v>146</v>
      </c>
      <c r="D100" t="s">
        <v>131</v>
      </c>
      <c r="E100" t="s">
        <v>123</v>
      </c>
      <c r="F100" t="s">
        <v>143</v>
      </c>
      <c r="G100" t="s">
        <v>45</v>
      </c>
      <c r="H100" t="s">
        <v>46</v>
      </c>
      <c r="I100" t="s">
        <v>11</v>
      </c>
      <c r="J100">
        <v>14</v>
      </c>
      <c r="K100">
        <v>2308.61</v>
      </c>
      <c r="L100">
        <v>0</v>
      </c>
      <c r="M100">
        <f t="shared" si="4"/>
        <v>32320.54</v>
      </c>
      <c r="N100">
        <f t="shared" si="5"/>
        <v>21008.351000000002</v>
      </c>
      <c r="O100">
        <f t="shared" si="6"/>
        <v>11312.188999999998</v>
      </c>
      <c r="P100">
        <f t="shared" si="7"/>
        <v>0.34999999999999992</v>
      </c>
      <c r="Q100" t="s">
        <v>147</v>
      </c>
    </row>
    <row r="101" spans="1:17" x14ac:dyDescent="0.3">
      <c r="A101" t="s">
        <v>251</v>
      </c>
      <c r="B101" s="7">
        <v>45382</v>
      </c>
      <c r="C101" t="s">
        <v>174</v>
      </c>
      <c r="D101" t="s">
        <v>131</v>
      </c>
      <c r="E101" t="s">
        <v>123</v>
      </c>
      <c r="F101" t="s">
        <v>132</v>
      </c>
      <c r="G101" t="s">
        <v>45</v>
      </c>
      <c r="H101" t="s">
        <v>46</v>
      </c>
      <c r="I101" t="s">
        <v>11</v>
      </c>
      <c r="J101">
        <v>14</v>
      </c>
      <c r="K101">
        <v>2253.2800000000002</v>
      </c>
      <c r="L101">
        <v>0</v>
      </c>
      <c r="M101">
        <f t="shared" si="4"/>
        <v>31545.920000000002</v>
      </c>
      <c r="N101">
        <f t="shared" si="5"/>
        <v>20504.848000000002</v>
      </c>
      <c r="O101">
        <f t="shared" si="6"/>
        <v>11041.072</v>
      </c>
      <c r="P101">
        <f t="shared" si="7"/>
        <v>0.35</v>
      </c>
      <c r="Q101" t="s">
        <v>144</v>
      </c>
    </row>
    <row r="102" spans="1:17" x14ac:dyDescent="0.3">
      <c r="A102" t="s">
        <v>252</v>
      </c>
      <c r="B102" s="7">
        <v>45765</v>
      </c>
      <c r="C102" t="s">
        <v>142</v>
      </c>
      <c r="D102" t="s">
        <v>127</v>
      </c>
      <c r="E102" t="s">
        <v>150</v>
      </c>
      <c r="F102" t="s">
        <v>138</v>
      </c>
      <c r="G102" t="s">
        <v>43</v>
      </c>
      <c r="H102" t="s">
        <v>44</v>
      </c>
      <c r="I102" t="s">
        <v>31</v>
      </c>
      <c r="J102">
        <v>10</v>
      </c>
      <c r="K102">
        <v>184.62</v>
      </c>
      <c r="L102">
        <v>0.1</v>
      </c>
      <c r="M102">
        <f t="shared" si="4"/>
        <v>1661.5800000000002</v>
      </c>
      <c r="N102">
        <f t="shared" si="5"/>
        <v>1080.027</v>
      </c>
      <c r="O102">
        <f t="shared" si="6"/>
        <v>581.55300000000011</v>
      </c>
      <c r="P102">
        <f t="shared" si="7"/>
        <v>0.35000000000000003</v>
      </c>
      <c r="Q102" t="s">
        <v>125</v>
      </c>
    </row>
    <row r="103" spans="1:17" x14ac:dyDescent="0.3">
      <c r="A103" t="s">
        <v>253</v>
      </c>
      <c r="B103" s="7">
        <v>45500</v>
      </c>
      <c r="C103" t="s">
        <v>149</v>
      </c>
      <c r="D103" t="s">
        <v>122</v>
      </c>
      <c r="E103" t="s">
        <v>150</v>
      </c>
      <c r="F103" t="s">
        <v>152</v>
      </c>
      <c r="G103" t="s">
        <v>49</v>
      </c>
      <c r="H103" t="s">
        <v>50</v>
      </c>
      <c r="I103" t="s">
        <v>19</v>
      </c>
      <c r="J103">
        <v>15</v>
      </c>
      <c r="K103">
        <v>229.46</v>
      </c>
      <c r="L103">
        <v>0</v>
      </c>
      <c r="M103">
        <f t="shared" si="4"/>
        <v>3441.9</v>
      </c>
      <c r="N103">
        <f t="shared" si="5"/>
        <v>2237.2350000000001</v>
      </c>
      <c r="O103">
        <f t="shared" si="6"/>
        <v>1204.665</v>
      </c>
      <c r="P103">
        <f t="shared" si="7"/>
        <v>0.35</v>
      </c>
      <c r="Q103" t="s">
        <v>125</v>
      </c>
    </row>
    <row r="104" spans="1:17" x14ac:dyDescent="0.3">
      <c r="A104" t="s">
        <v>254</v>
      </c>
      <c r="B104" s="7">
        <v>45537</v>
      </c>
      <c r="C104" t="s">
        <v>146</v>
      </c>
      <c r="D104" t="s">
        <v>127</v>
      </c>
      <c r="E104" t="s">
        <v>123</v>
      </c>
      <c r="F104" t="s">
        <v>138</v>
      </c>
      <c r="G104" t="s">
        <v>9</v>
      </c>
      <c r="H104" t="s">
        <v>10</v>
      </c>
      <c r="I104" t="s">
        <v>11</v>
      </c>
      <c r="J104">
        <v>9</v>
      </c>
      <c r="K104">
        <v>1783.44</v>
      </c>
      <c r="L104">
        <v>0</v>
      </c>
      <c r="M104">
        <f t="shared" si="4"/>
        <v>16050.960000000001</v>
      </c>
      <c r="N104">
        <f t="shared" si="5"/>
        <v>10433.124000000002</v>
      </c>
      <c r="O104">
        <f t="shared" si="6"/>
        <v>5617.8359999999993</v>
      </c>
      <c r="P104">
        <f t="shared" si="7"/>
        <v>0.34999999999999992</v>
      </c>
      <c r="Q104" t="s">
        <v>125</v>
      </c>
    </row>
    <row r="105" spans="1:17" x14ac:dyDescent="0.3">
      <c r="A105" t="s">
        <v>255</v>
      </c>
      <c r="B105" s="7">
        <v>45764</v>
      </c>
      <c r="C105" t="s">
        <v>157</v>
      </c>
      <c r="D105" t="s">
        <v>122</v>
      </c>
      <c r="E105" t="s">
        <v>150</v>
      </c>
      <c r="F105" t="s">
        <v>154</v>
      </c>
      <c r="G105" t="s">
        <v>39</v>
      </c>
      <c r="H105" t="s">
        <v>40</v>
      </c>
      <c r="I105" t="s">
        <v>23</v>
      </c>
      <c r="J105">
        <v>9</v>
      </c>
      <c r="K105">
        <v>61.23</v>
      </c>
      <c r="L105">
        <v>0.1</v>
      </c>
      <c r="M105">
        <f t="shared" si="4"/>
        <v>495.96299999999997</v>
      </c>
      <c r="N105">
        <f t="shared" si="5"/>
        <v>322.37594999999999</v>
      </c>
      <c r="O105">
        <f t="shared" si="6"/>
        <v>173.58704999999998</v>
      </c>
      <c r="P105">
        <f t="shared" si="7"/>
        <v>0.35</v>
      </c>
      <c r="Q105" t="s">
        <v>147</v>
      </c>
    </row>
    <row r="106" spans="1:17" x14ac:dyDescent="0.3">
      <c r="A106" t="s">
        <v>256</v>
      </c>
      <c r="B106" s="7">
        <v>45775</v>
      </c>
      <c r="C106" t="s">
        <v>130</v>
      </c>
      <c r="D106" t="s">
        <v>131</v>
      </c>
      <c r="E106" t="s">
        <v>150</v>
      </c>
      <c r="F106" t="s">
        <v>154</v>
      </c>
      <c r="G106" t="s">
        <v>33</v>
      </c>
      <c r="H106" t="s">
        <v>34</v>
      </c>
      <c r="I106" t="s">
        <v>11</v>
      </c>
      <c r="J106">
        <v>15</v>
      </c>
      <c r="K106">
        <v>1514.91</v>
      </c>
      <c r="L106">
        <v>0</v>
      </c>
      <c r="M106">
        <f t="shared" si="4"/>
        <v>22723.65</v>
      </c>
      <c r="N106">
        <f t="shared" si="5"/>
        <v>14770.372500000001</v>
      </c>
      <c r="O106">
        <f t="shared" si="6"/>
        <v>7953.2775000000001</v>
      </c>
      <c r="P106">
        <f t="shared" si="7"/>
        <v>0.35</v>
      </c>
      <c r="Q106" t="s">
        <v>125</v>
      </c>
    </row>
    <row r="107" spans="1:17" x14ac:dyDescent="0.3">
      <c r="A107" t="s">
        <v>257</v>
      </c>
      <c r="B107" s="7">
        <v>45574</v>
      </c>
      <c r="C107" t="s">
        <v>134</v>
      </c>
      <c r="D107" t="s">
        <v>131</v>
      </c>
      <c r="E107" t="s">
        <v>123</v>
      </c>
      <c r="F107" t="s">
        <v>138</v>
      </c>
      <c r="G107" t="s">
        <v>37</v>
      </c>
      <c r="H107" t="s">
        <v>38</v>
      </c>
      <c r="I107" t="s">
        <v>19</v>
      </c>
      <c r="J107">
        <v>14</v>
      </c>
      <c r="K107">
        <v>71.27</v>
      </c>
      <c r="L107">
        <v>0.05</v>
      </c>
      <c r="M107">
        <f t="shared" si="4"/>
        <v>947.89099999999996</v>
      </c>
      <c r="N107">
        <f t="shared" si="5"/>
        <v>616.12914999999998</v>
      </c>
      <c r="O107">
        <f t="shared" si="6"/>
        <v>331.76184999999998</v>
      </c>
      <c r="P107">
        <f t="shared" si="7"/>
        <v>0.35</v>
      </c>
      <c r="Q107" t="s">
        <v>135</v>
      </c>
    </row>
    <row r="108" spans="1:17" x14ac:dyDescent="0.3">
      <c r="A108" t="s">
        <v>258</v>
      </c>
      <c r="B108" s="7">
        <v>45793</v>
      </c>
      <c r="C108" t="s">
        <v>187</v>
      </c>
      <c r="D108" t="s">
        <v>127</v>
      </c>
      <c r="E108" t="s">
        <v>137</v>
      </c>
      <c r="F108" t="s">
        <v>138</v>
      </c>
      <c r="G108" t="s">
        <v>51</v>
      </c>
      <c r="H108" t="s">
        <v>52</v>
      </c>
      <c r="I108" t="s">
        <v>23</v>
      </c>
      <c r="J108">
        <v>6</v>
      </c>
      <c r="K108">
        <v>49.16</v>
      </c>
      <c r="L108">
        <v>0.15</v>
      </c>
      <c r="M108">
        <f t="shared" si="4"/>
        <v>250.71599999999998</v>
      </c>
      <c r="N108">
        <f t="shared" si="5"/>
        <v>162.96539999999999</v>
      </c>
      <c r="O108">
        <f t="shared" si="6"/>
        <v>87.750599999999991</v>
      </c>
      <c r="P108">
        <f t="shared" si="7"/>
        <v>0.35</v>
      </c>
      <c r="Q108" t="s">
        <v>147</v>
      </c>
    </row>
    <row r="109" spans="1:17" x14ac:dyDescent="0.3">
      <c r="A109" t="s">
        <v>259</v>
      </c>
      <c r="B109" s="7">
        <v>45758</v>
      </c>
      <c r="C109" t="s">
        <v>171</v>
      </c>
      <c r="D109" t="s">
        <v>131</v>
      </c>
      <c r="E109" t="s">
        <v>150</v>
      </c>
      <c r="F109" t="s">
        <v>143</v>
      </c>
      <c r="G109" t="s">
        <v>35</v>
      </c>
      <c r="H109" t="s">
        <v>36</v>
      </c>
      <c r="I109" t="s">
        <v>15</v>
      </c>
      <c r="J109">
        <v>10</v>
      </c>
      <c r="K109">
        <v>444.73</v>
      </c>
      <c r="L109">
        <v>0.1</v>
      </c>
      <c r="M109">
        <f t="shared" si="4"/>
        <v>4002.57</v>
      </c>
      <c r="N109">
        <f t="shared" si="5"/>
        <v>2601.6705000000002</v>
      </c>
      <c r="O109">
        <f t="shared" si="6"/>
        <v>1400.8995</v>
      </c>
      <c r="P109">
        <f t="shared" si="7"/>
        <v>0.35</v>
      </c>
      <c r="Q109" t="s">
        <v>125</v>
      </c>
    </row>
    <row r="110" spans="1:17" x14ac:dyDescent="0.3">
      <c r="A110" t="s">
        <v>260</v>
      </c>
      <c r="B110" s="7">
        <v>45617</v>
      </c>
      <c r="C110" t="s">
        <v>146</v>
      </c>
      <c r="D110" t="s">
        <v>131</v>
      </c>
      <c r="E110" t="s">
        <v>137</v>
      </c>
      <c r="F110" t="s">
        <v>154</v>
      </c>
      <c r="G110" t="s">
        <v>25</v>
      </c>
      <c r="H110" t="s">
        <v>26</v>
      </c>
      <c r="I110" t="s">
        <v>27</v>
      </c>
      <c r="J110">
        <v>8</v>
      </c>
      <c r="K110">
        <v>1412.75</v>
      </c>
      <c r="L110">
        <v>0</v>
      </c>
      <c r="M110">
        <f t="shared" si="4"/>
        <v>11302</v>
      </c>
      <c r="N110">
        <f t="shared" si="5"/>
        <v>7346.3</v>
      </c>
      <c r="O110">
        <f t="shared" si="6"/>
        <v>3955.7</v>
      </c>
      <c r="P110">
        <f t="shared" si="7"/>
        <v>0.35</v>
      </c>
      <c r="Q110" t="s">
        <v>135</v>
      </c>
    </row>
    <row r="111" spans="1:17" x14ac:dyDescent="0.3">
      <c r="A111" t="s">
        <v>261</v>
      </c>
      <c r="B111" s="7">
        <v>45631</v>
      </c>
      <c r="C111" t="s">
        <v>187</v>
      </c>
      <c r="D111" t="s">
        <v>127</v>
      </c>
      <c r="E111" t="s">
        <v>137</v>
      </c>
      <c r="F111" t="s">
        <v>132</v>
      </c>
      <c r="G111" t="s">
        <v>54</v>
      </c>
      <c r="H111" t="s">
        <v>55</v>
      </c>
      <c r="I111" t="s">
        <v>27</v>
      </c>
      <c r="J111">
        <v>15</v>
      </c>
      <c r="K111">
        <v>1045.48</v>
      </c>
      <c r="L111">
        <v>0</v>
      </c>
      <c r="M111">
        <f t="shared" si="4"/>
        <v>15682.2</v>
      </c>
      <c r="N111">
        <f t="shared" si="5"/>
        <v>10193.43</v>
      </c>
      <c r="O111">
        <f t="shared" si="6"/>
        <v>5488.77</v>
      </c>
      <c r="P111">
        <f t="shared" si="7"/>
        <v>0.35000000000000003</v>
      </c>
      <c r="Q111" t="s">
        <v>147</v>
      </c>
    </row>
    <row r="112" spans="1:17" x14ac:dyDescent="0.3">
      <c r="A112" t="s">
        <v>262</v>
      </c>
      <c r="B112" s="7">
        <v>45450</v>
      </c>
      <c r="C112" t="s">
        <v>157</v>
      </c>
      <c r="D112" t="s">
        <v>131</v>
      </c>
      <c r="E112" t="s">
        <v>123</v>
      </c>
      <c r="F112" t="s">
        <v>152</v>
      </c>
      <c r="G112" t="s">
        <v>60</v>
      </c>
      <c r="H112" t="s">
        <v>61</v>
      </c>
      <c r="I112" t="s">
        <v>15</v>
      </c>
      <c r="J112">
        <v>12</v>
      </c>
      <c r="K112">
        <v>222.69</v>
      </c>
      <c r="L112">
        <v>0</v>
      </c>
      <c r="M112">
        <f t="shared" si="4"/>
        <v>2672.2799999999997</v>
      </c>
      <c r="N112">
        <f t="shared" si="5"/>
        <v>1736.982</v>
      </c>
      <c r="O112">
        <f t="shared" si="6"/>
        <v>935.29799999999977</v>
      </c>
      <c r="P112">
        <f t="shared" si="7"/>
        <v>0.34999999999999992</v>
      </c>
      <c r="Q112" t="s">
        <v>125</v>
      </c>
    </row>
    <row r="113" spans="1:17" x14ac:dyDescent="0.3">
      <c r="A113" t="s">
        <v>263</v>
      </c>
      <c r="B113" s="7">
        <v>45838</v>
      </c>
      <c r="C113" t="s">
        <v>142</v>
      </c>
      <c r="D113" t="s">
        <v>131</v>
      </c>
      <c r="E113" t="s">
        <v>137</v>
      </c>
      <c r="F113" t="s">
        <v>138</v>
      </c>
      <c r="G113" t="s">
        <v>13</v>
      </c>
      <c r="H113" t="s">
        <v>14</v>
      </c>
      <c r="I113" t="s">
        <v>15</v>
      </c>
      <c r="J113">
        <v>10</v>
      </c>
      <c r="K113">
        <v>861.16</v>
      </c>
      <c r="L113">
        <v>0.05</v>
      </c>
      <c r="M113">
        <f t="shared" si="4"/>
        <v>8181.0199999999995</v>
      </c>
      <c r="N113">
        <f t="shared" si="5"/>
        <v>5317.6629999999996</v>
      </c>
      <c r="O113">
        <f t="shared" si="6"/>
        <v>2863.357</v>
      </c>
      <c r="P113">
        <f t="shared" si="7"/>
        <v>0.35000000000000003</v>
      </c>
      <c r="Q113" t="s">
        <v>125</v>
      </c>
    </row>
    <row r="114" spans="1:17" x14ac:dyDescent="0.3">
      <c r="A114" t="s">
        <v>264</v>
      </c>
      <c r="B114" s="7">
        <v>45384</v>
      </c>
      <c r="C114" t="s">
        <v>142</v>
      </c>
      <c r="D114" t="s">
        <v>127</v>
      </c>
      <c r="E114" t="s">
        <v>128</v>
      </c>
      <c r="F114" t="s">
        <v>154</v>
      </c>
      <c r="G114" t="s">
        <v>29</v>
      </c>
      <c r="H114" t="s">
        <v>30</v>
      </c>
      <c r="I114" t="s">
        <v>31</v>
      </c>
      <c r="J114">
        <v>12</v>
      </c>
      <c r="K114">
        <v>587.97</v>
      </c>
      <c r="L114">
        <v>0</v>
      </c>
      <c r="M114">
        <f t="shared" si="4"/>
        <v>7055.64</v>
      </c>
      <c r="N114">
        <f t="shared" si="5"/>
        <v>4586.1660000000002</v>
      </c>
      <c r="O114">
        <f t="shared" si="6"/>
        <v>2469.4740000000002</v>
      </c>
      <c r="P114">
        <f t="shared" si="7"/>
        <v>0.35000000000000003</v>
      </c>
      <c r="Q114" t="s">
        <v>125</v>
      </c>
    </row>
    <row r="115" spans="1:17" x14ac:dyDescent="0.3">
      <c r="A115" t="s">
        <v>265</v>
      </c>
      <c r="B115" s="7">
        <v>45624</v>
      </c>
      <c r="C115" t="s">
        <v>134</v>
      </c>
      <c r="D115" t="s">
        <v>127</v>
      </c>
      <c r="E115" t="s">
        <v>123</v>
      </c>
      <c r="F115" t="s">
        <v>152</v>
      </c>
      <c r="G115" t="s">
        <v>43</v>
      </c>
      <c r="H115" t="s">
        <v>44</v>
      </c>
      <c r="I115" t="s">
        <v>31</v>
      </c>
      <c r="J115">
        <v>7</v>
      </c>
      <c r="K115">
        <v>173.62</v>
      </c>
      <c r="L115">
        <v>0.15</v>
      </c>
      <c r="M115">
        <f t="shared" si="4"/>
        <v>1033.039</v>
      </c>
      <c r="N115">
        <f t="shared" si="5"/>
        <v>671.47535000000005</v>
      </c>
      <c r="O115">
        <f t="shared" si="6"/>
        <v>361.56364999999994</v>
      </c>
      <c r="P115">
        <f t="shared" si="7"/>
        <v>0.34999999999999992</v>
      </c>
      <c r="Q115" t="s">
        <v>147</v>
      </c>
    </row>
    <row r="116" spans="1:17" x14ac:dyDescent="0.3">
      <c r="A116" t="s">
        <v>266</v>
      </c>
      <c r="B116" s="7">
        <v>45476</v>
      </c>
      <c r="C116" t="s">
        <v>245</v>
      </c>
      <c r="D116" t="s">
        <v>127</v>
      </c>
      <c r="E116" t="s">
        <v>128</v>
      </c>
      <c r="F116" t="s">
        <v>138</v>
      </c>
      <c r="G116" t="s">
        <v>45</v>
      </c>
      <c r="H116" t="s">
        <v>46</v>
      </c>
      <c r="I116" t="s">
        <v>11</v>
      </c>
      <c r="J116">
        <v>10</v>
      </c>
      <c r="K116">
        <v>2291.21</v>
      </c>
      <c r="L116">
        <v>0.1</v>
      </c>
      <c r="M116">
        <f t="shared" si="4"/>
        <v>20620.89</v>
      </c>
      <c r="N116">
        <f t="shared" si="5"/>
        <v>13403.5785</v>
      </c>
      <c r="O116">
        <f t="shared" si="6"/>
        <v>7217.3114999999998</v>
      </c>
      <c r="P116">
        <f t="shared" si="7"/>
        <v>0.35</v>
      </c>
      <c r="Q116" t="s">
        <v>135</v>
      </c>
    </row>
    <row r="117" spans="1:17" x14ac:dyDescent="0.3">
      <c r="A117" t="s">
        <v>267</v>
      </c>
      <c r="B117" s="7">
        <v>45438</v>
      </c>
      <c r="C117" t="s">
        <v>130</v>
      </c>
      <c r="D117" t="s">
        <v>131</v>
      </c>
      <c r="E117" t="s">
        <v>123</v>
      </c>
      <c r="F117" t="s">
        <v>154</v>
      </c>
      <c r="G117" t="s">
        <v>37</v>
      </c>
      <c r="H117" t="s">
        <v>38</v>
      </c>
      <c r="I117" t="s">
        <v>19</v>
      </c>
      <c r="J117">
        <v>11</v>
      </c>
      <c r="K117">
        <v>71.319999999999993</v>
      </c>
      <c r="L117">
        <v>0.1</v>
      </c>
      <c r="M117">
        <f t="shared" si="4"/>
        <v>706.06799999999998</v>
      </c>
      <c r="N117">
        <f t="shared" si="5"/>
        <v>458.94420000000002</v>
      </c>
      <c r="O117">
        <f t="shared" si="6"/>
        <v>247.12379999999996</v>
      </c>
      <c r="P117">
        <f t="shared" si="7"/>
        <v>0.35</v>
      </c>
      <c r="Q117" t="s">
        <v>125</v>
      </c>
    </row>
    <row r="118" spans="1:17" x14ac:dyDescent="0.3">
      <c r="A118" t="s">
        <v>268</v>
      </c>
      <c r="B118" s="7">
        <v>45453</v>
      </c>
      <c r="C118" t="s">
        <v>157</v>
      </c>
      <c r="D118" t="s">
        <v>131</v>
      </c>
      <c r="E118" t="s">
        <v>123</v>
      </c>
      <c r="F118" t="s">
        <v>138</v>
      </c>
      <c r="G118" t="s">
        <v>39</v>
      </c>
      <c r="H118" t="s">
        <v>40</v>
      </c>
      <c r="I118" t="s">
        <v>23</v>
      </c>
      <c r="J118">
        <v>11</v>
      </c>
      <c r="K118">
        <v>62.77</v>
      </c>
      <c r="L118">
        <v>0.05</v>
      </c>
      <c r="M118">
        <f t="shared" si="4"/>
        <v>655.94650000000001</v>
      </c>
      <c r="N118">
        <f t="shared" si="5"/>
        <v>426.36522500000001</v>
      </c>
      <c r="O118">
        <f t="shared" si="6"/>
        <v>229.58127500000001</v>
      </c>
      <c r="P118">
        <f t="shared" si="7"/>
        <v>0.35</v>
      </c>
      <c r="Q118" t="s">
        <v>147</v>
      </c>
    </row>
    <row r="119" spans="1:17" x14ac:dyDescent="0.3">
      <c r="A119" t="s">
        <v>269</v>
      </c>
      <c r="B119" s="7">
        <v>45601</v>
      </c>
      <c r="C119" t="s">
        <v>130</v>
      </c>
      <c r="D119" t="s">
        <v>131</v>
      </c>
      <c r="E119" t="s">
        <v>137</v>
      </c>
      <c r="F119" t="s">
        <v>132</v>
      </c>
      <c r="G119" t="s">
        <v>35</v>
      </c>
      <c r="H119" t="s">
        <v>36</v>
      </c>
      <c r="I119" t="s">
        <v>15</v>
      </c>
      <c r="J119">
        <v>7</v>
      </c>
      <c r="K119">
        <v>453.24</v>
      </c>
      <c r="L119">
        <v>0.15</v>
      </c>
      <c r="M119">
        <f t="shared" si="4"/>
        <v>2696.7780000000002</v>
      </c>
      <c r="N119">
        <f t="shared" si="5"/>
        <v>1752.9057000000003</v>
      </c>
      <c r="O119">
        <f t="shared" si="6"/>
        <v>943.8723</v>
      </c>
      <c r="P119">
        <f t="shared" si="7"/>
        <v>0.35</v>
      </c>
      <c r="Q119" t="s">
        <v>125</v>
      </c>
    </row>
    <row r="120" spans="1:17" x14ac:dyDescent="0.3">
      <c r="A120" t="s">
        <v>270</v>
      </c>
      <c r="B120" s="7">
        <v>45594</v>
      </c>
      <c r="C120" t="s">
        <v>121</v>
      </c>
      <c r="D120" t="s">
        <v>122</v>
      </c>
      <c r="E120" t="s">
        <v>137</v>
      </c>
      <c r="F120" t="s">
        <v>152</v>
      </c>
      <c r="G120" t="s">
        <v>9</v>
      </c>
      <c r="H120" t="s">
        <v>10</v>
      </c>
      <c r="I120" t="s">
        <v>11</v>
      </c>
      <c r="J120">
        <v>10</v>
      </c>
      <c r="K120">
        <v>1865.71</v>
      </c>
      <c r="L120">
        <v>0</v>
      </c>
      <c r="M120">
        <f t="shared" si="4"/>
        <v>18657.099999999999</v>
      </c>
      <c r="N120">
        <f t="shared" si="5"/>
        <v>12127.115</v>
      </c>
      <c r="O120">
        <f t="shared" si="6"/>
        <v>6529.9849999999988</v>
      </c>
      <c r="P120">
        <f t="shared" si="7"/>
        <v>0.35</v>
      </c>
      <c r="Q120" t="s">
        <v>135</v>
      </c>
    </row>
    <row r="121" spans="1:17" x14ac:dyDescent="0.3">
      <c r="A121" t="s">
        <v>271</v>
      </c>
      <c r="B121" s="7">
        <v>45800</v>
      </c>
      <c r="C121" t="s">
        <v>187</v>
      </c>
      <c r="D121" t="s">
        <v>131</v>
      </c>
      <c r="E121" t="s">
        <v>150</v>
      </c>
      <c r="F121" t="s">
        <v>138</v>
      </c>
      <c r="G121" t="s">
        <v>43</v>
      </c>
      <c r="H121" t="s">
        <v>44</v>
      </c>
      <c r="I121" t="s">
        <v>31</v>
      </c>
      <c r="J121">
        <v>4</v>
      </c>
      <c r="K121">
        <v>182.46</v>
      </c>
      <c r="L121">
        <v>0.15</v>
      </c>
      <c r="M121">
        <f t="shared" si="4"/>
        <v>620.36400000000003</v>
      </c>
      <c r="N121">
        <f t="shared" si="5"/>
        <v>403.23660000000001</v>
      </c>
      <c r="O121">
        <f t="shared" si="6"/>
        <v>217.12740000000002</v>
      </c>
      <c r="P121">
        <f t="shared" si="7"/>
        <v>0.35000000000000003</v>
      </c>
      <c r="Q121" t="s">
        <v>125</v>
      </c>
    </row>
    <row r="122" spans="1:17" x14ac:dyDescent="0.3">
      <c r="A122" t="s">
        <v>272</v>
      </c>
      <c r="B122" s="7">
        <v>45432</v>
      </c>
      <c r="C122" t="s">
        <v>160</v>
      </c>
      <c r="D122" t="s">
        <v>127</v>
      </c>
      <c r="E122" t="s">
        <v>128</v>
      </c>
      <c r="F122" t="s">
        <v>152</v>
      </c>
      <c r="G122" t="s">
        <v>49</v>
      </c>
      <c r="H122" t="s">
        <v>50</v>
      </c>
      <c r="I122" t="s">
        <v>19</v>
      </c>
      <c r="J122">
        <v>1</v>
      </c>
      <c r="K122">
        <v>226.79</v>
      </c>
      <c r="L122">
        <v>0</v>
      </c>
      <c r="M122">
        <f t="shared" si="4"/>
        <v>226.79</v>
      </c>
      <c r="N122">
        <f t="shared" si="5"/>
        <v>147.4135</v>
      </c>
      <c r="O122">
        <f t="shared" si="6"/>
        <v>79.376499999999993</v>
      </c>
      <c r="P122">
        <f t="shared" si="7"/>
        <v>0.35</v>
      </c>
      <c r="Q122" t="s">
        <v>125</v>
      </c>
    </row>
    <row r="123" spans="1:17" x14ac:dyDescent="0.3">
      <c r="A123" t="s">
        <v>273</v>
      </c>
      <c r="B123" s="7">
        <v>45594</v>
      </c>
      <c r="C123" t="s">
        <v>174</v>
      </c>
      <c r="D123" t="s">
        <v>122</v>
      </c>
      <c r="E123" t="s">
        <v>137</v>
      </c>
      <c r="F123" t="s">
        <v>124</v>
      </c>
      <c r="G123" t="s">
        <v>33</v>
      </c>
      <c r="H123" t="s">
        <v>34</v>
      </c>
      <c r="I123" t="s">
        <v>11</v>
      </c>
      <c r="J123">
        <v>3</v>
      </c>
      <c r="K123">
        <v>1542.98</v>
      </c>
      <c r="L123">
        <v>0.05</v>
      </c>
      <c r="M123">
        <f t="shared" si="4"/>
        <v>4397.4930000000004</v>
      </c>
      <c r="N123">
        <f t="shared" si="5"/>
        <v>2858.3704500000003</v>
      </c>
      <c r="O123">
        <f t="shared" si="6"/>
        <v>1539.12255</v>
      </c>
      <c r="P123">
        <f t="shared" si="7"/>
        <v>0.35</v>
      </c>
      <c r="Q123" t="s">
        <v>135</v>
      </c>
    </row>
    <row r="124" spans="1:17" x14ac:dyDescent="0.3">
      <c r="A124" t="s">
        <v>274</v>
      </c>
      <c r="B124" s="7">
        <v>45805</v>
      </c>
      <c r="C124" t="s">
        <v>171</v>
      </c>
      <c r="D124" t="s">
        <v>131</v>
      </c>
      <c r="E124" t="s">
        <v>150</v>
      </c>
      <c r="F124" t="s">
        <v>152</v>
      </c>
      <c r="G124" t="s">
        <v>51</v>
      </c>
      <c r="H124" t="s">
        <v>52</v>
      </c>
      <c r="I124" t="s">
        <v>23</v>
      </c>
      <c r="J124">
        <v>13</v>
      </c>
      <c r="K124">
        <v>48.98</v>
      </c>
      <c r="L124">
        <v>0.05</v>
      </c>
      <c r="M124">
        <f t="shared" si="4"/>
        <v>604.90300000000002</v>
      </c>
      <c r="N124">
        <f t="shared" si="5"/>
        <v>393.18695000000002</v>
      </c>
      <c r="O124">
        <f t="shared" si="6"/>
        <v>211.71605</v>
      </c>
      <c r="P124">
        <f t="shared" si="7"/>
        <v>0.35</v>
      </c>
      <c r="Q124" t="s">
        <v>125</v>
      </c>
    </row>
    <row r="125" spans="1:17" x14ac:dyDescent="0.3">
      <c r="A125" t="s">
        <v>275</v>
      </c>
      <c r="B125" s="7">
        <v>45771</v>
      </c>
      <c r="C125" t="s">
        <v>157</v>
      </c>
      <c r="D125" t="s">
        <v>127</v>
      </c>
      <c r="E125" t="s">
        <v>150</v>
      </c>
      <c r="F125" t="s">
        <v>143</v>
      </c>
      <c r="G125" t="s">
        <v>45</v>
      </c>
      <c r="H125" t="s">
        <v>46</v>
      </c>
      <c r="I125" t="s">
        <v>11</v>
      </c>
      <c r="J125">
        <v>14</v>
      </c>
      <c r="K125">
        <v>2318.5300000000002</v>
      </c>
      <c r="L125">
        <v>0.05</v>
      </c>
      <c r="M125">
        <f t="shared" si="4"/>
        <v>30836.449000000001</v>
      </c>
      <c r="N125">
        <f t="shared" si="5"/>
        <v>20043.691849999999</v>
      </c>
      <c r="O125">
        <f t="shared" si="6"/>
        <v>10792.757150000001</v>
      </c>
      <c r="P125">
        <f t="shared" si="7"/>
        <v>0.35000000000000003</v>
      </c>
      <c r="Q125" t="s">
        <v>125</v>
      </c>
    </row>
    <row r="126" spans="1:17" x14ac:dyDescent="0.3">
      <c r="A126" t="s">
        <v>276</v>
      </c>
      <c r="B126" s="7">
        <v>45696</v>
      </c>
      <c r="C126" t="s">
        <v>121</v>
      </c>
      <c r="D126" t="s">
        <v>131</v>
      </c>
      <c r="E126" t="s">
        <v>128</v>
      </c>
      <c r="F126" t="s">
        <v>154</v>
      </c>
      <c r="G126" t="s">
        <v>43</v>
      </c>
      <c r="H126" t="s">
        <v>44</v>
      </c>
      <c r="I126" t="s">
        <v>31</v>
      </c>
      <c r="J126">
        <v>11</v>
      </c>
      <c r="K126">
        <v>184.48</v>
      </c>
      <c r="L126">
        <v>0.05</v>
      </c>
      <c r="M126">
        <f t="shared" si="4"/>
        <v>1927.8159999999998</v>
      </c>
      <c r="N126">
        <f t="shared" si="5"/>
        <v>1253.0803999999998</v>
      </c>
      <c r="O126">
        <f t="shared" si="6"/>
        <v>674.73559999999998</v>
      </c>
      <c r="P126">
        <f t="shared" si="7"/>
        <v>0.35000000000000003</v>
      </c>
      <c r="Q126" t="s">
        <v>135</v>
      </c>
    </row>
    <row r="127" spans="1:17" x14ac:dyDescent="0.3">
      <c r="A127" t="s">
        <v>277</v>
      </c>
      <c r="B127" s="7">
        <v>45682</v>
      </c>
      <c r="C127" t="s">
        <v>187</v>
      </c>
      <c r="D127" t="s">
        <v>122</v>
      </c>
      <c r="E127" t="s">
        <v>123</v>
      </c>
      <c r="F127" t="s">
        <v>132</v>
      </c>
      <c r="G127" t="s">
        <v>35</v>
      </c>
      <c r="H127" t="s">
        <v>36</v>
      </c>
      <c r="I127" t="s">
        <v>15</v>
      </c>
      <c r="J127">
        <v>8</v>
      </c>
      <c r="K127">
        <v>428.63</v>
      </c>
      <c r="L127">
        <v>0.15</v>
      </c>
      <c r="M127">
        <f t="shared" si="4"/>
        <v>2914.6839999999997</v>
      </c>
      <c r="N127">
        <f t="shared" si="5"/>
        <v>1894.5445999999999</v>
      </c>
      <c r="O127">
        <f t="shared" si="6"/>
        <v>1020.1393999999998</v>
      </c>
      <c r="P127">
        <f t="shared" si="7"/>
        <v>0.35</v>
      </c>
      <c r="Q127" t="s">
        <v>125</v>
      </c>
    </row>
    <row r="128" spans="1:17" x14ac:dyDescent="0.3">
      <c r="A128" t="s">
        <v>278</v>
      </c>
      <c r="B128" s="7">
        <v>45518</v>
      </c>
      <c r="C128" t="s">
        <v>160</v>
      </c>
      <c r="D128" t="s">
        <v>127</v>
      </c>
      <c r="E128" t="s">
        <v>137</v>
      </c>
      <c r="F128" t="s">
        <v>143</v>
      </c>
      <c r="G128" t="s">
        <v>39</v>
      </c>
      <c r="H128" t="s">
        <v>40</v>
      </c>
      <c r="I128" t="s">
        <v>23</v>
      </c>
      <c r="J128">
        <v>11</v>
      </c>
      <c r="K128">
        <v>59.45</v>
      </c>
      <c r="L128">
        <v>0</v>
      </c>
      <c r="M128">
        <f t="shared" si="4"/>
        <v>653.95000000000005</v>
      </c>
      <c r="N128">
        <f t="shared" si="5"/>
        <v>425.06750000000005</v>
      </c>
      <c r="O128">
        <f t="shared" si="6"/>
        <v>228.88249999999999</v>
      </c>
      <c r="P128">
        <f t="shared" si="7"/>
        <v>0.35</v>
      </c>
      <c r="Q128" t="s">
        <v>125</v>
      </c>
    </row>
    <row r="129" spans="1:17" x14ac:dyDescent="0.3">
      <c r="A129" t="s">
        <v>279</v>
      </c>
      <c r="B129" s="7">
        <v>45330</v>
      </c>
      <c r="C129" t="s">
        <v>149</v>
      </c>
      <c r="D129" t="s">
        <v>131</v>
      </c>
      <c r="E129" t="s">
        <v>128</v>
      </c>
      <c r="F129" t="s">
        <v>132</v>
      </c>
      <c r="G129" t="s">
        <v>35</v>
      </c>
      <c r="H129" t="s">
        <v>36</v>
      </c>
      <c r="I129" t="s">
        <v>15</v>
      </c>
      <c r="J129">
        <v>15</v>
      </c>
      <c r="K129">
        <v>451.69</v>
      </c>
      <c r="L129">
        <v>0.1</v>
      </c>
      <c r="M129">
        <f t="shared" si="4"/>
        <v>6097.8150000000005</v>
      </c>
      <c r="N129">
        <f t="shared" si="5"/>
        <v>3963.5797500000003</v>
      </c>
      <c r="O129">
        <f t="shared" si="6"/>
        <v>2134.2352500000002</v>
      </c>
      <c r="P129">
        <f t="shared" si="7"/>
        <v>0.35</v>
      </c>
      <c r="Q129" t="s">
        <v>147</v>
      </c>
    </row>
    <row r="130" spans="1:17" x14ac:dyDescent="0.3">
      <c r="A130" t="s">
        <v>280</v>
      </c>
      <c r="B130" s="7">
        <v>45671</v>
      </c>
      <c r="C130" t="s">
        <v>160</v>
      </c>
      <c r="D130" t="s">
        <v>122</v>
      </c>
      <c r="E130" t="s">
        <v>137</v>
      </c>
      <c r="F130" t="s">
        <v>138</v>
      </c>
      <c r="G130" t="s">
        <v>25</v>
      </c>
      <c r="H130" t="s">
        <v>26</v>
      </c>
      <c r="I130" t="s">
        <v>27</v>
      </c>
      <c r="J130">
        <v>15</v>
      </c>
      <c r="K130">
        <v>1338.51</v>
      </c>
      <c r="L130">
        <v>0</v>
      </c>
      <c r="M130">
        <f t="shared" ref="M130:M193" si="8">J130*K130*(1-L130)</f>
        <v>20077.650000000001</v>
      </c>
      <c r="N130">
        <f t="shared" ref="N130:N193" si="9">M130*0.65</f>
        <v>13050.472500000002</v>
      </c>
      <c r="O130">
        <f t="shared" ref="O130:O193" si="10">M130-N130</f>
        <v>7027.1774999999998</v>
      </c>
      <c r="P130">
        <f t="shared" ref="P130:P193" si="11">IFERROR(O130/M130, 0)</f>
        <v>0.35</v>
      </c>
      <c r="Q130" t="s">
        <v>147</v>
      </c>
    </row>
    <row r="131" spans="1:17" x14ac:dyDescent="0.3">
      <c r="A131" t="s">
        <v>281</v>
      </c>
      <c r="B131" s="7">
        <v>45709</v>
      </c>
      <c r="C131" t="s">
        <v>149</v>
      </c>
      <c r="D131" t="s">
        <v>127</v>
      </c>
      <c r="E131" t="s">
        <v>123</v>
      </c>
      <c r="F131" t="s">
        <v>124</v>
      </c>
      <c r="G131" t="s">
        <v>49</v>
      </c>
      <c r="H131" t="s">
        <v>50</v>
      </c>
      <c r="I131" t="s">
        <v>19</v>
      </c>
      <c r="J131">
        <v>8</v>
      </c>
      <c r="K131">
        <v>235.14</v>
      </c>
      <c r="L131">
        <v>0.05</v>
      </c>
      <c r="M131">
        <f t="shared" si="8"/>
        <v>1787.0639999999999</v>
      </c>
      <c r="N131">
        <f t="shared" si="9"/>
        <v>1161.5916</v>
      </c>
      <c r="O131">
        <f t="shared" si="10"/>
        <v>625.47239999999988</v>
      </c>
      <c r="P131">
        <f t="shared" si="11"/>
        <v>0.35</v>
      </c>
      <c r="Q131" t="s">
        <v>125</v>
      </c>
    </row>
    <row r="132" spans="1:17" x14ac:dyDescent="0.3">
      <c r="A132" t="s">
        <v>282</v>
      </c>
      <c r="B132" s="7">
        <v>45668</v>
      </c>
      <c r="C132" t="s">
        <v>167</v>
      </c>
      <c r="D132" t="s">
        <v>122</v>
      </c>
      <c r="E132" t="s">
        <v>123</v>
      </c>
      <c r="F132" t="s">
        <v>132</v>
      </c>
      <c r="G132" t="s">
        <v>45</v>
      </c>
      <c r="H132" t="s">
        <v>46</v>
      </c>
      <c r="I132" t="s">
        <v>11</v>
      </c>
      <c r="J132">
        <v>5</v>
      </c>
      <c r="K132">
        <v>2180.21</v>
      </c>
      <c r="L132">
        <v>0</v>
      </c>
      <c r="M132">
        <f t="shared" si="8"/>
        <v>10901.05</v>
      </c>
      <c r="N132">
        <f t="shared" si="9"/>
        <v>7085.6824999999999</v>
      </c>
      <c r="O132">
        <f t="shared" si="10"/>
        <v>3815.3674999999994</v>
      </c>
      <c r="P132">
        <f t="shared" si="11"/>
        <v>0.35</v>
      </c>
      <c r="Q132" t="s">
        <v>147</v>
      </c>
    </row>
    <row r="133" spans="1:17" x14ac:dyDescent="0.3">
      <c r="A133" t="s">
        <v>283</v>
      </c>
      <c r="B133" s="7">
        <v>45385</v>
      </c>
      <c r="C133" t="s">
        <v>160</v>
      </c>
      <c r="D133" t="s">
        <v>127</v>
      </c>
      <c r="E133" t="s">
        <v>128</v>
      </c>
      <c r="F133" t="s">
        <v>132</v>
      </c>
      <c r="G133" t="s">
        <v>41</v>
      </c>
      <c r="H133" t="s">
        <v>42</v>
      </c>
      <c r="I133" t="s">
        <v>27</v>
      </c>
      <c r="J133">
        <v>4</v>
      </c>
      <c r="K133">
        <v>393.33</v>
      </c>
      <c r="L133">
        <v>0.15</v>
      </c>
      <c r="M133">
        <f t="shared" si="8"/>
        <v>1337.3219999999999</v>
      </c>
      <c r="N133">
        <f t="shared" si="9"/>
        <v>869.25929999999994</v>
      </c>
      <c r="O133">
        <f t="shared" si="10"/>
        <v>468.06269999999995</v>
      </c>
      <c r="P133">
        <f t="shared" si="11"/>
        <v>0.35</v>
      </c>
      <c r="Q133" t="s">
        <v>125</v>
      </c>
    </row>
    <row r="134" spans="1:17" x14ac:dyDescent="0.3">
      <c r="A134" t="s">
        <v>284</v>
      </c>
      <c r="B134" s="7">
        <v>45362</v>
      </c>
      <c r="C134" t="s">
        <v>187</v>
      </c>
      <c r="D134" t="s">
        <v>122</v>
      </c>
      <c r="E134" t="s">
        <v>150</v>
      </c>
      <c r="F134" t="s">
        <v>138</v>
      </c>
      <c r="G134" t="s">
        <v>33</v>
      </c>
      <c r="H134" t="s">
        <v>34</v>
      </c>
      <c r="I134" t="s">
        <v>11</v>
      </c>
      <c r="J134">
        <v>14</v>
      </c>
      <c r="K134">
        <v>1555.45</v>
      </c>
      <c r="L134">
        <v>0.05</v>
      </c>
      <c r="M134">
        <f t="shared" si="8"/>
        <v>20687.484999999997</v>
      </c>
      <c r="N134">
        <f t="shared" si="9"/>
        <v>13446.865249999999</v>
      </c>
      <c r="O134">
        <f t="shared" si="10"/>
        <v>7240.619749999998</v>
      </c>
      <c r="P134">
        <f t="shared" si="11"/>
        <v>0.35</v>
      </c>
      <c r="Q134" t="s">
        <v>125</v>
      </c>
    </row>
    <row r="135" spans="1:17" x14ac:dyDescent="0.3">
      <c r="A135" t="s">
        <v>285</v>
      </c>
      <c r="B135" s="7">
        <v>45294</v>
      </c>
      <c r="C135" t="s">
        <v>149</v>
      </c>
      <c r="D135" t="s">
        <v>127</v>
      </c>
      <c r="E135" t="s">
        <v>150</v>
      </c>
      <c r="F135" t="s">
        <v>138</v>
      </c>
      <c r="G135" t="s">
        <v>37</v>
      </c>
      <c r="H135" t="s">
        <v>38</v>
      </c>
      <c r="I135" t="s">
        <v>19</v>
      </c>
      <c r="J135">
        <v>13</v>
      </c>
      <c r="K135">
        <v>72.56</v>
      </c>
      <c r="L135">
        <v>0</v>
      </c>
      <c r="M135">
        <f t="shared" si="8"/>
        <v>943.28</v>
      </c>
      <c r="N135">
        <f t="shared" si="9"/>
        <v>613.13199999999995</v>
      </c>
      <c r="O135">
        <f t="shared" si="10"/>
        <v>330.14800000000002</v>
      </c>
      <c r="P135">
        <f t="shared" si="11"/>
        <v>0.35000000000000003</v>
      </c>
      <c r="Q135" t="s">
        <v>125</v>
      </c>
    </row>
    <row r="136" spans="1:17" x14ac:dyDescent="0.3">
      <c r="A136" t="s">
        <v>286</v>
      </c>
      <c r="B136" s="7">
        <v>45307</v>
      </c>
      <c r="C136" t="s">
        <v>174</v>
      </c>
      <c r="D136" t="s">
        <v>127</v>
      </c>
      <c r="E136" t="s">
        <v>123</v>
      </c>
      <c r="F136" t="s">
        <v>132</v>
      </c>
      <c r="G136" t="s">
        <v>29</v>
      </c>
      <c r="H136" t="s">
        <v>30</v>
      </c>
      <c r="I136" t="s">
        <v>31</v>
      </c>
      <c r="J136">
        <v>5</v>
      </c>
      <c r="K136">
        <v>573.14</v>
      </c>
      <c r="L136">
        <v>0.1</v>
      </c>
      <c r="M136">
        <f t="shared" si="8"/>
        <v>2579.13</v>
      </c>
      <c r="N136">
        <f t="shared" si="9"/>
        <v>1676.4345000000001</v>
      </c>
      <c r="O136">
        <f t="shared" si="10"/>
        <v>902.69550000000004</v>
      </c>
      <c r="P136">
        <f t="shared" si="11"/>
        <v>0.35</v>
      </c>
      <c r="Q136" t="s">
        <v>135</v>
      </c>
    </row>
    <row r="137" spans="1:17" x14ac:dyDescent="0.3">
      <c r="A137" t="s">
        <v>287</v>
      </c>
      <c r="B137" s="7">
        <v>45408</v>
      </c>
      <c r="C137" t="s">
        <v>146</v>
      </c>
      <c r="D137" t="s">
        <v>127</v>
      </c>
      <c r="E137" t="s">
        <v>137</v>
      </c>
      <c r="F137" t="s">
        <v>154</v>
      </c>
      <c r="G137" t="s">
        <v>43</v>
      </c>
      <c r="H137" t="s">
        <v>44</v>
      </c>
      <c r="I137" t="s">
        <v>31</v>
      </c>
      <c r="J137">
        <v>9</v>
      </c>
      <c r="K137">
        <v>181.69</v>
      </c>
      <c r="L137">
        <v>0.1</v>
      </c>
      <c r="M137">
        <f t="shared" si="8"/>
        <v>1471.6890000000001</v>
      </c>
      <c r="N137">
        <f t="shared" si="9"/>
        <v>956.59785000000011</v>
      </c>
      <c r="O137">
        <f t="shared" si="10"/>
        <v>515.09114999999997</v>
      </c>
      <c r="P137">
        <f t="shared" si="11"/>
        <v>0.35</v>
      </c>
      <c r="Q137" t="s">
        <v>135</v>
      </c>
    </row>
    <row r="138" spans="1:17" x14ac:dyDescent="0.3">
      <c r="A138" t="s">
        <v>288</v>
      </c>
      <c r="B138" s="7">
        <v>45518</v>
      </c>
      <c r="C138" t="s">
        <v>140</v>
      </c>
      <c r="D138" t="s">
        <v>127</v>
      </c>
      <c r="E138" t="s">
        <v>123</v>
      </c>
      <c r="F138" t="s">
        <v>154</v>
      </c>
      <c r="G138" t="s">
        <v>9</v>
      </c>
      <c r="H138" t="s">
        <v>10</v>
      </c>
      <c r="I138" t="s">
        <v>11</v>
      </c>
      <c r="J138">
        <v>1</v>
      </c>
      <c r="K138">
        <v>1889.75</v>
      </c>
      <c r="L138">
        <v>0.1</v>
      </c>
      <c r="M138">
        <f t="shared" si="8"/>
        <v>1700.7750000000001</v>
      </c>
      <c r="N138">
        <f t="shared" si="9"/>
        <v>1105.5037500000001</v>
      </c>
      <c r="O138">
        <f t="shared" si="10"/>
        <v>595.27125000000001</v>
      </c>
      <c r="P138">
        <f t="shared" si="11"/>
        <v>0.35</v>
      </c>
      <c r="Q138" t="s">
        <v>147</v>
      </c>
    </row>
    <row r="139" spans="1:17" x14ac:dyDescent="0.3">
      <c r="A139" t="s">
        <v>289</v>
      </c>
      <c r="B139" s="7">
        <v>45402</v>
      </c>
      <c r="C139" t="s">
        <v>164</v>
      </c>
      <c r="D139" t="s">
        <v>122</v>
      </c>
      <c r="E139" t="s">
        <v>137</v>
      </c>
      <c r="F139" t="s">
        <v>132</v>
      </c>
      <c r="G139" t="s">
        <v>17</v>
      </c>
      <c r="H139" t="s">
        <v>18</v>
      </c>
      <c r="I139" t="s">
        <v>19</v>
      </c>
      <c r="J139">
        <v>6</v>
      </c>
      <c r="K139">
        <v>121.3</v>
      </c>
      <c r="L139">
        <v>0</v>
      </c>
      <c r="M139">
        <f t="shared" si="8"/>
        <v>727.8</v>
      </c>
      <c r="N139">
        <f t="shared" si="9"/>
        <v>473.07</v>
      </c>
      <c r="O139">
        <f t="shared" si="10"/>
        <v>254.72999999999996</v>
      </c>
      <c r="P139">
        <f t="shared" si="11"/>
        <v>0.35</v>
      </c>
      <c r="Q139" t="s">
        <v>125</v>
      </c>
    </row>
    <row r="140" spans="1:17" x14ac:dyDescent="0.3">
      <c r="A140" t="s">
        <v>290</v>
      </c>
      <c r="B140" s="7">
        <v>45573</v>
      </c>
      <c r="C140" t="s">
        <v>140</v>
      </c>
      <c r="D140" t="s">
        <v>122</v>
      </c>
      <c r="E140" t="s">
        <v>123</v>
      </c>
      <c r="F140" t="s">
        <v>154</v>
      </c>
      <c r="G140" t="s">
        <v>60</v>
      </c>
      <c r="H140" t="s">
        <v>61</v>
      </c>
      <c r="I140" t="s">
        <v>15</v>
      </c>
      <c r="J140">
        <v>9</v>
      </c>
      <c r="K140">
        <v>220.39</v>
      </c>
      <c r="L140">
        <v>0.15</v>
      </c>
      <c r="M140">
        <f t="shared" si="8"/>
        <v>1685.9834999999998</v>
      </c>
      <c r="N140">
        <f t="shared" si="9"/>
        <v>1095.889275</v>
      </c>
      <c r="O140">
        <f t="shared" si="10"/>
        <v>590.09422499999982</v>
      </c>
      <c r="P140">
        <f t="shared" si="11"/>
        <v>0.34999999999999992</v>
      </c>
      <c r="Q140" t="s">
        <v>135</v>
      </c>
    </row>
    <row r="141" spans="1:17" x14ac:dyDescent="0.3">
      <c r="A141" t="s">
        <v>291</v>
      </c>
      <c r="B141" s="7">
        <v>45732</v>
      </c>
      <c r="C141" t="s">
        <v>157</v>
      </c>
      <c r="D141" t="s">
        <v>122</v>
      </c>
      <c r="E141" t="s">
        <v>128</v>
      </c>
      <c r="F141" t="s">
        <v>143</v>
      </c>
      <c r="G141" t="s">
        <v>56</v>
      </c>
      <c r="H141" t="s">
        <v>57</v>
      </c>
      <c r="I141" t="s">
        <v>31</v>
      </c>
      <c r="J141">
        <v>12</v>
      </c>
      <c r="K141">
        <v>544.19000000000005</v>
      </c>
      <c r="L141">
        <v>0.1</v>
      </c>
      <c r="M141">
        <f t="shared" si="8"/>
        <v>5877.2520000000004</v>
      </c>
      <c r="N141">
        <f t="shared" si="9"/>
        <v>3820.2138000000004</v>
      </c>
      <c r="O141">
        <f t="shared" si="10"/>
        <v>2057.0382</v>
      </c>
      <c r="P141">
        <f t="shared" si="11"/>
        <v>0.35</v>
      </c>
      <c r="Q141" t="s">
        <v>147</v>
      </c>
    </row>
    <row r="142" spans="1:17" x14ac:dyDescent="0.3">
      <c r="A142" t="s">
        <v>292</v>
      </c>
      <c r="B142" s="7">
        <v>45525</v>
      </c>
      <c r="C142" t="s">
        <v>142</v>
      </c>
      <c r="D142" t="s">
        <v>131</v>
      </c>
      <c r="E142" t="s">
        <v>137</v>
      </c>
      <c r="F142" t="s">
        <v>154</v>
      </c>
      <c r="G142" t="s">
        <v>47</v>
      </c>
      <c r="H142" t="s">
        <v>48</v>
      </c>
      <c r="I142" t="s">
        <v>15</v>
      </c>
      <c r="J142">
        <v>12</v>
      </c>
      <c r="K142">
        <v>1151.4100000000001</v>
      </c>
      <c r="L142">
        <v>0.1</v>
      </c>
      <c r="M142">
        <f t="shared" si="8"/>
        <v>12435.228000000003</v>
      </c>
      <c r="N142">
        <f t="shared" si="9"/>
        <v>8082.8982000000024</v>
      </c>
      <c r="O142">
        <f t="shared" si="10"/>
        <v>4352.3298000000004</v>
      </c>
      <c r="P142">
        <f t="shared" si="11"/>
        <v>0.35</v>
      </c>
      <c r="Q142" t="s">
        <v>125</v>
      </c>
    </row>
    <row r="143" spans="1:17" x14ac:dyDescent="0.3">
      <c r="A143" t="s">
        <v>293</v>
      </c>
      <c r="B143" s="7">
        <v>45553</v>
      </c>
      <c r="C143" t="s">
        <v>174</v>
      </c>
      <c r="D143" t="s">
        <v>127</v>
      </c>
      <c r="E143" t="s">
        <v>137</v>
      </c>
      <c r="F143" t="s">
        <v>132</v>
      </c>
      <c r="G143" t="s">
        <v>17</v>
      </c>
      <c r="H143" t="s">
        <v>18</v>
      </c>
      <c r="I143" t="s">
        <v>19</v>
      </c>
      <c r="J143">
        <v>14</v>
      </c>
      <c r="K143">
        <v>115.02</v>
      </c>
      <c r="L143">
        <v>0.1</v>
      </c>
      <c r="M143">
        <f t="shared" si="8"/>
        <v>1449.252</v>
      </c>
      <c r="N143">
        <f t="shared" si="9"/>
        <v>942.01379999999995</v>
      </c>
      <c r="O143">
        <f t="shared" si="10"/>
        <v>507.23820000000001</v>
      </c>
      <c r="P143">
        <f t="shared" si="11"/>
        <v>0.35000000000000003</v>
      </c>
      <c r="Q143" t="s">
        <v>125</v>
      </c>
    </row>
    <row r="144" spans="1:17" x14ac:dyDescent="0.3">
      <c r="A144" t="s">
        <v>294</v>
      </c>
      <c r="B144" s="7">
        <v>45673</v>
      </c>
      <c r="C144" t="s">
        <v>134</v>
      </c>
      <c r="D144" t="s">
        <v>127</v>
      </c>
      <c r="E144" t="s">
        <v>128</v>
      </c>
      <c r="F144" t="s">
        <v>138</v>
      </c>
      <c r="G144" t="s">
        <v>56</v>
      </c>
      <c r="H144" t="s">
        <v>57</v>
      </c>
      <c r="I144" t="s">
        <v>31</v>
      </c>
      <c r="J144">
        <v>9</v>
      </c>
      <c r="K144">
        <v>516.05999999999995</v>
      </c>
      <c r="L144">
        <v>0</v>
      </c>
      <c r="M144">
        <f t="shared" si="8"/>
        <v>4644.5399999999991</v>
      </c>
      <c r="N144">
        <f t="shared" si="9"/>
        <v>3018.9509999999996</v>
      </c>
      <c r="O144">
        <f t="shared" si="10"/>
        <v>1625.5889999999995</v>
      </c>
      <c r="P144">
        <f t="shared" si="11"/>
        <v>0.35</v>
      </c>
      <c r="Q144" t="s">
        <v>147</v>
      </c>
    </row>
    <row r="145" spans="1:17" x14ac:dyDescent="0.3">
      <c r="A145" t="s">
        <v>295</v>
      </c>
      <c r="B145" s="7">
        <v>45654</v>
      </c>
      <c r="C145" t="s">
        <v>187</v>
      </c>
      <c r="D145" t="s">
        <v>122</v>
      </c>
      <c r="E145" t="s">
        <v>137</v>
      </c>
      <c r="F145" t="s">
        <v>143</v>
      </c>
      <c r="G145" t="s">
        <v>13</v>
      </c>
      <c r="H145" t="s">
        <v>14</v>
      </c>
      <c r="I145" t="s">
        <v>15</v>
      </c>
      <c r="J145">
        <v>5</v>
      </c>
      <c r="K145">
        <v>909.04</v>
      </c>
      <c r="L145">
        <v>0.05</v>
      </c>
      <c r="M145">
        <f t="shared" si="8"/>
        <v>4317.9399999999996</v>
      </c>
      <c r="N145">
        <f t="shared" si="9"/>
        <v>2806.6610000000001</v>
      </c>
      <c r="O145">
        <f t="shared" si="10"/>
        <v>1511.2789999999995</v>
      </c>
      <c r="P145">
        <f t="shared" si="11"/>
        <v>0.34999999999999992</v>
      </c>
      <c r="Q145" t="s">
        <v>125</v>
      </c>
    </row>
    <row r="146" spans="1:17" x14ac:dyDescent="0.3">
      <c r="A146" t="s">
        <v>296</v>
      </c>
      <c r="B146" s="7">
        <v>45811</v>
      </c>
      <c r="C146" t="s">
        <v>130</v>
      </c>
      <c r="D146" t="s">
        <v>127</v>
      </c>
      <c r="E146" t="s">
        <v>137</v>
      </c>
      <c r="F146" t="s">
        <v>124</v>
      </c>
      <c r="G146" t="s">
        <v>21</v>
      </c>
      <c r="H146" t="s">
        <v>22</v>
      </c>
      <c r="I146" t="s">
        <v>23</v>
      </c>
      <c r="J146">
        <v>6</v>
      </c>
      <c r="K146">
        <v>155.18</v>
      </c>
      <c r="L146">
        <v>0.05</v>
      </c>
      <c r="M146">
        <f t="shared" si="8"/>
        <v>884.52599999999995</v>
      </c>
      <c r="N146">
        <f t="shared" si="9"/>
        <v>574.94190000000003</v>
      </c>
      <c r="O146">
        <f t="shared" si="10"/>
        <v>309.58409999999992</v>
      </c>
      <c r="P146">
        <f t="shared" si="11"/>
        <v>0.34999999999999992</v>
      </c>
      <c r="Q146" t="s">
        <v>125</v>
      </c>
    </row>
    <row r="147" spans="1:17" x14ac:dyDescent="0.3">
      <c r="A147" t="s">
        <v>297</v>
      </c>
      <c r="B147" s="7">
        <v>45577</v>
      </c>
      <c r="C147" t="s">
        <v>140</v>
      </c>
      <c r="D147" t="s">
        <v>127</v>
      </c>
      <c r="E147" t="s">
        <v>137</v>
      </c>
      <c r="F147" t="s">
        <v>138</v>
      </c>
      <c r="G147" t="s">
        <v>60</v>
      </c>
      <c r="H147" t="s">
        <v>61</v>
      </c>
      <c r="I147" t="s">
        <v>15</v>
      </c>
      <c r="J147">
        <v>10</v>
      </c>
      <c r="K147">
        <v>228.94</v>
      </c>
      <c r="L147">
        <v>0.15</v>
      </c>
      <c r="M147">
        <f t="shared" si="8"/>
        <v>1945.99</v>
      </c>
      <c r="N147">
        <f t="shared" si="9"/>
        <v>1264.8935000000001</v>
      </c>
      <c r="O147">
        <f t="shared" si="10"/>
        <v>681.09649999999988</v>
      </c>
      <c r="P147">
        <f t="shared" si="11"/>
        <v>0.34999999999999992</v>
      </c>
      <c r="Q147" t="s">
        <v>125</v>
      </c>
    </row>
    <row r="148" spans="1:17" x14ac:dyDescent="0.3">
      <c r="A148" t="s">
        <v>298</v>
      </c>
      <c r="B148" s="7">
        <v>45565</v>
      </c>
      <c r="C148" t="s">
        <v>121</v>
      </c>
      <c r="D148" t="s">
        <v>127</v>
      </c>
      <c r="E148" t="s">
        <v>123</v>
      </c>
      <c r="F148" t="s">
        <v>143</v>
      </c>
      <c r="G148" t="s">
        <v>39</v>
      </c>
      <c r="H148" t="s">
        <v>40</v>
      </c>
      <c r="I148" t="s">
        <v>23</v>
      </c>
      <c r="J148">
        <v>15</v>
      </c>
      <c r="K148">
        <v>59.04</v>
      </c>
      <c r="L148">
        <v>0</v>
      </c>
      <c r="M148">
        <f t="shared" si="8"/>
        <v>885.6</v>
      </c>
      <c r="N148">
        <f t="shared" si="9"/>
        <v>575.64</v>
      </c>
      <c r="O148">
        <f t="shared" si="10"/>
        <v>309.96000000000004</v>
      </c>
      <c r="P148">
        <f t="shared" si="11"/>
        <v>0.35000000000000003</v>
      </c>
      <c r="Q148" t="s">
        <v>125</v>
      </c>
    </row>
    <row r="149" spans="1:17" x14ac:dyDescent="0.3">
      <c r="A149" t="s">
        <v>299</v>
      </c>
      <c r="B149" s="7">
        <v>45438</v>
      </c>
      <c r="C149" t="s">
        <v>140</v>
      </c>
      <c r="D149" t="s">
        <v>122</v>
      </c>
      <c r="E149" t="s">
        <v>137</v>
      </c>
      <c r="F149" t="s">
        <v>132</v>
      </c>
      <c r="G149" t="s">
        <v>25</v>
      </c>
      <c r="H149" t="s">
        <v>26</v>
      </c>
      <c r="I149" t="s">
        <v>27</v>
      </c>
      <c r="J149">
        <v>12</v>
      </c>
      <c r="K149">
        <v>1367.98</v>
      </c>
      <c r="L149">
        <v>0</v>
      </c>
      <c r="M149">
        <f t="shared" si="8"/>
        <v>16415.760000000002</v>
      </c>
      <c r="N149">
        <f t="shared" si="9"/>
        <v>10670.244000000002</v>
      </c>
      <c r="O149">
        <f t="shared" si="10"/>
        <v>5745.5159999999996</v>
      </c>
      <c r="P149">
        <f t="shared" si="11"/>
        <v>0.34999999999999992</v>
      </c>
      <c r="Q149" t="s">
        <v>125</v>
      </c>
    </row>
    <row r="150" spans="1:17" x14ac:dyDescent="0.3">
      <c r="A150" t="s">
        <v>300</v>
      </c>
      <c r="B150" s="7">
        <v>45835</v>
      </c>
      <c r="C150" t="s">
        <v>130</v>
      </c>
      <c r="D150" t="s">
        <v>131</v>
      </c>
      <c r="E150" t="s">
        <v>137</v>
      </c>
      <c r="F150" t="s">
        <v>154</v>
      </c>
      <c r="G150" t="s">
        <v>41</v>
      </c>
      <c r="H150" t="s">
        <v>42</v>
      </c>
      <c r="I150" t="s">
        <v>27</v>
      </c>
      <c r="J150">
        <v>3</v>
      </c>
      <c r="K150">
        <v>370.13</v>
      </c>
      <c r="L150">
        <v>0.05</v>
      </c>
      <c r="M150">
        <f t="shared" si="8"/>
        <v>1054.8704999999998</v>
      </c>
      <c r="N150">
        <f t="shared" si="9"/>
        <v>685.66582499999993</v>
      </c>
      <c r="O150">
        <f t="shared" si="10"/>
        <v>369.20467499999984</v>
      </c>
      <c r="P150">
        <f t="shared" si="11"/>
        <v>0.34999999999999992</v>
      </c>
      <c r="Q150" t="s">
        <v>135</v>
      </c>
    </row>
    <row r="151" spans="1:17" x14ac:dyDescent="0.3">
      <c r="A151" t="s">
        <v>301</v>
      </c>
      <c r="B151" s="7">
        <v>45378</v>
      </c>
      <c r="C151" t="s">
        <v>171</v>
      </c>
      <c r="D151" t="s">
        <v>127</v>
      </c>
      <c r="E151" t="s">
        <v>150</v>
      </c>
      <c r="F151" t="s">
        <v>124</v>
      </c>
      <c r="G151" t="s">
        <v>60</v>
      </c>
      <c r="H151" t="s">
        <v>61</v>
      </c>
      <c r="I151" t="s">
        <v>15</v>
      </c>
      <c r="J151">
        <v>1</v>
      </c>
      <c r="K151">
        <v>228.91</v>
      </c>
      <c r="L151">
        <v>0.05</v>
      </c>
      <c r="M151">
        <f t="shared" si="8"/>
        <v>217.46449999999999</v>
      </c>
      <c r="N151">
        <f t="shared" si="9"/>
        <v>141.35192499999999</v>
      </c>
      <c r="O151">
        <f t="shared" si="10"/>
        <v>76.112574999999993</v>
      </c>
      <c r="P151">
        <f t="shared" si="11"/>
        <v>0.35</v>
      </c>
      <c r="Q151" t="s">
        <v>147</v>
      </c>
    </row>
    <row r="152" spans="1:17" x14ac:dyDescent="0.3">
      <c r="A152" t="s">
        <v>302</v>
      </c>
      <c r="B152" s="7">
        <v>45726</v>
      </c>
      <c r="C152" t="s">
        <v>164</v>
      </c>
      <c r="D152" t="s">
        <v>122</v>
      </c>
      <c r="E152" t="s">
        <v>137</v>
      </c>
      <c r="F152" t="s">
        <v>154</v>
      </c>
      <c r="G152" t="s">
        <v>37</v>
      </c>
      <c r="H152" t="s">
        <v>38</v>
      </c>
      <c r="I152" t="s">
        <v>19</v>
      </c>
      <c r="J152">
        <v>4</v>
      </c>
      <c r="K152">
        <v>76.91</v>
      </c>
      <c r="L152">
        <v>0</v>
      </c>
      <c r="M152">
        <f t="shared" si="8"/>
        <v>307.64</v>
      </c>
      <c r="N152">
        <f t="shared" si="9"/>
        <v>199.96600000000001</v>
      </c>
      <c r="O152">
        <f t="shared" si="10"/>
        <v>107.67399999999998</v>
      </c>
      <c r="P152">
        <f t="shared" si="11"/>
        <v>0.34999999999999992</v>
      </c>
      <c r="Q152" t="s">
        <v>125</v>
      </c>
    </row>
    <row r="153" spans="1:17" x14ac:dyDescent="0.3">
      <c r="A153" t="s">
        <v>303</v>
      </c>
      <c r="B153" s="7">
        <v>45732</v>
      </c>
      <c r="C153" t="s">
        <v>157</v>
      </c>
      <c r="D153" t="s">
        <v>131</v>
      </c>
      <c r="E153" t="s">
        <v>137</v>
      </c>
      <c r="F153" t="s">
        <v>138</v>
      </c>
      <c r="G153" t="s">
        <v>39</v>
      </c>
      <c r="H153" t="s">
        <v>40</v>
      </c>
      <c r="I153" t="s">
        <v>23</v>
      </c>
      <c r="J153">
        <v>1</v>
      </c>
      <c r="K153">
        <v>58.32</v>
      </c>
      <c r="L153">
        <v>0.15</v>
      </c>
      <c r="M153">
        <f t="shared" si="8"/>
        <v>49.571999999999996</v>
      </c>
      <c r="N153">
        <f t="shared" si="9"/>
        <v>32.221800000000002</v>
      </c>
      <c r="O153">
        <f t="shared" si="10"/>
        <v>17.350199999999994</v>
      </c>
      <c r="P153">
        <f t="shared" si="11"/>
        <v>0.34999999999999992</v>
      </c>
      <c r="Q153" t="s">
        <v>125</v>
      </c>
    </row>
    <row r="154" spans="1:17" x14ac:dyDescent="0.3">
      <c r="A154" t="s">
        <v>304</v>
      </c>
      <c r="B154" s="7">
        <v>45299</v>
      </c>
      <c r="C154" t="s">
        <v>130</v>
      </c>
      <c r="D154" t="s">
        <v>131</v>
      </c>
      <c r="E154" t="s">
        <v>150</v>
      </c>
      <c r="F154" t="s">
        <v>124</v>
      </c>
      <c r="G154" t="s">
        <v>37</v>
      </c>
      <c r="H154" t="s">
        <v>38</v>
      </c>
      <c r="I154" t="s">
        <v>19</v>
      </c>
      <c r="J154">
        <v>5</v>
      </c>
      <c r="K154">
        <v>73.709999999999994</v>
      </c>
      <c r="L154">
        <v>0</v>
      </c>
      <c r="M154">
        <f t="shared" si="8"/>
        <v>368.54999999999995</v>
      </c>
      <c r="N154">
        <f t="shared" si="9"/>
        <v>239.55749999999998</v>
      </c>
      <c r="O154">
        <f t="shared" si="10"/>
        <v>128.99249999999998</v>
      </c>
      <c r="P154">
        <f t="shared" si="11"/>
        <v>0.35</v>
      </c>
      <c r="Q154" t="s">
        <v>147</v>
      </c>
    </row>
    <row r="155" spans="1:17" x14ac:dyDescent="0.3">
      <c r="A155" t="s">
        <v>305</v>
      </c>
      <c r="B155" s="7">
        <v>45732</v>
      </c>
      <c r="C155" t="s">
        <v>245</v>
      </c>
      <c r="D155" t="s">
        <v>127</v>
      </c>
      <c r="E155" t="s">
        <v>137</v>
      </c>
      <c r="F155" t="s">
        <v>138</v>
      </c>
      <c r="G155" t="s">
        <v>35</v>
      </c>
      <c r="H155" t="s">
        <v>36</v>
      </c>
      <c r="I155" t="s">
        <v>15</v>
      </c>
      <c r="J155">
        <v>9</v>
      </c>
      <c r="K155">
        <v>452.64</v>
      </c>
      <c r="L155">
        <v>0.05</v>
      </c>
      <c r="M155">
        <f t="shared" si="8"/>
        <v>3870.0719999999997</v>
      </c>
      <c r="N155">
        <f t="shared" si="9"/>
        <v>2515.5468000000001</v>
      </c>
      <c r="O155">
        <f t="shared" si="10"/>
        <v>1354.5251999999996</v>
      </c>
      <c r="P155">
        <f t="shared" si="11"/>
        <v>0.34999999999999992</v>
      </c>
      <c r="Q155" t="s">
        <v>125</v>
      </c>
    </row>
    <row r="156" spans="1:17" x14ac:dyDescent="0.3">
      <c r="A156" t="s">
        <v>306</v>
      </c>
      <c r="B156" s="7">
        <v>45698</v>
      </c>
      <c r="C156" t="s">
        <v>187</v>
      </c>
      <c r="D156" t="s">
        <v>122</v>
      </c>
      <c r="E156" t="s">
        <v>128</v>
      </c>
      <c r="F156" t="s">
        <v>154</v>
      </c>
      <c r="G156" t="s">
        <v>9</v>
      </c>
      <c r="H156" t="s">
        <v>10</v>
      </c>
      <c r="I156" t="s">
        <v>11</v>
      </c>
      <c r="J156">
        <v>8</v>
      </c>
      <c r="K156">
        <v>1875.81</v>
      </c>
      <c r="L156">
        <v>0.05</v>
      </c>
      <c r="M156">
        <f t="shared" si="8"/>
        <v>14256.155999999999</v>
      </c>
      <c r="N156">
        <f t="shared" si="9"/>
        <v>9266.5013999999992</v>
      </c>
      <c r="O156">
        <f t="shared" si="10"/>
        <v>4989.6545999999998</v>
      </c>
      <c r="P156">
        <f t="shared" si="11"/>
        <v>0.35000000000000003</v>
      </c>
      <c r="Q156" t="s">
        <v>135</v>
      </c>
    </row>
    <row r="157" spans="1:17" x14ac:dyDescent="0.3">
      <c r="A157" t="s">
        <v>307</v>
      </c>
      <c r="B157" s="7">
        <v>45731</v>
      </c>
      <c r="C157" t="s">
        <v>140</v>
      </c>
      <c r="D157" t="s">
        <v>131</v>
      </c>
      <c r="E157" t="s">
        <v>137</v>
      </c>
      <c r="F157" t="s">
        <v>152</v>
      </c>
      <c r="G157" t="s">
        <v>21</v>
      </c>
      <c r="H157" t="s">
        <v>22</v>
      </c>
      <c r="I157" t="s">
        <v>23</v>
      </c>
      <c r="J157">
        <v>7</v>
      </c>
      <c r="K157">
        <v>142.81</v>
      </c>
      <c r="L157">
        <v>0.05</v>
      </c>
      <c r="M157">
        <f t="shared" si="8"/>
        <v>949.68650000000002</v>
      </c>
      <c r="N157">
        <f t="shared" si="9"/>
        <v>617.29622500000005</v>
      </c>
      <c r="O157">
        <f t="shared" si="10"/>
        <v>332.39027499999997</v>
      </c>
      <c r="P157">
        <f t="shared" si="11"/>
        <v>0.35</v>
      </c>
      <c r="Q157" t="s">
        <v>125</v>
      </c>
    </row>
    <row r="158" spans="1:17" x14ac:dyDescent="0.3">
      <c r="A158" t="s">
        <v>308</v>
      </c>
      <c r="B158" s="7">
        <v>45763</v>
      </c>
      <c r="C158" t="s">
        <v>187</v>
      </c>
      <c r="D158" t="s">
        <v>122</v>
      </c>
      <c r="E158" t="s">
        <v>123</v>
      </c>
      <c r="F158" t="s">
        <v>132</v>
      </c>
      <c r="G158" t="s">
        <v>47</v>
      </c>
      <c r="H158" t="s">
        <v>48</v>
      </c>
      <c r="I158" t="s">
        <v>15</v>
      </c>
      <c r="J158">
        <v>14</v>
      </c>
      <c r="K158">
        <v>1152.7</v>
      </c>
      <c r="L158">
        <v>0.1</v>
      </c>
      <c r="M158">
        <f t="shared" si="8"/>
        <v>14524.02</v>
      </c>
      <c r="N158">
        <f t="shared" si="9"/>
        <v>9440.6130000000012</v>
      </c>
      <c r="O158">
        <f t="shared" si="10"/>
        <v>5083.4069999999992</v>
      </c>
      <c r="P158">
        <f t="shared" si="11"/>
        <v>0.34999999999999992</v>
      </c>
      <c r="Q158" t="s">
        <v>135</v>
      </c>
    </row>
    <row r="159" spans="1:17" x14ac:dyDescent="0.3">
      <c r="A159" t="s">
        <v>309</v>
      </c>
      <c r="B159" s="7">
        <v>45702</v>
      </c>
      <c r="C159" t="s">
        <v>167</v>
      </c>
      <c r="D159" t="s">
        <v>127</v>
      </c>
      <c r="E159" t="s">
        <v>137</v>
      </c>
      <c r="F159" t="s">
        <v>152</v>
      </c>
      <c r="G159" t="s">
        <v>41</v>
      </c>
      <c r="H159" t="s">
        <v>42</v>
      </c>
      <c r="I159" t="s">
        <v>27</v>
      </c>
      <c r="J159">
        <v>4</v>
      </c>
      <c r="K159">
        <v>368.74</v>
      </c>
      <c r="L159">
        <v>0</v>
      </c>
      <c r="M159">
        <f t="shared" si="8"/>
        <v>1474.96</v>
      </c>
      <c r="N159">
        <f t="shared" si="9"/>
        <v>958.72400000000005</v>
      </c>
      <c r="O159">
        <f t="shared" si="10"/>
        <v>516.23599999999999</v>
      </c>
      <c r="P159">
        <f t="shared" si="11"/>
        <v>0.35</v>
      </c>
      <c r="Q159" t="s">
        <v>125</v>
      </c>
    </row>
    <row r="160" spans="1:17" x14ac:dyDescent="0.3">
      <c r="A160" t="s">
        <v>310</v>
      </c>
      <c r="B160" s="7">
        <v>45814</v>
      </c>
      <c r="C160" t="s">
        <v>160</v>
      </c>
      <c r="D160" t="s">
        <v>127</v>
      </c>
      <c r="E160" t="s">
        <v>150</v>
      </c>
      <c r="F160" t="s">
        <v>152</v>
      </c>
      <c r="G160" t="s">
        <v>43</v>
      </c>
      <c r="H160" t="s">
        <v>44</v>
      </c>
      <c r="I160" t="s">
        <v>31</v>
      </c>
      <c r="J160">
        <v>12</v>
      </c>
      <c r="K160">
        <v>188.25</v>
      </c>
      <c r="L160">
        <v>0</v>
      </c>
      <c r="M160">
        <f t="shared" si="8"/>
        <v>2259</v>
      </c>
      <c r="N160">
        <f t="shared" si="9"/>
        <v>1468.3500000000001</v>
      </c>
      <c r="O160">
        <f t="shared" si="10"/>
        <v>790.64999999999986</v>
      </c>
      <c r="P160">
        <f t="shared" si="11"/>
        <v>0.34999999999999992</v>
      </c>
      <c r="Q160" t="s">
        <v>125</v>
      </c>
    </row>
    <row r="161" spans="1:17" x14ac:dyDescent="0.3">
      <c r="A161" t="s">
        <v>311</v>
      </c>
      <c r="B161" s="7">
        <v>45397</v>
      </c>
      <c r="C161" t="s">
        <v>245</v>
      </c>
      <c r="D161" t="s">
        <v>131</v>
      </c>
      <c r="E161" t="s">
        <v>150</v>
      </c>
      <c r="F161" t="s">
        <v>124</v>
      </c>
      <c r="G161" t="s">
        <v>60</v>
      </c>
      <c r="H161" t="s">
        <v>61</v>
      </c>
      <c r="I161" t="s">
        <v>15</v>
      </c>
      <c r="J161">
        <v>3</v>
      </c>
      <c r="K161">
        <v>230.85</v>
      </c>
      <c r="L161">
        <v>0</v>
      </c>
      <c r="M161">
        <f t="shared" si="8"/>
        <v>692.55</v>
      </c>
      <c r="N161">
        <f t="shared" si="9"/>
        <v>450.15749999999997</v>
      </c>
      <c r="O161">
        <f t="shared" si="10"/>
        <v>242.39249999999998</v>
      </c>
      <c r="P161">
        <f t="shared" si="11"/>
        <v>0.35</v>
      </c>
      <c r="Q161" t="s">
        <v>125</v>
      </c>
    </row>
    <row r="162" spans="1:17" x14ac:dyDescent="0.3">
      <c r="A162" t="s">
        <v>312</v>
      </c>
      <c r="B162" s="7">
        <v>45797</v>
      </c>
      <c r="C162" t="s">
        <v>164</v>
      </c>
      <c r="D162" t="s">
        <v>122</v>
      </c>
      <c r="E162" t="s">
        <v>137</v>
      </c>
      <c r="F162" t="s">
        <v>143</v>
      </c>
      <c r="G162" t="s">
        <v>58</v>
      </c>
      <c r="H162" t="s">
        <v>59</v>
      </c>
      <c r="I162" t="s">
        <v>11</v>
      </c>
      <c r="J162">
        <v>11</v>
      </c>
      <c r="K162">
        <v>1672.32</v>
      </c>
      <c r="L162">
        <v>0.15</v>
      </c>
      <c r="M162">
        <f t="shared" si="8"/>
        <v>15636.191999999999</v>
      </c>
      <c r="N162">
        <f t="shared" si="9"/>
        <v>10163.524799999999</v>
      </c>
      <c r="O162">
        <f t="shared" si="10"/>
        <v>5472.6671999999999</v>
      </c>
      <c r="P162">
        <f t="shared" si="11"/>
        <v>0.35000000000000003</v>
      </c>
      <c r="Q162" t="s">
        <v>125</v>
      </c>
    </row>
    <row r="163" spans="1:17" x14ac:dyDescent="0.3">
      <c r="A163" t="s">
        <v>313</v>
      </c>
      <c r="B163" s="7">
        <v>45615</v>
      </c>
      <c r="C163" t="s">
        <v>245</v>
      </c>
      <c r="D163" t="s">
        <v>131</v>
      </c>
      <c r="E163" t="s">
        <v>128</v>
      </c>
      <c r="F163" t="s">
        <v>154</v>
      </c>
      <c r="G163" t="s">
        <v>49</v>
      </c>
      <c r="H163" t="s">
        <v>50</v>
      </c>
      <c r="I163" t="s">
        <v>19</v>
      </c>
      <c r="J163">
        <v>11</v>
      </c>
      <c r="K163">
        <v>220.56</v>
      </c>
      <c r="L163">
        <v>0.05</v>
      </c>
      <c r="M163">
        <f t="shared" si="8"/>
        <v>2304.8519999999999</v>
      </c>
      <c r="N163">
        <f t="shared" si="9"/>
        <v>1498.1538</v>
      </c>
      <c r="O163">
        <f t="shared" si="10"/>
        <v>806.69819999999982</v>
      </c>
      <c r="P163">
        <f t="shared" si="11"/>
        <v>0.34999999999999992</v>
      </c>
      <c r="Q163" t="s">
        <v>135</v>
      </c>
    </row>
    <row r="164" spans="1:17" x14ac:dyDescent="0.3">
      <c r="A164" t="s">
        <v>314</v>
      </c>
      <c r="B164" s="7">
        <v>45349</v>
      </c>
      <c r="C164" t="s">
        <v>174</v>
      </c>
      <c r="D164" t="s">
        <v>122</v>
      </c>
      <c r="E164" t="s">
        <v>128</v>
      </c>
      <c r="F164" t="s">
        <v>152</v>
      </c>
      <c r="G164" t="s">
        <v>49</v>
      </c>
      <c r="H164" t="s">
        <v>50</v>
      </c>
      <c r="I164" t="s">
        <v>19</v>
      </c>
      <c r="J164">
        <v>8</v>
      </c>
      <c r="K164">
        <v>214.6</v>
      </c>
      <c r="L164">
        <v>0.05</v>
      </c>
      <c r="M164">
        <f t="shared" si="8"/>
        <v>1630.9599999999998</v>
      </c>
      <c r="N164">
        <f t="shared" si="9"/>
        <v>1060.124</v>
      </c>
      <c r="O164">
        <f t="shared" si="10"/>
        <v>570.83599999999979</v>
      </c>
      <c r="P164">
        <f t="shared" si="11"/>
        <v>0.34999999999999992</v>
      </c>
      <c r="Q164" t="s">
        <v>125</v>
      </c>
    </row>
    <row r="165" spans="1:17" x14ac:dyDescent="0.3">
      <c r="A165" t="s">
        <v>315</v>
      </c>
      <c r="B165" s="7">
        <v>45370</v>
      </c>
      <c r="C165" t="s">
        <v>160</v>
      </c>
      <c r="D165" t="s">
        <v>127</v>
      </c>
      <c r="E165" t="s">
        <v>137</v>
      </c>
      <c r="F165" t="s">
        <v>154</v>
      </c>
      <c r="G165" t="s">
        <v>58</v>
      </c>
      <c r="H165" t="s">
        <v>59</v>
      </c>
      <c r="I165" t="s">
        <v>11</v>
      </c>
      <c r="J165">
        <v>9</v>
      </c>
      <c r="K165">
        <v>1724.95</v>
      </c>
      <c r="L165">
        <v>0</v>
      </c>
      <c r="M165">
        <f t="shared" si="8"/>
        <v>15524.550000000001</v>
      </c>
      <c r="N165">
        <f t="shared" si="9"/>
        <v>10090.9575</v>
      </c>
      <c r="O165">
        <f t="shared" si="10"/>
        <v>5433.5925000000007</v>
      </c>
      <c r="P165">
        <f t="shared" si="11"/>
        <v>0.35000000000000003</v>
      </c>
      <c r="Q165" t="s">
        <v>147</v>
      </c>
    </row>
    <row r="166" spans="1:17" x14ac:dyDescent="0.3">
      <c r="A166" t="s">
        <v>316</v>
      </c>
      <c r="B166" s="7">
        <v>45484</v>
      </c>
      <c r="C166" t="s">
        <v>174</v>
      </c>
      <c r="D166" t="s">
        <v>122</v>
      </c>
      <c r="E166" t="s">
        <v>137</v>
      </c>
      <c r="F166" t="s">
        <v>138</v>
      </c>
      <c r="G166" t="s">
        <v>25</v>
      </c>
      <c r="H166" t="s">
        <v>26</v>
      </c>
      <c r="I166" t="s">
        <v>27</v>
      </c>
      <c r="J166">
        <v>1</v>
      </c>
      <c r="K166">
        <v>1343.32</v>
      </c>
      <c r="L166">
        <v>0.05</v>
      </c>
      <c r="M166">
        <f t="shared" si="8"/>
        <v>1276.1539999999998</v>
      </c>
      <c r="N166">
        <f t="shared" si="9"/>
        <v>829.50009999999986</v>
      </c>
      <c r="O166">
        <f t="shared" si="10"/>
        <v>446.65389999999991</v>
      </c>
      <c r="P166">
        <f t="shared" si="11"/>
        <v>0.35</v>
      </c>
      <c r="Q166" t="s">
        <v>144</v>
      </c>
    </row>
    <row r="167" spans="1:17" x14ac:dyDescent="0.3">
      <c r="A167" t="s">
        <v>317</v>
      </c>
      <c r="B167" s="7">
        <v>45378</v>
      </c>
      <c r="C167" t="s">
        <v>167</v>
      </c>
      <c r="D167" t="s">
        <v>122</v>
      </c>
      <c r="E167" t="s">
        <v>150</v>
      </c>
      <c r="F167" t="s">
        <v>132</v>
      </c>
      <c r="G167" t="s">
        <v>35</v>
      </c>
      <c r="H167" t="s">
        <v>36</v>
      </c>
      <c r="I167" t="s">
        <v>15</v>
      </c>
      <c r="J167">
        <v>12</v>
      </c>
      <c r="K167">
        <v>447.2</v>
      </c>
      <c r="L167">
        <v>0.1</v>
      </c>
      <c r="M167">
        <f t="shared" si="8"/>
        <v>4829.76</v>
      </c>
      <c r="N167">
        <f t="shared" si="9"/>
        <v>3139.3440000000001</v>
      </c>
      <c r="O167">
        <f t="shared" si="10"/>
        <v>1690.4160000000002</v>
      </c>
      <c r="P167">
        <f t="shared" si="11"/>
        <v>0.35000000000000003</v>
      </c>
      <c r="Q167" t="s">
        <v>135</v>
      </c>
    </row>
    <row r="168" spans="1:17" x14ac:dyDescent="0.3">
      <c r="A168" t="s">
        <v>318</v>
      </c>
      <c r="B168" s="7">
        <v>45827</v>
      </c>
      <c r="C168" t="s">
        <v>140</v>
      </c>
      <c r="D168" t="s">
        <v>127</v>
      </c>
      <c r="E168" t="s">
        <v>123</v>
      </c>
      <c r="F168" t="s">
        <v>152</v>
      </c>
      <c r="G168" t="s">
        <v>39</v>
      </c>
      <c r="H168" t="s">
        <v>40</v>
      </c>
      <c r="I168" t="s">
        <v>23</v>
      </c>
      <c r="J168">
        <v>7</v>
      </c>
      <c r="K168">
        <v>59.45</v>
      </c>
      <c r="L168">
        <v>0.05</v>
      </c>
      <c r="M168">
        <f t="shared" si="8"/>
        <v>395.34250000000003</v>
      </c>
      <c r="N168">
        <f t="shared" si="9"/>
        <v>256.97262500000005</v>
      </c>
      <c r="O168">
        <f t="shared" si="10"/>
        <v>138.36987499999998</v>
      </c>
      <c r="P168">
        <f t="shared" si="11"/>
        <v>0.34999999999999992</v>
      </c>
      <c r="Q168" t="s">
        <v>144</v>
      </c>
    </row>
    <row r="169" spans="1:17" x14ac:dyDescent="0.3">
      <c r="A169" t="s">
        <v>319</v>
      </c>
      <c r="B169" s="7">
        <v>45345</v>
      </c>
      <c r="C169" t="s">
        <v>134</v>
      </c>
      <c r="D169" t="s">
        <v>122</v>
      </c>
      <c r="E169" t="s">
        <v>123</v>
      </c>
      <c r="F169" t="s">
        <v>132</v>
      </c>
      <c r="G169" t="s">
        <v>41</v>
      </c>
      <c r="H169" t="s">
        <v>42</v>
      </c>
      <c r="I169" t="s">
        <v>27</v>
      </c>
      <c r="J169">
        <v>2</v>
      </c>
      <c r="K169">
        <v>377.17</v>
      </c>
      <c r="L169">
        <v>0.1</v>
      </c>
      <c r="M169">
        <f t="shared" si="8"/>
        <v>678.90600000000006</v>
      </c>
      <c r="N169">
        <f t="shared" si="9"/>
        <v>441.28890000000007</v>
      </c>
      <c r="O169">
        <f t="shared" si="10"/>
        <v>237.61709999999999</v>
      </c>
      <c r="P169">
        <f t="shared" si="11"/>
        <v>0.35</v>
      </c>
      <c r="Q169" t="s">
        <v>125</v>
      </c>
    </row>
    <row r="170" spans="1:17" x14ac:dyDescent="0.3">
      <c r="A170" t="s">
        <v>320</v>
      </c>
      <c r="B170" s="7">
        <v>45550</v>
      </c>
      <c r="C170" t="s">
        <v>146</v>
      </c>
      <c r="D170" t="s">
        <v>122</v>
      </c>
      <c r="E170" t="s">
        <v>150</v>
      </c>
      <c r="F170" t="s">
        <v>152</v>
      </c>
      <c r="G170" t="s">
        <v>17</v>
      </c>
      <c r="H170" t="s">
        <v>18</v>
      </c>
      <c r="I170" t="s">
        <v>19</v>
      </c>
      <c r="J170">
        <v>10</v>
      </c>
      <c r="K170">
        <v>121.96</v>
      </c>
      <c r="L170">
        <v>0.05</v>
      </c>
      <c r="M170">
        <f t="shared" si="8"/>
        <v>1158.6199999999999</v>
      </c>
      <c r="N170">
        <f t="shared" si="9"/>
        <v>753.10299999999995</v>
      </c>
      <c r="O170">
        <f t="shared" si="10"/>
        <v>405.51699999999994</v>
      </c>
      <c r="P170">
        <f t="shared" si="11"/>
        <v>0.35</v>
      </c>
      <c r="Q170" t="s">
        <v>125</v>
      </c>
    </row>
    <row r="171" spans="1:17" x14ac:dyDescent="0.3">
      <c r="A171" t="s">
        <v>321</v>
      </c>
      <c r="B171" s="7">
        <v>45693</v>
      </c>
      <c r="C171" t="s">
        <v>245</v>
      </c>
      <c r="D171" t="s">
        <v>122</v>
      </c>
      <c r="E171" t="s">
        <v>128</v>
      </c>
      <c r="F171" t="s">
        <v>152</v>
      </c>
      <c r="G171" t="s">
        <v>56</v>
      </c>
      <c r="H171" t="s">
        <v>57</v>
      </c>
      <c r="I171" t="s">
        <v>31</v>
      </c>
      <c r="J171">
        <v>7</v>
      </c>
      <c r="K171">
        <v>532.53</v>
      </c>
      <c r="L171">
        <v>0.05</v>
      </c>
      <c r="M171">
        <f t="shared" si="8"/>
        <v>3541.3244999999997</v>
      </c>
      <c r="N171">
        <f t="shared" si="9"/>
        <v>2301.860925</v>
      </c>
      <c r="O171">
        <f t="shared" si="10"/>
        <v>1239.4635749999998</v>
      </c>
      <c r="P171">
        <f t="shared" si="11"/>
        <v>0.35</v>
      </c>
      <c r="Q171" t="s">
        <v>125</v>
      </c>
    </row>
    <row r="172" spans="1:17" x14ac:dyDescent="0.3">
      <c r="A172" t="s">
        <v>322</v>
      </c>
      <c r="B172" s="7">
        <v>45831</v>
      </c>
      <c r="C172" t="s">
        <v>157</v>
      </c>
      <c r="D172" t="s">
        <v>122</v>
      </c>
      <c r="E172" t="s">
        <v>137</v>
      </c>
      <c r="F172" t="s">
        <v>138</v>
      </c>
      <c r="G172" t="s">
        <v>43</v>
      </c>
      <c r="H172" t="s">
        <v>44</v>
      </c>
      <c r="I172" t="s">
        <v>31</v>
      </c>
      <c r="J172">
        <v>1</v>
      </c>
      <c r="K172">
        <v>177.53</v>
      </c>
      <c r="L172">
        <v>0</v>
      </c>
      <c r="M172">
        <f t="shared" si="8"/>
        <v>177.53</v>
      </c>
      <c r="N172">
        <f t="shared" si="9"/>
        <v>115.39450000000001</v>
      </c>
      <c r="O172">
        <f t="shared" si="10"/>
        <v>62.135499999999993</v>
      </c>
      <c r="P172">
        <f t="shared" si="11"/>
        <v>0.35</v>
      </c>
      <c r="Q172" t="s">
        <v>125</v>
      </c>
    </row>
    <row r="173" spans="1:17" x14ac:dyDescent="0.3">
      <c r="A173" t="s">
        <v>323</v>
      </c>
      <c r="B173" s="7">
        <v>45641</v>
      </c>
      <c r="C173" t="s">
        <v>134</v>
      </c>
      <c r="D173" t="s">
        <v>131</v>
      </c>
      <c r="E173" t="s">
        <v>150</v>
      </c>
      <c r="F173" t="s">
        <v>124</v>
      </c>
      <c r="G173" t="s">
        <v>25</v>
      </c>
      <c r="H173" t="s">
        <v>26</v>
      </c>
      <c r="I173" t="s">
        <v>27</v>
      </c>
      <c r="J173">
        <v>3</v>
      </c>
      <c r="K173">
        <v>1292.92</v>
      </c>
      <c r="L173">
        <v>0</v>
      </c>
      <c r="M173">
        <f t="shared" si="8"/>
        <v>3878.76</v>
      </c>
      <c r="N173">
        <f t="shared" si="9"/>
        <v>2521.1940000000004</v>
      </c>
      <c r="O173">
        <f t="shared" si="10"/>
        <v>1357.5659999999998</v>
      </c>
      <c r="P173">
        <f t="shared" si="11"/>
        <v>0.34999999999999992</v>
      </c>
      <c r="Q173" t="s">
        <v>135</v>
      </c>
    </row>
    <row r="174" spans="1:17" x14ac:dyDescent="0.3">
      <c r="A174" t="s">
        <v>324</v>
      </c>
      <c r="B174" s="7">
        <v>45831</v>
      </c>
      <c r="C174" t="s">
        <v>121</v>
      </c>
      <c r="D174" t="s">
        <v>122</v>
      </c>
      <c r="E174" t="s">
        <v>123</v>
      </c>
      <c r="F174" t="s">
        <v>138</v>
      </c>
      <c r="G174" t="s">
        <v>25</v>
      </c>
      <c r="H174" t="s">
        <v>26</v>
      </c>
      <c r="I174" t="s">
        <v>27</v>
      </c>
      <c r="J174">
        <v>10</v>
      </c>
      <c r="K174">
        <v>1333.36</v>
      </c>
      <c r="L174">
        <v>0</v>
      </c>
      <c r="M174">
        <f t="shared" si="8"/>
        <v>13333.599999999999</v>
      </c>
      <c r="N174">
        <f t="shared" si="9"/>
        <v>8666.84</v>
      </c>
      <c r="O174">
        <f t="shared" si="10"/>
        <v>4666.7599999999984</v>
      </c>
      <c r="P174">
        <f t="shared" si="11"/>
        <v>0.34999999999999992</v>
      </c>
      <c r="Q174" t="s">
        <v>125</v>
      </c>
    </row>
    <row r="175" spans="1:17" x14ac:dyDescent="0.3">
      <c r="A175" t="s">
        <v>325</v>
      </c>
      <c r="B175" s="7">
        <v>45461</v>
      </c>
      <c r="C175" t="s">
        <v>146</v>
      </c>
      <c r="D175" t="s">
        <v>131</v>
      </c>
      <c r="E175" t="s">
        <v>128</v>
      </c>
      <c r="F175" t="s">
        <v>154</v>
      </c>
      <c r="G175" t="s">
        <v>43</v>
      </c>
      <c r="H175" t="s">
        <v>44</v>
      </c>
      <c r="I175" t="s">
        <v>31</v>
      </c>
      <c r="J175">
        <v>11</v>
      </c>
      <c r="K175">
        <v>183.95</v>
      </c>
      <c r="L175">
        <v>0.1</v>
      </c>
      <c r="M175">
        <f t="shared" si="8"/>
        <v>1821.1049999999998</v>
      </c>
      <c r="N175">
        <f t="shared" si="9"/>
        <v>1183.7182499999999</v>
      </c>
      <c r="O175">
        <f t="shared" si="10"/>
        <v>637.38674999999989</v>
      </c>
      <c r="P175">
        <f t="shared" si="11"/>
        <v>0.35</v>
      </c>
      <c r="Q175" t="s">
        <v>135</v>
      </c>
    </row>
    <row r="176" spans="1:17" x14ac:dyDescent="0.3">
      <c r="A176" t="s">
        <v>326</v>
      </c>
      <c r="B176" s="7">
        <v>45583</v>
      </c>
      <c r="C176" t="s">
        <v>134</v>
      </c>
      <c r="D176" t="s">
        <v>122</v>
      </c>
      <c r="E176" t="s">
        <v>137</v>
      </c>
      <c r="F176" t="s">
        <v>124</v>
      </c>
      <c r="G176" t="s">
        <v>56</v>
      </c>
      <c r="H176" t="s">
        <v>57</v>
      </c>
      <c r="I176" t="s">
        <v>31</v>
      </c>
      <c r="J176">
        <v>4</v>
      </c>
      <c r="K176">
        <v>515</v>
      </c>
      <c r="L176">
        <v>0.1</v>
      </c>
      <c r="M176">
        <f t="shared" si="8"/>
        <v>1854</v>
      </c>
      <c r="N176">
        <f t="shared" si="9"/>
        <v>1205.1000000000001</v>
      </c>
      <c r="O176">
        <f t="shared" si="10"/>
        <v>648.89999999999986</v>
      </c>
      <c r="P176">
        <f t="shared" si="11"/>
        <v>0.34999999999999992</v>
      </c>
      <c r="Q176" t="s">
        <v>125</v>
      </c>
    </row>
    <row r="177" spans="1:17" x14ac:dyDescent="0.3">
      <c r="A177" t="s">
        <v>327</v>
      </c>
      <c r="B177" s="7">
        <v>45668</v>
      </c>
      <c r="C177" t="s">
        <v>160</v>
      </c>
      <c r="D177" t="s">
        <v>122</v>
      </c>
      <c r="E177" t="s">
        <v>137</v>
      </c>
      <c r="F177" t="s">
        <v>154</v>
      </c>
      <c r="G177" t="s">
        <v>39</v>
      </c>
      <c r="H177" t="s">
        <v>40</v>
      </c>
      <c r="I177" t="s">
        <v>23</v>
      </c>
      <c r="J177">
        <v>13</v>
      </c>
      <c r="K177">
        <v>59.29</v>
      </c>
      <c r="L177">
        <v>0.15</v>
      </c>
      <c r="M177">
        <f t="shared" si="8"/>
        <v>655.15449999999998</v>
      </c>
      <c r="N177">
        <f t="shared" si="9"/>
        <v>425.85042500000003</v>
      </c>
      <c r="O177">
        <f t="shared" si="10"/>
        <v>229.30407499999995</v>
      </c>
      <c r="P177">
        <f t="shared" si="11"/>
        <v>0.34999999999999992</v>
      </c>
      <c r="Q177" t="s">
        <v>147</v>
      </c>
    </row>
    <row r="178" spans="1:17" x14ac:dyDescent="0.3">
      <c r="A178" t="s">
        <v>328</v>
      </c>
      <c r="B178" s="7">
        <v>45457</v>
      </c>
      <c r="C178" t="s">
        <v>187</v>
      </c>
      <c r="D178" t="s">
        <v>127</v>
      </c>
      <c r="E178" t="s">
        <v>150</v>
      </c>
      <c r="F178" t="s">
        <v>152</v>
      </c>
      <c r="G178" t="s">
        <v>13</v>
      </c>
      <c r="H178" t="s">
        <v>14</v>
      </c>
      <c r="I178" t="s">
        <v>15</v>
      </c>
      <c r="J178">
        <v>11</v>
      </c>
      <c r="K178">
        <v>898.25</v>
      </c>
      <c r="L178">
        <v>0.05</v>
      </c>
      <c r="M178">
        <f t="shared" si="8"/>
        <v>9386.7124999999996</v>
      </c>
      <c r="N178">
        <f t="shared" si="9"/>
        <v>6101.3631249999999</v>
      </c>
      <c r="O178">
        <f t="shared" si="10"/>
        <v>3285.3493749999998</v>
      </c>
      <c r="P178">
        <f t="shared" si="11"/>
        <v>0.35</v>
      </c>
      <c r="Q178" t="s">
        <v>135</v>
      </c>
    </row>
    <row r="179" spans="1:17" x14ac:dyDescent="0.3">
      <c r="A179" t="s">
        <v>329</v>
      </c>
      <c r="B179" s="7">
        <v>45397</v>
      </c>
      <c r="C179" t="s">
        <v>146</v>
      </c>
      <c r="D179" t="s">
        <v>122</v>
      </c>
      <c r="E179" t="s">
        <v>128</v>
      </c>
      <c r="F179" t="s">
        <v>152</v>
      </c>
      <c r="G179" t="s">
        <v>17</v>
      </c>
      <c r="H179" t="s">
        <v>18</v>
      </c>
      <c r="I179" t="s">
        <v>19</v>
      </c>
      <c r="J179">
        <v>13</v>
      </c>
      <c r="K179">
        <v>115.92</v>
      </c>
      <c r="L179">
        <v>0.1</v>
      </c>
      <c r="M179">
        <f t="shared" si="8"/>
        <v>1356.2640000000001</v>
      </c>
      <c r="N179">
        <f t="shared" si="9"/>
        <v>881.5716000000001</v>
      </c>
      <c r="O179">
        <f t="shared" si="10"/>
        <v>474.69240000000002</v>
      </c>
      <c r="P179">
        <f t="shared" si="11"/>
        <v>0.35</v>
      </c>
      <c r="Q179" t="s">
        <v>135</v>
      </c>
    </row>
    <row r="180" spans="1:17" x14ac:dyDescent="0.3">
      <c r="A180" t="s">
        <v>330</v>
      </c>
      <c r="B180" s="7">
        <v>45442</v>
      </c>
      <c r="C180" t="s">
        <v>187</v>
      </c>
      <c r="D180" t="s">
        <v>131</v>
      </c>
      <c r="E180" t="s">
        <v>128</v>
      </c>
      <c r="F180" t="s">
        <v>124</v>
      </c>
      <c r="G180" t="s">
        <v>49</v>
      </c>
      <c r="H180" t="s">
        <v>50</v>
      </c>
      <c r="I180" t="s">
        <v>19</v>
      </c>
      <c r="J180">
        <v>15</v>
      </c>
      <c r="K180">
        <v>221.62</v>
      </c>
      <c r="L180">
        <v>0</v>
      </c>
      <c r="M180">
        <f t="shared" si="8"/>
        <v>3324.3</v>
      </c>
      <c r="N180">
        <f t="shared" si="9"/>
        <v>2160.7950000000001</v>
      </c>
      <c r="O180">
        <f t="shared" si="10"/>
        <v>1163.5050000000001</v>
      </c>
      <c r="P180">
        <f t="shared" si="11"/>
        <v>0.35000000000000003</v>
      </c>
      <c r="Q180" t="s">
        <v>147</v>
      </c>
    </row>
    <row r="181" spans="1:17" x14ac:dyDescent="0.3">
      <c r="A181" t="s">
        <v>331</v>
      </c>
      <c r="B181" s="7">
        <v>45346</v>
      </c>
      <c r="C181" t="s">
        <v>142</v>
      </c>
      <c r="D181" t="s">
        <v>122</v>
      </c>
      <c r="E181" t="s">
        <v>123</v>
      </c>
      <c r="F181" t="s">
        <v>124</v>
      </c>
      <c r="G181" t="s">
        <v>45</v>
      </c>
      <c r="H181" t="s">
        <v>46</v>
      </c>
      <c r="I181" t="s">
        <v>11</v>
      </c>
      <c r="J181">
        <v>2</v>
      </c>
      <c r="K181">
        <v>2221.86</v>
      </c>
      <c r="L181">
        <v>0</v>
      </c>
      <c r="M181">
        <f t="shared" si="8"/>
        <v>4443.72</v>
      </c>
      <c r="N181">
        <f t="shared" si="9"/>
        <v>2888.4180000000001</v>
      </c>
      <c r="O181">
        <f t="shared" si="10"/>
        <v>1555.3020000000001</v>
      </c>
      <c r="P181">
        <f t="shared" si="11"/>
        <v>0.35000000000000003</v>
      </c>
      <c r="Q181" t="s">
        <v>125</v>
      </c>
    </row>
    <row r="182" spans="1:17" x14ac:dyDescent="0.3">
      <c r="A182" t="s">
        <v>332</v>
      </c>
      <c r="B182" s="7">
        <v>45393</v>
      </c>
      <c r="C182" t="s">
        <v>187</v>
      </c>
      <c r="D182" t="s">
        <v>122</v>
      </c>
      <c r="E182" t="s">
        <v>123</v>
      </c>
      <c r="F182" t="s">
        <v>124</v>
      </c>
      <c r="G182" t="s">
        <v>25</v>
      </c>
      <c r="H182" t="s">
        <v>26</v>
      </c>
      <c r="I182" t="s">
        <v>27</v>
      </c>
      <c r="J182">
        <v>1</v>
      </c>
      <c r="K182">
        <v>1321.23</v>
      </c>
      <c r="L182">
        <v>0.1</v>
      </c>
      <c r="M182">
        <f t="shared" si="8"/>
        <v>1189.107</v>
      </c>
      <c r="N182">
        <f t="shared" si="9"/>
        <v>772.91954999999996</v>
      </c>
      <c r="O182">
        <f t="shared" si="10"/>
        <v>416.18745000000001</v>
      </c>
      <c r="P182">
        <f t="shared" si="11"/>
        <v>0.35000000000000003</v>
      </c>
      <c r="Q182" t="s">
        <v>144</v>
      </c>
    </row>
    <row r="183" spans="1:17" x14ac:dyDescent="0.3">
      <c r="A183" t="s">
        <v>333</v>
      </c>
      <c r="B183" s="7">
        <v>45434</v>
      </c>
      <c r="C183" t="s">
        <v>134</v>
      </c>
      <c r="D183" t="s">
        <v>122</v>
      </c>
      <c r="E183" t="s">
        <v>137</v>
      </c>
      <c r="F183" t="s">
        <v>154</v>
      </c>
      <c r="G183" t="s">
        <v>60</v>
      </c>
      <c r="H183" t="s">
        <v>61</v>
      </c>
      <c r="I183" t="s">
        <v>15</v>
      </c>
      <c r="J183">
        <v>1</v>
      </c>
      <c r="K183">
        <v>234.13</v>
      </c>
      <c r="L183">
        <v>0</v>
      </c>
      <c r="M183">
        <f t="shared" si="8"/>
        <v>234.13</v>
      </c>
      <c r="N183">
        <f t="shared" si="9"/>
        <v>152.18450000000001</v>
      </c>
      <c r="O183">
        <f t="shared" si="10"/>
        <v>81.945499999999981</v>
      </c>
      <c r="P183">
        <f t="shared" si="11"/>
        <v>0.34999999999999992</v>
      </c>
      <c r="Q183" t="s">
        <v>125</v>
      </c>
    </row>
    <row r="184" spans="1:17" x14ac:dyDescent="0.3">
      <c r="A184" t="s">
        <v>334</v>
      </c>
      <c r="B184" s="7">
        <v>45512</v>
      </c>
      <c r="C184" t="s">
        <v>187</v>
      </c>
      <c r="D184" t="s">
        <v>127</v>
      </c>
      <c r="E184" t="s">
        <v>137</v>
      </c>
      <c r="F184" t="s">
        <v>132</v>
      </c>
      <c r="G184" t="s">
        <v>39</v>
      </c>
      <c r="H184" t="s">
        <v>40</v>
      </c>
      <c r="I184" t="s">
        <v>23</v>
      </c>
      <c r="J184">
        <v>4</v>
      </c>
      <c r="K184">
        <v>58.81</v>
      </c>
      <c r="L184">
        <v>0</v>
      </c>
      <c r="M184">
        <f t="shared" si="8"/>
        <v>235.24</v>
      </c>
      <c r="N184">
        <f t="shared" si="9"/>
        <v>152.90600000000001</v>
      </c>
      <c r="O184">
        <f t="shared" si="10"/>
        <v>82.334000000000003</v>
      </c>
      <c r="P184">
        <f t="shared" si="11"/>
        <v>0.35</v>
      </c>
      <c r="Q184" t="s">
        <v>125</v>
      </c>
    </row>
    <row r="185" spans="1:17" x14ac:dyDescent="0.3">
      <c r="A185" t="s">
        <v>335</v>
      </c>
      <c r="B185" s="7">
        <v>45721</v>
      </c>
      <c r="C185" t="s">
        <v>160</v>
      </c>
      <c r="D185" t="s">
        <v>122</v>
      </c>
      <c r="E185" t="s">
        <v>137</v>
      </c>
      <c r="F185" t="s">
        <v>132</v>
      </c>
      <c r="G185" t="s">
        <v>21</v>
      </c>
      <c r="H185" t="s">
        <v>22</v>
      </c>
      <c r="I185" t="s">
        <v>23</v>
      </c>
      <c r="J185">
        <v>14</v>
      </c>
      <c r="K185">
        <v>156.08000000000001</v>
      </c>
      <c r="L185">
        <v>0.15</v>
      </c>
      <c r="M185">
        <f t="shared" si="8"/>
        <v>1857.3520000000003</v>
      </c>
      <c r="N185">
        <f t="shared" si="9"/>
        <v>1207.2788000000003</v>
      </c>
      <c r="O185">
        <f t="shared" si="10"/>
        <v>650.07320000000004</v>
      </c>
      <c r="P185">
        <f t="shared" si="11"/>
        <v>0.35</v>
      </c>
      <c r="Q185" t="s">
        <v>135</v>
      </c>
    </row>
    <row r="186" spans="1:17" x14ac:dyDescent="0.3">
      <c r="A186" t="s">
        <v>336</v>
      </c>
      <c r="B186" s="7">
        <v>45308</v>
      </c>
      <c r="C186" t="s">
        <v>160</v>
      </c>
      <c r="D186" t="s">
        <v>122</v>
      </c>
      <c r="E186" t="s">
        <v>150</v>
      </c>
      <c r="F186" t="s">
        <v>143</v>
      </c>
      <c r="G186" t="s">
        <v>25</v>
      </c>
      <c r="H186" t="s">
        <v>26</v>
      </c>
      <c r="I186" t="s">
        <v>27</v>
      </c>
      <c r="J186">
        <v>5</v>
      </c>
      <c r="K186">
        <v>1340.45</v>
      </c>
      <c r="L186">
        <v>0.15</v>
      </c>
      <c r="M186">
        <f t="shared" si="8"/>
        <v>5696.9124999999995</v>
      </c>
      <c r="N186">
        <f t="shared" si="9"/>
        <v>3702.993125</v>
      </c>
      <c r="O186">
        <f t="shared" si="10"/>
        <v>1993.9193749999995</v>
      </c>
      <c r="P186">
        <f t="shared" si="11"/>
        <v>0.34999999999999992</v>
      </c>
      <c r="Q186" t="s">
        <v>125</v>
      </c>
    </row>
    <row r="187" spans="1:17" x14ac:dyDescent="0.3">
      <c r="A187" t="s">
        <v>337</v>
      </c>
      <c r="B187" s="7">
        <v>45538</v>
      </c>
      <c r="C187" t="s">
        <v>140</v>
      </c>
      <c r="D187" t="s">
        <v>131</v>
      </c>
      <c r="E187" t="s">
        <v>150</v>
      </c>
      <c r="F187" t="s">
        <v>143</v>
      </c>
      <c r="G187" t="s">
        <v>17</v>
      </c>
      <c r="H187" t="s">
        <v>18</v>
      </c>
      <c r="I187" t="s">
        <v>19</v>
      </c>
      <c r="J187">
        <v>9</v>
      </c>
      <c r="K187">
        <v>125.7</v>
      </c>
      <c r="L187">
        <v>0</v>
      </c>
      <c r="M187">
        <f t="shared" si="8"/>
        <v>1131.3</v>
      </c>
      <c r="N187">
        <f t="shared" si="9"/>
        <v>735.34500000000003</v>
      </c>
      <c r="O187">
        <f t="shared" si="10"/>
        <v>395.95499999999993</v>
      </c>
      <c r="P187">
        <f t="shared" si="11"/>
        <v>0.34999999999999992</v>
      </c>
      <c r="Q187" t="s">
        <v>135</v>
      </c>
    </row>
    <row r="188" spans="1:17" x14ac:dyDescent="0.3">
      <c r="A188" t="s">
        <v>338</v>
      </c>
      <c r="B188" s="7">
        <v>45811</v>
      </c>
      <c r="C188" t="s">
        <v>134</v>
      </c>
      <c r="D188" t="s">
        <v>122</v>
      </c>
      <c r="E188" t="s">
        <v>128</v>
      </c>
      <c r="F188" t="s">
        <v>154</v>
      </c>
      <c r="G188" t="s">
        <v>51</v>
      </c>
      <c r="H188" t="s">
        <v>52</v>
      </c>
      <c r="I188" t="s">
        <v>23</v>
      </c>
      <c r="J188">
        <v>1</v>
      </c>
      <c r="K188">
        <v>50.68</v>
      </c>
      <c r="L188">
        <v>0.05</v>
      </c>
      <c r="M188">
        <f t="shared" si="8"/>
        <v>48.146000000000001</v>
      </c>
      <c r="N188">
        <f t="shared" si="9"/>
        <v>31.294900000000002</v>
      </c>
      <c r="O188">
        <f t="shared" si="10"/>
        <v>16.851099999999999</v>
      </c>
      <c r="P188">
        <f t="shared" si="11"/>
        <v>0.35</v>
      </c>
      <c r="Q188" t="s">
        <v>125</v>
      </c>
    </row>
    <row r="189" spans="1:17" x14ac:dyDescent="0.3">
      <c r="A189" t="s">
        <v>339</v>
      </c>
      <c r="B189" s="7">
        <v>45308</v>
      </c>
      <c r="C189" t="s">
        <v>174</v>
      </c>
      <c r="D189" t="s">
        <v>127</v>
      </c>
      <c r="E189" t="s">
        <v>123</v>
      </c>
      <c r="F189" t="s">
        <v>124</v>
      </c>
      <c r="G189" t="s">
        <v>21</v>
      </c>
      <c r="H189" t="s">
        <v>22</v>
      </c>
      <c r="I189" t="s">
        <v>23</v>
      </c>
      <c r="J189">
        <v>13</v>
      </c>
      <c r="K189">
        <v>151.22999999999999</v>
      </c>
      <c r="L189">
        <v>0.05</v>
      </c>
      <c r="M189">
        <f t="shared" si="8"/>
        <v>1867.6904999999997</v>
      </c>
      <c r="N189">
        <f t="shared" si="9"/>
        <v>1213.9988249999999</v>
      </c>
      <c r="O189">
        <f t="shared" si="10"/>
        <v>653.6916749999998</v>
      </c>
      <c r="P189">
        <f t="shared" si="11"/>
        <v>0.35</v>
      </c>
      <c r="Q189" t="s">
        <v>125</v>
      </c>
    </row>
    <row r="190" spans="1:17" x14ac:dyDescent="0.3">
      <c r="A190" t="s">
        <v>340</v>
      </c>
      <c r="B190" s="7">
        <v>45337</v>
      </c>
      <c r="C190" t="s">
        <v>174</v>
      </c>
      <c r="D190" t="s">
        <v>122</v>
      </c>
      <c r="E190" t="s">
        <v>123</v>
      </c>
      <c r="F190" t="s">
        <v>143</v>
      </c>
      <c r="G190" t="s">
        <v>29</v>
      </c>
      <c r="H190" t="s">
        <v>30</v>
      </c>
      <c r="I190" t="s">
        <v>31</v>
      </c>
      <c r="J190">
        <v>14</v>
      </c>
      <c r="K190">
        <v>616.75</v>
      </c>
      <c r="L190">
        <v>0.1</v>
      </c>
      <c r="M190">
        <f t="shared" si="8"/>
        <v>7771.05</v>
      </c>
      <c r="N190">
        <f t="shared" si="9"/>
        <v>5051.1824999999999</v>
      </c>
      <c r="O190">
        <f t="shared" si="10"/>
        <v>2719.8675000000003</v>
      </c>
      <c r="P190">
        <f t="shared" si="11"/>
        <v>0.35000000000000003</v>
      </c>
      <c r="Q190" t="s">
        <v>144</v>
      </c>
    </row>
    <row r="191" spans="1:17" x14ac:dyDescent="0.3">
      <c r="A191" t="s">
        <v>341</v>
      </c>
      <c r="B191" s="7">
        <v>45782</v>
      </c>
      <c r="C191" t="s">
        <v>160</v>
      </c>
      <c r="D191" t="s">
        <v>127</v>
      </c>
      <c r="E191" t="s">
        <v>150</v>
      </c>
      <c r="F191" t="s">
        <v>132</v>
      </c>
      <c r="G191" t="s">
        <v>49</v>
      </c>
      <c r="H191" t="s">
        <v>50</v>
      </c>
      <c r="I191" t="s">
        <v>19</v>
      </c>
      <c r="J191">
        <v>1</v>
      </c>
      <c r="K191">
        <v>220.35</v>
      </c>
      <c r="L191">
        <v>0</v>
      </c>
      <c r="M191">
        <f t="shared" si="8"/>
        <v>220.35</v>
      </c>
      <c r="N191">
        <f t="shared" si="9"/>
        <v>143.22749999999999</v>
      </c>
      <c r="O191">
        <f t="shared" si="10"/>
        <v>77.122500000000002</v>
      </c>
      <c r="P191">
        <f t="shared" si="11"/>
        <v>0.35000000000000003</v>
      </c>
      <c r="Q191" t="s">
        <v>125</v>
      </c>
    </row>
    <row r="192" spans="1:17" x14ac:dyDescent="0.3">
      <c r="A192" t="s">
        <v>342</v>
      </c>
      <c r="B192" s="7">
        <v>45334</v>
      </c>
      <c r="C192" t="s">
        <v>174</v>
      </c>
      <c r="D192" t="s">
        <v>131</v>
      </c>
      <c r="E192" t="s">
        <v>137</v>
      </c>
      <c r="F192" t="s">
        <v>138</v>
      </c>
      <c r="G192" t="s">
        <v>51</v>
      </c>
      <c r="H192" t="s">
        <v>52</v>
      </c>
      <c r="I192" t="s">
        <v>23</v>
      </c>
      <c r="J192">
        <v>5</v>
      </c>
      <c r="K192">
        <v>47.68</v>
      </c>
      <c r="L192">
        <v>0</v>
      </c>
      <c r="M192">
        <f t="shared" si="8"/>
        <v>238.4</v>
      </c>
      <c r="N192">
        <f t="shared" si="9"/>
        <v>154.96</v>
      </c>
      <c r="O192">
        <f t="shared" si="10"/>
        <v>83.44</v>
      </c>
      <c r="P192">
        <f t="shared" si="11"/>
        <v>0.35</v>
      </c>
      <c r="Q192" t="s">
        <v>125</v>
      </c>
    </row>
    <row r="193" spans="1:17" x14ac:dyDescent="0.3">
      <c r="A193" t="s">
        <v>343</v>
      </c>
      <c r="B193" s="7">
        <v>45657</v>
      </c>
      <c r="C193" t="s">
        <v>187</v>
      </c>
      <c r="D193" t="s">
        <v>127</v>
      </c>
      <c r="E193" t="s">
        <v>123</v>
      </c>
      <c r="F193" t="s">
        <v>152</v>
      </c>
      <c r="G193" t="s">
        <v>21</v>
      </c>
      <c r="H193" t="s">
        <v>22</v>
      </c>
      <c r="I193" t="s">
        <v>23</v>
      </c>
      <c r="J193">
        <v>13</v>
      </c>
      <c r="K193">
        <v>148.02000000000001</v>
      </c>
      <c r="L193">
        <v>0.1</v>
      </c>
      <c r="M193">
        <f t="shared" si="8"/>
        <v>1731.8340000000003</v>
      </c>
      <c r="N193">
        <f t="shared" si="9"/>
        <v>1125.6921000000002</v>
      </c>
      <c r="O193">
        <f t="shared" si="10"/>
        <v>606.14190000000008</v>
      </c>
      <c r="P193">
        <f t="shared" si="11"/>
        <v>0.35</v>
      </c>
      <c r="Q193" t="s">
        <v>144</v>
      </c>
    </row>
    <row r="194" spans="1:17" x14ac:dyDescent="0.3">
      <c r="A194" t="s">
        <v>344</v>
      </c>
      <c r="B194" s="7">
        <v>45742</v>
      </c>
      <c r="C194" t="s">
        <v>171</v>
      </c>
      <c r="D194" t="s">
        <v>131</v>
      </c>
      <c r="E194" t="s">
        <v>123</v>
      </c>
      <c r="F194" t="s">
        <v>124</v>
      </c>
      <c r="G194" t="s">
        <v>51</v>
      </c>
      <c r="H194" t="s">
        <v>52</v>
      </c>
      <c r="I194" t="s">
        <v>23</v>
      </c>
      <c r="J194">
        <v>12</v>
      </c>
      <c r="K194">
        <v>49.99</v>
      </c>
      <c r="L194">
        <v>0.15</v>
      </c>
      <c r="M194">
        <f t="shared" ref="M194:M257" si="12">J194*K194*(1-L194)</f>
        <v>509.89799999999997</v>
      </c>
      <c r="N194">
        <f t="shared" ref="N194:N257" si="13">M194*0.65</f>
        <v>331.43369999999999</v>
      </c>
      <c r="O194">
        <f t="shared" ref="O194:O257" si="14">M194-N194</f>
        <v>178.46429999999998</v>
      </c>
      <c r="P194">
        <f t="shared" ref="P194:P257" si="15">IFERROR(O194/M194, 0)</f>
        <v>0.35</v>
      </c>
      <c r="Q194" t="s">
        <v>125</v>
      </c>
    </row>
    <row r="195" spans="1:17" x14ac:dyDescent="0.3">
      <c r="A195" t="s">
        <v>345</v>
      </c>
      <c r="B195" s="7">
        <v>45376</v>
      </c>
      <c r="C195" t="s">
        <v>146</v>
      </c>
      <c r="D195" t="s">
        <v>131</v>
      </c>
      <c r="E195" t="s">
        <v>128</v>
      </c>
      <c r="F195" t="s">
        <v>154</v>
      </c>
      <c r="G195" t="s">
        <v>60</v>
      </c>
      <c r="H195" t="s">
        <v>61</v>
      </c>
      <c r="I195" t="s">
        <v>15</v>
      </c>
      <c r="J195">
        <v>14</v>
      </c>
      <c r="K195">
        <v>217.81</v>
      </c>
      <c r="L195">
        <v>0.05</v>
      </c>
      <c r="M195">
        <f t="shared" si="12"/>
        <v>2896.873</v>
      </c>
      <c r="N195">
        <f t="shared" si="13"/>
        <v>1882.9674500000001</v>
      </c>
      <c r="O195">
        <f t="shared" si="14"/>
        <v>1013.9055499999999</v>
      </c>
      <c r="P195">
        <f t="shared" si="15"/>
        <v>0.35</v>
      </c>
      <c r="Q195" t="s">
        <v>125</v>
      </c>
    </row>
    <row r="196" spans="1:17" x14ac:dyDescent="0.3">
      <c r="A196" t="s">
        <v>346</v>
      </c>
      <c r="B196" s="7">
        <v>45397</v>
      </c>
      <c r="C196" t="s">
        <v>157</v>
      </c>
      <c r="D196" t="s">
        <v>131</v>
      </c>
      <c r="E196" t="s">
        <v>123</v>
      </c>
      <c r="F196" t="s">
        <v>152</v>
      </c>
      <c r="G196" t="s">
        <v>49</v>
      </c>
      <c r="H196" t="s">
        <v>50</v>
      </c>
      <c r="I196" t="s">
        <v>19</v>
      </c>
      <c r="J196">
        <v>10</v>
      </c>
      <c r="K196">
        <v>229.9</v>
      </c>
      <c r="L196">
        <v>0</v>
      </c>
      <c r="M196">
        <f t="shared" si="12"/>
        <v>2299</v>
      </c>
      <c r="N196">
        <f t="shared" si="13"/>
        <v>1494.3500000000001</v>
      </c>
      <c r="O196">
        <f t="shared" si="14"/>
        <v>804.64999999999986</v>
      </c>
      <c r="P196">
        <f t="shared" si="15"/>
        <v>0.34999999999999992</v>
      </c>
      <c r="Q196" t="s">
        <v>144</v>
      </c>
    </row>
    <row r="197" spans="1:17" x14ac:dyDescent="0.3">
      <c r="A197" t="s">
        <v>347</v>
      </c>
      <c r="B197" s="7">
        <v>45746</v>
      </c>
      <c r="C197" t="s">
        <v>174</v>
      </c>
      <c r="D197" t="s">
        <v>131</v>
      </c>
      <c r="E197" t="s">
        <v>128</v>
      </c>
      <c r="F197" t="s">
        <v>143</v>
      </c>
      <c r="G197" t="s">
        <v>43</v>
      </c>
      <c r="H197" t="s">
        <v>44</v>
      </c>
      <c r="I197" t="s">
        <v>31</v>
      </c>
      <c r="J197">
        <v>10</v>
      </c>
      <c r="K197">
        <v>188.97</v>
      </c>
      <c r="L197">
        <v>0.05</v>
      </c>
      <c r="M197">
        <f t="shared" si="12"/>
        <v>1795.2149999999999</v>
      </c>
      <c r="N197">
        <f t="shared" si="13"/>
        <v>1166.88975</v>
      </c>
      <c r="O197">
        <f t="shared" si="14"/>
        <v>628.32524999999987</v>
      </c>
      <c r="P197">
        <f t="shared" si="15"/>
        <v>0.34999999999999992</v>
      </c>
      <c r="Q197" t="s">
        <v>144</v>
      </c>
    </row>
    <row r="198" spans="1:17" x14ac:dyDescent="0.3">
      <c r="A198" t="s">
        <v>348</v>
      </c>
      <c r="B198" s="7">
        <v>45350</v>
      </c>
      <c r="C198" t="s">
        <v>157</v>
      </c>
      <c r="D198" t="s">
        <v>122</v>
      </c>
      <c r="E198" t="s">
        <v>137</v>
      </c>
      <c r="F198" t="s">
        <v>152</v>
      </c>
      <c r="G198" t="s">
        <v>54</v>
      </c>
      <c r="H198" t="s">
        <v>55</v>
      </c>
      <c r="I198" t="s">
        <v>27</v>
      </c>
      <c r="J198">
        <v>13</v>
      </c>
      <c r="K198">
        <v>1076.24</v>
      </c>
      <c r="L198">
        <v>0</v>
      </c>
      <c r="M198">
        <f t="shared" si="12"/>
        <v>13991.12</v>
      </c>
      <c r="N198">
        <f t="shared" si="13"/>
        <v>9094.228000000001</v>
      </c>
      <c r="O198">
        <f t="shared" si="14"/>
        <v>4896.8919999999998</v>
      </c>
      <c r="P198">
        <f t="shared" si="15"/>
        <v>0.35</v>
      </c>
      <c r="Q198" t="s">
        <v>125</v>
      </c>
    </row>
    <row r="199" spans="1:17" x14ac:dyDescent="0.3">
      <c r="A199" t="s">
        <v>349</v>
      </c>
      <c r="B199" s="7">
        <v>45438</v>
      </c>
      <c r="C199" t="s">
        <v>187</v>
      </c>
      <c r="D199" t="s">
        <v>122</v>
      </c>
      <c r="E199" t="s">
        <v>137</v>
      </c>
      <c r="F199" t="s">
        <v>132</v>
      </c>
      <c r="G199" t="s">
        <v>25</v>
      </c>
      <c r="H199" t="s">
        <v>26</v>
      </c>
      <c r="I199" t="s">
        <v>27</v>
      </c>
      <c r="J199">
        <v>2</v>
      </c>
      <c r="K199">
        <v>1314.36</v>
      </c>
      <c r="L199">
        <v>0.05</v>
      </c>
      <c r="M199">
        <f t="shared" si="12"/>
        <v>2497.2839999999997</v>
      </c>
      <c r="N199">
        <f t="shared" si="13"/>
        <v>1623.2345999999998</v>
      </c>
      <c r="O199">
        <f t="shared" si="14"/>
        <v>874.04939999999988</v>
      </c>
      <c r="P199">
        <f t="shared" si="15"/>
        <v>0.35</v>
      </c>
      <c r="Q199" t="s">
        <v>125</v>
      </c>
    </row>
    <row r="200" spans="1:17" x14ac:dyDescent="0.3">
      <c r="A200" t="s">
        <v>350</v>
      </c>
      <c r="B200" s="7">
        <v>45684</v>
      </c>
      <c r="C200" t="s">
        <v>140</v>
      </c>
      <c r="D200" t="s">
        <v>127</v>
      </c>
      <c r="E200" t="s">
        <v>150</v>
      </c>
      <c r="F200" t="s">
        <v>143</v>
      </c>
      <c r="G200" t="s">
        <v>49</v>
      </c>
      <c r="H200" t="s">
        <v>50</v>
      </c>
      <c r="I200" t="s">
        <v>19</v>
      </c>
      <c r="J200">
        <v>6</v>
      </c>
      <c r="K200">
        <v>222.12</v>
      </c>
      <c r="L200">
        <v>0</v>
      </c>
      <c r="M200">
        <f t="shared" si="12"/>
        <v>1332.72</v>
      </c>
      <c r="N200">
        <f t="shared" si="13"/>
        <v>866.26800000000003</v>
      </c>
      <c r="O200">
        <f t="shared" si="14"/>
        <v>466.452</v>
      </c>
      <c r="P200">
        <f t="shared" si="15"/>
        <v>0.35</v>
      </c>
      <c r="Q200" t="s">
        <v>135</v>
      </c>
    </row>
    <row r="201" spans="1:17" x14ac:dyDescent="0.3">
      <c r="A201" t="s">
        <v>351</v>
      </c>
      <c r="B201" s="7">
        <v>45432</v>
      </c>
      <c r="C201" t="s">
        <v>167</v>
      </c>
      <c r="D201" t="s">
        <v>131</v>
      </c>
      <c r="E201" t="s">
        <v>137</v>
      </c>
      <c r="F201" t="s">
        <v>152</v>
      </c>
      <c r="G201" t="s">
        <v>37</v>
      </c>
      <c r="H201" t="s">
        <v>38</v>
      </c>
      <c r="I201" t="s">
        <v>19</v>
      </c>
      <c r="J201">
        <v>4</v>
      </c>
      <c r="K201">
        <v>78.45</v>
      </c>
      <c r="L201">
        <v>0</v>
      </c>
      <c r="M201">
        <f t="shared" si="12"/>
        <v>313.8</v>
      </c>
      <c r="N201">
        <f t="shared" si="13"/>
        <v>203.97000000000003</v>
      </c>
      <c r="O201">
        <f t="shared" si="14"/>
        <v>109.82999999999998</v>
      </c>
      <c r="P201">
        <f t="shared" si="15"/>
        <v>0.34999999999999992</v>
      </c>
      <c r="Q201" t="s">
        <v>144</v>
      </c>
    </row>
    <row r="202" spans="1:17" x14ac:dyDescent="0.3">
      <c r="A202" t="s">
        <v>352</v>
      </c>
      <c r="B202" s="7">
        <v>45482</v>
      </c>
      <c r="C202" t="s">
        <v>164</v>
      </c>
      <c r="D202" t="s">
        <v>122</v>
      </c>
      <c r="E202" t="s">
        <v>137</v>
      </c>
      <c r="F202" t="s">
        <v>138</v>
      </c>
      <c r="G202" t="s">
        <v>21</v>
      </c>
      <c r="H202" t="s">
        <v>22</v>
      </c>
      <c r="I202" t="s">
        <v>23</v>
      </c>
      <c r="J202">
        <v>5</v>
      </c>
      <c r="K202">
        <v>154.12</v>
      </c>
      <c r="L202">
        <v>0.1</v>
      </c>
      <c r="M202">
        <f t="shared" si="12"/>
        <v>693.54000000000008</v>
      </c>
      <c r="N202">
        <f t="shared" si="13"/>
        <v>450.80100000000004</v>
      </c>
      <c r="O202">
        <f t="shared" si="14"/>
        <v>242.73900000000003</v>
      </c>
      <c r="P202">
        <f t="shared" si="15"/>
        <v>0.35000000000000003</v>
      </c>
      <c r="Q202" t="s">
        <v>125</v>
      </c>
    </row>
    <row r="203" spans="1:17" x14ac:dyDescent="0.3">
      <c r="A203" t="s">
        <v>353</v>
      </c>
      <c r="B203" s="7">
        <v>45584</v>
      </c>
      <c r="C203" t="s">
        <v>146</v>
      </c>
      <c r="D203" t="s">
        <v>131</v>
      </c>
      <c r="E203" t="s">
        <v>150</v>
      </c>
      <c r="F203" t="s">
        <v>132</v>
      </c>
      <c r="G203" t="s">
        <v>25</v>
      </c>
      <c r="H203" t="s">
        <v>26</v>
      </c>
      <c r="I203" t="s">
        <v>27</v>
      </c>
      <c r="J203">
        <v>14</v>
      </c>
      <c r="K203">
        <v>1292.5</v>
      </c>
      <c r="L203">
        <v>0</v>
      </c>
      <c r="M203">
        <f t="shared" si="12"/>
        <v>18095</v>
      </c>
      <c r="N203">
        <f t="shared" si="13"/>
        <v>11761.75</v>
      </c>
      <c r="O203">
        <f t="shared" si="14"/>
        <v>6333.25</v>
      </c>
      <c r="P203">
        <f t="shared" si="15"/>
        <v>0.35</v>
      </c>
      <c r="Q203" t="s">
        <v>144</v>
      </c>
    </row>
    <row r="204" spans="1:17" x14ac:dyDescent="0.3">
      <c r="A204" t="s">
        <v>354</v>
      </c>
      <c r="B204" s="7">
        <v>45747</v>
      </c>
      <c r="C204" t="s">
        <v>157</v>
      </c>
      <c r="D204" t="s">
        <v>122</v>
      </c>
      <c r="E204" t="s">
        <v>123</v>
      </c>
      <c r="F204" t="s">
        <v>143</v>
      </c>
      <c r="G204" t="s">
        <v>43</v>
      </c>
      <c r="H204" t="s">
        <v>44</v>
      </c>
      <c r="I204" t="s">
        <v>31</v>
      </c>
      <c r="J204">
        <v>12</v>
      </c>
      <c r="K204">
        <v>172.17</v>
      </c>
      <c r="L204">
        <v>0.15</v>
      </c>
      <c r="M204">
        <f t="shared" si="12"/>
        <v>1756.134</v>
      </c>
      <c r="N204">
        <f t="shared" si="13"/>
        <v>1141.4871000000001</v>
      </c>
      <c r="O204">
        <f t="shared" si="14"/>
        <v>614.64689999999996</v>
      </c>
      <c r="P204">
        <f t="shared" si="15"/>
        <v>0.35</v>
      </c>
      <c r="Q204" t="s">
        <v>125</v>
      </c>
    </row>
    <row r="205" spans="1:17" x14ac:dyDescent="0.3">
      <c r="A205" t="s">
        <v>355</v>
      </c>
      <c r="B205" s="7">
        <v>45599</v>
      </c>
      <c r="C205" t="s">
        <v>187</v>
      </c>
      <c r="D205" t="s">
        <v>127</v>
      </c>
      <c r="E205" t="s">
        <v>150</v>
      </c>
      <c r="F205" t="s">
        <v>152</v>
      </c>
      <c r="G205" t="s">
        <v>54</v>
      </c>
      <c r="H205" t="s">
        <v>55</v>
      </c>
      <c r="I205" t="s">
        <v>27</v>
      </c>
      <c r="J205">
        <v>4</v>
      </c>
      <c r="K205">
        <v>1010.24</v>
      </c>
      <c r="L205">
        <v>0</v>
      </c>
      <c r="M205">
        <f t="shared" si="12"/>
        <v>4040.96</v>
      </c>
      <c r="N205">
        <f t="shared" si="13"/>
        <v>2626.6240000000003</v>
      </c>
      <c r="O205">
        <f t="shared" si="14"/>
        <v>1414.3359999999998</v>
      </c>
      <c r="P205">
        <f t="shared" si="15"/>
        <v>0.34999999999999992</v>
      </c>
      <c r="Q205" t="s">
        <v>125</v>
      </c>
    </row>
    <row r="206" spans="1:17" x14ac:dyDescent="0.3">
      <c r="A206" t="s">
        <v>356</v>
      </c>
      <c r="B206" s="7">
        <v>45534</v>
      </c>
      <c r="C206" t="s">
        <v>134</v>
      </c>
      <c r="D206" t="s">
        <v>131</v>
      </c>
      <c r="E206" t="s">
        <v>128</v>
      </c>
      <c r="F206" t="s">
        <v>152</v>
      </c>
      <c r="G206" t="s">
        <v>56</v>
      </c>
      <c r="H206" t="s">
        <v>57</v>
      </c>
      <c r="I206" t="s">
        <v>31</v>
      </c>
      <c r="J206">
        <v>10</v>
      </c>
      <c r="K206">
        <v>518.12</v>
      </c>
      <c r="L206">
        <v>0.15</v>
      </c>
      <c r="M206">
        <f t="shared" si="12"/>
        <v>4404.0199999999995</v>
      </c>
      <c r="N206">
        <f t="shared" si="13"/>
        <v>2862.6129999999998</v>
      </c>
      <c r="O206">
        <f t="shared" si="14"/>
        <v>1541.4069999999997</v>
      </c>
      <c r="P206">
        <f t="shared" si="15"/>
        <v>0.35</v>
      </c>
      <c r="Q206" t="s">
        <v>125</v>
      </c>
    </row>
    <row r="207" spans="1:17" x14ac:dyDescent="0.3">
      <c r="A207" t="s">
        <v>357</v>
      </c>
      <c r="B207" s="7">
        <v>45380</v>
      </c>
      <c r="C207" t="s">
        <v>157</v>
      </c>
      <c r="D207" t="s">
        <v>131</v>
      </c>
      <c r="E207" t="s">
        <v>137</v>
      </c>
      <c r="F207" t="s">
        <v>143</v>
      </c>
      <c r="G207" t="s">
        <v>51</v>
      </c>
      <c r="H207" t="s">
        <v>52</v>
      </c>
      <c r="I207" t="s">
        <v>23</v>
      </c>
      <c r="J207">
        <v>9</v>
      </c>
      <c r="K207">
        <v>49.55</v>
      </c>
      <c r="L207">
        <v>0.1</v>
      </c>
      <c r="M207">
        <f t="shared" si="12"/>
        <v>401.35500000000002</v>
      </c>
      <c r="N207">
        <f t="shared" si="13"/>
        <v>260.88075000000003</v>
      </c>
      <c r="O207">
        <f t="shared" si="14"/>
        <v>140.47424999999998</v>
      </c>
      <c r="P207">
        <f t="shared" si="15"/>
        <v>0.34999999999999992</v>
      </c>
      <c r="Q207" t="s">
        <v>135</v>
      </c>
    </row>
    <row r="208" spans="1:17" x14ac:dyDescent="0.3">
      <c r="A208" t="s">
        <v>358</v>
      </c>
      <c r="B208" s="7">
        <v>45367</v>
      </c>
      <c r="C208" t="s">
        <v>245</v>
      </c>
      <c r="D208" t="s">
        <v>131</v>
      </c>
      <c r="E208" t="s">
        <v>128</v>
      </c>
      <c r="F208" t="s">
        <v>154</v>
      </c>
      <c r="G208" t="s">
        <v>49</v>
      </c>
      <c r="H208" t="s">
        <v>50</v>
      </c>
      <c r="I208" t="s">
        <v>19</v>
      </c>
      <c r="J208">
        <v>11</v>
      </c>
      <c r="K208">
        <v>225.39</v>
      </c>
      <c r="L208">
        <v>0</v>
      </c>
      <c r="M208">
        <f t="shared" si="12"/>
        <v>2479.29</v>
      </c>
      <c r="N208">
        <f t="shared" si="13"/>
        <v>1611.5385000000001</v>
      </c>
      <c r="O208">
        <f t="shared" si="14"/>
        <v>867.75149999999985</v>
      </c>
      <c r="P208">
        <f t="shared" si="15"/>
        <v>0.34999999999999992</v>
      </c>
      <c r="Q208" t="s">
        <v>135</v>
      </c>
    </row>
    <row r="209" spans="1:17" x14ac:dyDescent="0.3">
      <c r="A209" t="s">
        <v>359</v>
      </c>
      <c r="B209" s="7">
        <v>45478</v>
      </c>
      <c r="C209" t="s">
        <v>134</v>
      </c>
      <c r="D209" t="s">
        <v>127</v>
      </c>
      <c r="E209" t="s">
        <v>137</v>
      </c>
      <c r="F209" t="s">
        <v>138</v>
      </c>
      <c r="G209" t="s">
        <v>13</v>
      </c>
      <c r="H209" t="s">
        <v>14</v>
      </c>
      <c r="I209" t="s">
        <v>15</v>
      </c>
      <c r="J209">
        <v>14</v>
      </c>
      <c r="K209">
        <v>866.17</v>
      </c>
      <c r="L209">
        <v>0</v>
      </c>
      <c r="M209">
        <f t="shared" si="12"/>
        <v>12126.38</v>
      </c>
      <c r="N209">
        <f t="shared" si="13"/>
        <v>7882.1469999999999</v>
      </c>
      <c r="O209">
        <f t="shared" si="14"/>
        <v>4244.2329999999993</v>
      </c>
      <c r="P209">
        <f t="shared" si="15"/>
        <v>0.35</v>
      </c>
      <c r="Q209" t="s">
        <v>125</v>
      </c>
    </row>
    <row r="210" spans="1:17" x14ac:dyDescent="0.3">
      <c r="A210" t="s">
        <v>360</v>
      </c>
      <c r="B210" s="7">
        <v>45460</v>
      </c>
      <c r="C210" t="s">
        <v>245</v>
      </c>
      <c r="D210" t="s">
        <v>131</v>
      </c>
      <c r="E210" t="s">
        <v>150</v>
      </c>
      <c r="F210" t="s">
        <v>152</v>
      </c>
      <c r="G210" t="s">
        <v>54</v>
      </c>
      <c r="H210" t="s">
        <v>55</v>
      </c>
      <c r="I210" t="s">
        <v>27</v>
      </c>
      <c r="J210">
        <v>15</v>
      </c>
      <c r="K210">
        <v>1027.33</v>
      </c>
      <c r="L210">
        <v>0</v>
      </c>
      <c r="M210">
        <f t="shared" si="12"/>
        <v>15409.949999999999</v>
      </c>
      <c r="N210">
        <f t="shared" si="13"/>
        <v>10016.467499999999</v>
      </c>
      <c r="O210">
        <f t="shared" si="14"/>
        <v>5393.4825000000001</v>
      </c>
      <c r="P210">
        <f t="shared" si="15"/>
        <v>0.35000000000000003</v>
      </c>
      <c r="Q210" t="s">
        <v>125</v>
      </c>
    </row>
    <row r="211" spans="1:17" x14ac:dyDescent="0.3">
      <c r="A211" t="s">
        <v>361</v>
      </c>
      <c r="B211" s="7">
        <v>45493</v>
      </c>
      <c r="C211" t="s">
        <v>160</v>
      </c>
      <c r="D211" t="s">
        <v>122</v>
      </c>
      <c r="E211" t="s">
        <v>123</v>
      </c>
      <c r="F211" t="s">
        <v>124</v>
      </c>
      <c r="G211" t="s">
        <v>39</v>
      </c>
      <c r="H211" t="s">
        <v>40</v>
      </c>
      <c r="I211" t="s">
        <v>23</v>
      </c>
      <c r="J211">
        <v>10</v>
      </c>
      <c r="K211">
        <v>60.2</v>
      </c>
      <c r="L211">
        <v>0.15</v>
      </c>
      <c r="M211">
        <f t="shared" si="12"/>
        <v>511.7</v>
      </c>
      <c r="N211">
        <f t="shared" si="13"/>
        <v>332.60500000000002</v>
      </c>
      <c r="O211">
        <f t="shared" si="14"/>
        <v>179.09499999999997</v>
      </c>
      <c r="P211">
        <f t="shared" si="15"/>
        <v>0.34999999999999992</v>
      </c>
      <c r="Q211" t="s">
        <v>144</v>
      </c>
    </row>
    <row r="212" spans="1:17" x14ac:dyDescent="0.3">
      <c r="A212" t="s">
        <v>362</v>
      </c>
      <c r="B212" s="7">
        <v>45464</v>
      </c>
      <c r="C212" t="s">
        <v>140</v>
      </c>
      <c r="D212" t="s">
        <v>122</v>
      </c>
      <c r="E212" t="s">
        <v>150</v>
      </c>
      <c r="F212" t="s">
        <v>124</v>
      </c>
      <c r="G212" t="s">
        <v>60</v>
      </c>
      <c r="H212" t="s">
        <v>61</v>
      </c>
      <c r="I212" t="s">
        <v>15</v>
      </c>
      <c r="J212">
        <v>12</v>
      </c>
      <c r="K212">
        <v>234.05</v>
      </c>
      <c r="L212">
        <v>0.05</v>
      </c>
      <c r="M212">
        <f t="shared" si="12"/>
        <v>2668.17</v>
      </c>
      <c r="N212">
        <f t="shared" si="13"/>
        <v>1734.3105</v>
      </c>
      <c r="O212">
        <f t="shared" si="14"/>
        <v>933.85950000000003</v>
      </c>
      <c r="P212">
        <f t="shared" si="15"/>
        <v>0.35</v>
      </c>
      <c r="Q212" t="s">
        <v>135</v>
      </c>
    </row>
    <row r="213" spans="1:17" x14ac:dyDescent="0.3">
      <c r="A213" t="s">
        <v>363</v>
      </c>
      <c r="B213" s="7">
        <v>45334</v>
      </c>
      <c r="C213" t="s">
        <v>187</v>
      </c>
      <c r="D213" t="s">
        <v>127</v>
      </c>
      <c r="E213" t="s">
        <v>128</v>
      </c>
      <c r="F213" t="s">
        <v>132</v>
      </c>
      <c r="G213" t="s">
        <v>58</v>
      </c>
      <c r="H213" t="s">
        <v>59</v>
      </c>
      <c r="I213" t="s">
        <v>11</v>
      </c>
      <c r="J213">
        <v>5</v>
      </c>
      <c r="K213">
        <v>1674.94</v>
      </c>
      <c r="L213">
        <v>0.15</v>
      </c>
      <c r="M213">
        <f t="shared" si="12"/>
        <v>7118.4950000000008</v>
      </c>
      <c r="N213">
        <f t="shared" si="13"/>
        <v>4627.0217500000008</v>
      </c>
      <c r="O213">
        <f t="shared" si="14"/>
        <v>2491.47325</v>
      </c>
      <c r="P213">
        <f t="shared" si="15"/>
        <v>0.35</v>
      </c>
      <c r="Q213" t="s">
        <v>147</v>
      </c>
    </row>
    <row r="214" spans="1:17" x14ac:dyDescent="0.3">
      <c r="A214" t="s">
        <v>364</v>
      </c>
      <c r="B214" s="7">
        <v>45323</v>
      </c>
      <c r="C214" t="s">
        <v>164</v>
      </c>
      <c r="D214" t="s">
        <v>122</v>
      </c>
      <c r="E214" t="s">
        <v>123</v>
      </c>
      <c r="F214" t="s">
        <v>143</v>
      </c>
      <c r="G214" t="s">
        <v>39</v>
      </c>
      <c r="H214" t="s">
        <v>40</v>
      </c>
      <c r="I214" t="s">
        <v>23</v>
      </c>
      <c r="J214">
        <v>8</v>
      </c>
      <c r="K214">
        <v>58.47</v>
      </c>
      <c r="L214">
        <v>0.1</v>
      </c>
      <c r="M214">
        <f t="shared" si="12"/>
        <v>420.98399999999998</v>
      </c>
      <c r="N214">
        <f t="shared" si="13"/>
        <v>273.63959999999997</v>
      </c>
      <c r="O214">
        <f t="shared" si="14"/>
        <v>147.34440000000001</v>
      </c>
      <c r="P214">
        <f t="shared" si="15"/>
        <v>0.35000000000000003</v>
      </c>
      <c r="Q214" t="s">
        <v>125</v>
      </c>
    </row>
    <row r="215" spans="1:17" x14ac:dyDescent="0.3">
      <c r="A215" t="s">
        <v>365</v>
      </c>
      <c r="B215" s="7">
        <v>45756</v>
      </c>
      <c r="C215" t="s">
        <v>157</v>
      </c>
      <c r="D215" t="s">
        <v>122</v>
      </c>
      <c r="E215" t="s">
        <v>128</v>
      </c>
      <c r="F215" t="s">
        <v>124</v>
      </c>
      <c r="G215" t="s">
        <v>49</v>
      </c>
      <c r="H215" t="s">
        <v>50</v>
      </c>
      <c r="I215" t="s">
        <v>19</v>
      </c>
      <c r="J215">
        <v>7</v>
      </c>
      <c r="K215">
        <v>224.65</v>
      </c>
      <c r="L215">
        <v>0</v>
      </c>
      <c r="M215">
        <f t="shared" si="12"/>
        <v>1572.55</v>
      </c>
      <c r="N215">
        <f t="shared" si="13"/>
        <v>1022.1575</v>
      </c>
      <c r="O215">
        <f t="shared" si="14"/>
        <v>550.39249999999993</v>
      </c>
      <c r="P215">
        <f t="shared" si="15"/>
        <v>0.35</v>
      </c>
      <c r="Q215" t="s">
        <v>125</v>
      </c>
    </row>
    <row r="216" spans="1:17" x14ac:dyDescent="0.3">
      <c r="A216" t="s">
        <v>366</v>
      </c>
      <c r="B216" s="7">
        <v>45439</v>
      </c>
      <c r="C216" t="s">
        <v>174</v>
      </c>
      <c r="D216" t="s">
        <v>122</v>
      </c>
      <c r="E216" t="s">
        <v>123</v>
      </c>
      <c r="F216" t="s">
        <v>143</v>
      </c>
      <c r="G216" t="s">
        <v>43</v>
      </c>
      <c r="H216" t="s">
        <v>44</v>
      </c>
      <c r="I216" t="s">
        <v>31</v>
      </c>
      <c r="J216">
        <v>7</v>
      </c>
      <c r="K216">
        <v>173.35</v>
      </c>
      <c r="L216">
        <v>0.05</v>
      </c>
      <c r="M216">
        <f t="shared" si="12"/>
        <v>1152.7774999999999</v>
      </c>
      <c r="N216">
        <f t="shared" si="13"/>
        <v>749.30537500000003</v>
      </c>
      <c r="O216">
        <f t="shared" si="14"/>
        <v>403.47212499999989</v>
      </c>
      <c r="P216">
        <f t="shared" si="15"/>
        <v>0.34999999999999992</v>
      </c>
      <c r="Q216" t="s">
        <v>135</v>
      </c>
    </row>
    <row r="217" spans="1:17" x14ac:dyDescent="0.3">
      <c r="A217" t="s">
        <v>367</v>
      </c>
      <c r="B217" s="7">
        <v>45400</v>
      </c>
      <c r="C217" t="s">
        <v>174</v>
      </c>
      <c r="D217" t="s">
        <v>127</v>
      </c>
      <c r="E217" t="s">
        <v>137</v>
      </c>
      <c r="F217" t="s">
        <v>132</v>
      </c>
      <c r="G217" t="s">
        <v>37</v>
      </c>
      <c r="H217" t="s">
        <v>38</v>
      </c>
      <c r="I217" t="s">
        <v>19</v>
      </c>
      <c r="J217">
        <v>8</v>
      </c>
      <c r="K217">
        <v>73.11</v>
      </c>
      <c r="L217">
        <v>0</v>
      </c>
      <c r="M217">
        <f t="shared" si="12"/>
        <v>584.88</v>
      </c>
      <c r="N217">
        <f t="shared" si="13"/>
        <v>380.17200000000003</v>
      </c>
      <c r="O217">
        <f t="shared" si="14"/>
        <v>204.70799999999997</v>
      </c>
      <c r="P217">
        <f t="shared" si="15"/>
        <v>0.35</v>
      </c>
      <c r="Q217" t="s">
        <v>125</v>
      </c>
    </row>
    <row r="218" spans="1:17" x14ac:dyDescent="0.3">
      <c r="A218" t="s">
        <v>368</v>
      </c>
      <c r="B218" s="7">
        <v>45589</v>
      </c>
      <c r="C218" t="s">
        <v>142</v>
      </c>
      <c r="D218" t="s">
        <v>122</v>
      </c>
      <c r="E218" t="s">
        <v>137</v>
      </c>
      <c r="F218" t="s">
        <v>124</v>
      </c>
      <c r="G218" t="s">
        <v>29</v>
      </c>
      <c r="H218" t="s">
        <v>30</v>
      </c>
      <c r="I218" t="s">
        <v>31</v>
      </c>
      <c r="J218">
        <v>14</v>
      </c>
      <c r="K218">
        <v>589.65</v>
      </c>
      <c r="L218">
        <v>0.15</v>
      </c>
      <c r="M218">
        <f t="shared" si="12"/>
        <v>7016.835</v>
      </c>
      <c r="N218">
        <f t="shared" si="13"/>
        <v>4560.9427500000002</v>
      </c>
      <c r="O218">
        <f t="shared" si="14"/>
        <v>2455.8922499999999</v>
      </c>
      <c r="P218">
        <f t="shared" si="15"/>
        <v>0.35</v>
      </c>
      <c r="Q218" t="s">
        <v>144</v>
      </c>
    </row>
    <row r="219" spans="1:17" x14ac:dyDescent="0.3">
      <c r="A219" t="s">
        <v>369</v>
      </c>
      <c r="B219" s="7">
        <v>45612</v>
      </c>
      <c r="C219" t="s">
        <v>130</v>
      </c>
      <c r="D219" t="s">
        <v>127</v>
      </c>
      <c r="E219" t="s">
        <v>137</v>
      </c>
      <c r="F219" t="s">
        <v>138</v>
      </c>
      <c r="G219" t="s">
        <v>49</v>
      </c>
      <c r="H219" t="s">
        <v>50</v>
      </c>
      <c r="I219" t="s">
        <v>19</v>
      </c>
      <c r="J219">
        <v>8</v>
      </c>
      <c r="K219">
        <v>233.53</v>
      </c>
      <c r="L219">
        <v>0.1</v>
      </c>
      <c r="M219">
        <f t="shared" si="12"/>
        <v>1681.4159999999999</v>
      </c>
      <c r="N219">
        <f t="shared" si="13"/>
        <v>1092.9204</v>
      </c>
      <c r="O219">
        <f t="shared" si="14"/>
        <v>588.49559999999997</v>
      </c>
      <c r="P219">
        <f t="shared" si="15"/>
        <v>0.35</v>
      </c>
      <c r="Q219" t="s">
        <v>125</v>
      </c>
    </row>
    <row r="220" spans="1:17" x14ac:dyDescent="0.3">
      <c r="A220" t="s">
        <v>370</v>
      </c>
      <c r="B220" s="7">
        <v>45384</v>
      </c>
      <c r="C220" t="s">
        <v>142</v>
      </c>
      <c r="D220" t="s">
        <v>122</v>
      </c>
      <c r="E220" t="s">
        <v>137</v>
      </c>
      <c r="F220" t="s">
        <v>124</v>
      </c>
      <c r="G220" t="s">
        <v>33</v>
      </c>
      <c r="H220" t="s">
        <v>34</v>
      </c>
      <c r="I220" t="s">
        <v>11</v>
      </c>
      <c r="J220">
        <v>10</v>
      </c>
      <c r="K220">
        <v>1477.93</v>
      </c>
      <c r="L220">
        <v>0</v>
      </c>
      <c r="M220">
        <f t="shared" si="12"/>
        <v>14779.300000000001</v>
      </c>
      <c r="N220">
        <f t="shared" si="13"/>
        <v>9606.5450000000019</v>
      </c>
      <c r="O220">
        <f t="shared" si="14"/>
        <v>5172.7549999999992</v>
      </c>
      <c r="P220">
        <f t="shared" si="15"/>
        <v>0.34999999999999992</v>
      </c>
      <c r="Q220" t="s">
        <v>125</v>
      </c>
    </row>
    <row r="221" spans="1:17" x14ac:dyDescent="0.3">
      <c r="A221" t="s">
        <v>371</v>
      </c>
      <c r="B221" s="7">
        <v>45798</v>
      </c>
      <c r="C221" t="s">
        <v>140</v>
      </c>
      <c r="D221" t="s">
        <v>122</v>
      </c>
      <c r="E221" t="s">
        <v>137</v>
      </c>
      <c r="F221" t="s">
        <v>152</v>
      </c>
      <c r="G221" t="s">
        <v>56</v>
      </c>
      <c r="H221" t="s">
        <v>57</v>
      </c>
      <c r="I221" t="s">
        <v>31</v>
      </c>
      <c r="J221">
        <v>1</v>
      </c>
      <c r="K221">
        <v>543.23</v>
      </c>
      <c r="L221">
        <v>0.1</v>
      </c>
      <c r="M221">
        <f t="shared" si="12"/>
        <v>488.90700000000004</v>
      </c>
      <c r="N221">
        <f t="shared" si="13"/>
        <v>317.78955000000002</v>
      </c>
      <c r="O221">
        <f t="shared" si="14"/>
        <v>171.11745000000002</v>
      </c>
      <c r="P221">
        <f t="shared" si="15"/>
        <v>0.35000000000000003</v>
      </c>
      <c r="Q221" t="s">
        <v>125</v>
      </c>
    </row>
    <row r="222" spans="1:17" x14ac:dyDescent="0.3">
      <c r="A222" t="s">
        <v>372</v>
      </c>
      <c r="B222" s="7">
        <v>45562</v>
      </c>
      <c r="C222" t="s">
        <v>146</v>
      </c>
      <c r="D222" t="s">
        <v>131</v>
      </c>
      <c r="E222" t="s">
        <v>137</v>
      </c>
      <c r="F222" t="s">
        <v>152</v>
      </c>
      <c r="G222" t="s">
        <v>13</v>
      </c>
      <c r="H222" t="s">
        <v>14</v>
      </c>
      <c r="I222" t="s">
        <v>15</v>
      </c>
      <c r="J222">
        <v>7</v>
      </c>
      <c r="K222">
        <v>859.6</v>
      </c>
      <c r="L222">
        <v>0.15</v>
      </c>
      <c r="M222">
        <f t="shared" si="12"/>
        <v>5114.62</v>
      </c>
      <c r="N222">
        <f t="shared" si="13"/>
        <v>3324.5030000000002</v>
      </c>
      <c r="O222">
        <f t="shared" si="14"/>
        <v>1790.1169999999997</v>
      </c>
      <c r="P222">
        <f t="shared" si="15"/>
        <v>0.35</v>
      </c>
      <c r="Q222" t="s">
        <v>125</v>
      </c>
    </row>
    <row r="223" spans="1:17" x14ac:dyDescent="0.3">
      <c r="A223" t="s">
        <v>373</v>
      </c>
      <c r="B223" s="7">
        <v>45663</v>
      </c>
      <c r="C223" t="s">
        <v>167</v>
      </c>
      <c r="D223" t="s">
        <v>131</v>
      </c>
      <c r="E223" t="s">
        <v>128</v>
      </c>
      <c r="F223" t="s">
        <v>154</v>
      </c>
      <c r="G223" t="s">
        <v>54</v>
      </c>
      <c r="H223" t="s">
        <v>55</v>
      </c>
      <c r="I223" t="s">
        <v>27</v>
      </c>
      <c r="J223">
        <v>8</v>
      </c>
      <c r="K223">
        <v>1077.76</v>
      </c>
      <c r="L223">
        <v>0.05</v>
      </c>
      <c r="M223">
        <f t="shared" si="12"/>
        <v>8190.9759999999997</v>
      </c>
      <c r="N223">
        <f t="shared" si="13"/>
        <v>5324.1343999999999</v>
      </c>
      <c r="O223">
        <f t="shared" si="14"/>
        <v>2866.8415999999997</v>
      </c>
      <c r="P223">
        <f t="shared" si="15"/>
        <v>0.35</v>
      </c>
      <c r="Q223" t="s">
        <v>135</v>
      </c>
    </row>
    <row r="224" spans="1:17" x14ac:dyDescent="0.3">
      <c r="A224" t="s">
        <v>374</v>
      </c>
      <c r="B224" s="7">
        <v>45413</v>
      </c>
      <c r="C224" t="s">
        <v>245</v>
      </c>
      <c r="D224" t="s">
        <v>127</v>
      </c>
      <c r="E224" t="s">
        <v>137</v>
      </c>
      <c r="F224" t="s">
        <v>152</v>
      </c>
      <c r="G224" t="s">
        <v>41</v>
      </c>
      <c r="H224" t="s">
        <v>42</v>
      </c>
      <c r="I224" t="s">
        <v>27</v>
      </c>
      <c r="J224">
        <v>9</v>
      </c>
      <c r="K224">
        <v>391.46</v>
      </c>
      <c r="L224">
        <v>0</v>
      </c>
      <c r="M224">
        <f t="shared" si="12"/>
        <v>3523.14</v>
      </c>
      <c r="N224">
        <f t="shared" si="13"/>
        <v>2290.0410000000002</v>
      </c>
      <c r="O224">
        <f t="shared" si="14"/>
        <v>1233.0989999999997</v>
      </c>
      <c r="P224">
        <f t="shared" si="15"/>
        <v>0.34999999999999992</v>
      </c>
      <c r="Q224" t="s">
        <v>125</v>
      </c>
    </row>
    <row r="225" spans="1:17" x14ac:dyDescent="0.3">
      <c r="A225" t="s">
        <v>375</v>
      </c>
      <c r="B225" s="7">
        <v>45813</v>
      </c>
      <c r="C225" t="s">
        <v>142</v>
      </c>
      <c r="D225" t="s">
        <v>122</v>
      </c>
      <c r="E225" t="s">
        <v>128</v>
      </c>
      <c r="F225" t="s">
        <v>132</v>
      </c>
      <c r="G225" t="s">
        <v>13</v>
      </c>
      <c r="H225" t="s">
        <v>14</v>
      </c>
      <c r="I225" t="s">
        <v>15</v>
      </c>
      <c r="J225">
        <v>3</v>
      </c>
      <c r="K225">
        <v>919.22</v>
      </c>
      <c r="L225">
        <v>0.1</v>
      </c>
      <c r="M225">
        <f t="shared" si="12"/>
        <v>2481.8939999999998</v>
      </c>
      <c r="N225">
        <f t="shared" si="13"/>
        <v>1613.2311</v>
      </c>
      <c r="O225">
        <f t="shared" si="14"/>
        <v>868.66289999999981</v>
      </c>
      <c r="P225">
        <f t="shared" si="15"/>
        <v>0.35</v>
      </c>
      <c r="Q225" t="s">
        <v>135</v>
      </c>
    </row>
    <row r="226" spans="1:17" x14ac:dyDescent="0.3">
      <c r="A226" t="s">
        <v>376</v>
      </c>
      <c r="B226" s="7">
        <v>45759</v>
      </c>
      <c r="C226" t="s">
        <v>245</v>
      </c>
      <c r="D226" t="s">
        <v>122</v>
      </c>
      <c r="E226" t="s">
        <v>150</v>
      </c>
      <c r="F226" t="s">
        <v>152</v>
      </c>
      <c r="G226" t="s">
        <v>60</v>
      </c>
      <c r="H226" t="s">
        <v>61</v>
      </c>
      <c r="I226" t="s">
        <v>15</v>
      </c>
      <c r="J226">
        <v>6</v>
      </c>
      <c r="K226">
        <v>217.41</v>
      </c>
      <c r="L226">
        <v>0.15</v>
      </c>
      <c r="M226">
        <f t="shared" si="12"/>
        <v>1108.7909999999999</v>
      </c>
      <c r="N226">
        <f t="shared" si="13"/>
        <v>720.71415000000002</v>
      </c>
      <c r="O226">
        <f t="shared" si="14"/>
        <v>388.07684999999992</v>
      </c>
      <c r="P226">
        <f t="shared" si="15"/>
        <v>0.34999999999999992</v>
      </c>
      <c r="Q226" t="s">
        <v>144</v>
      </c>
    </row>
    <row r="227" spans="1:17" x14ac:dyDescent="0.3">
      <c r="A227" t="s">
        <v>377</v>
      </c>
      <c r="B227" s="7">
        <v>45598</v>
      </c>
      <c r="C227" t="s">
        <v>140</v>
      </c>
      <c r="D227" t="s">
        <v>131</v>
      </c>
      <c r="E227" t="s">
        <v>137</v>
      </c>
      <c r="F227" t="s">
        <v>143</v>
      </c>
      <c r="G227" t="s">
        <v>58</v>
      </c>
      <c r="H227" t="s">
        <v>59</v>
      </c>
      <c r="I227" t="s">
        <v>11</v>
      </c>
      <c r="J227">
        <v>5</v>
      </c>
      <c r="K227">
        <v>1645.86</v>
      </c>
      <c r="L227">
        <v>0</v>
      </c>
      <c r="M227">
        <f t="shared" si="12"/>
        <v>8229.2999999999993</v>
      </c>
      <c r="N227">
        <f t="shared" si="13"/>
        <v>5349.0450000000001</v>
      </c>
      <c r="O227">
        <f t="shared" si="14"/>
        <v>2880.2549999999992</v>
      </c>
      <c r="P227">
        <f t="shared" si="15"/>
        <v>0.34999999999999992</v>
      </c>
      <c r="Q227" t="s">
        <v>125</v>
      </c>
    </row>
    <row r="228" spans="1:17" x14ac:dyDescent="0.3">
      <c r="A228" t="s">
        <v>378</v>
      </c>
      <c r="B228" s="7">
        <v>45631</v>
      </c>
      <c r="C228" t="s">
        <v>160</v>
      </c>
      <c r="D228" t="s">
        <v>127</v>
      </c>
      <c r="E228" t="s">
        <v>137</v>
      </c>
      <c r="F228" t="s">
        <v>138</v>
      </c>
      <c r="G228" t="s">
        <v>39</v>
      </c>
      <c r="H228" t="s">
        <v>40</v>
      </c>
      <c r="I228" t="s">
        <v>23</v>
      </c>
      <c r="J228">
        <v>13</v>
      </c>
      <c r="K228">
        <v>62.39</v>
      </c>
      <c r="L228">
        <v>0</v>
      </c>
      <c r="M228">
        <f t="shared" si="12"/>
        <v>811.07</v>
      </c>
      <c r="N228">
        <f t="shared" si="13"/>
        <v>527.19550000000004</v>
      </c>
      <c r="O228">
        <f t="shared" si="14"/>
        <v>283.87450000000001</v>
      </c>
      <c r="P228">
        <f t="shared" si="15"/>
        <v>0.35</v>
      </c>
      <c r="Q228" t="s">
        <v>135</v>
      </c>
    </row>
    <row r="229" spans="1:17" x14ac:dyDescent="0.3">
      <c r="A229" t="s">
        <v>379</v>
      </c>
      <c r="B229" s="7">
        <v>45777</v>
      </c>
      <c r="C229" t="s">
        <v>149</v>
      </c>
      <c r="D229" t="s">
        <v>122</v>
      </c>
      <c r="E229" t="s">
        <v>150</v>
      </c>
      <c r="F229" t="s">
        <v>143</v>
      </c>
      <c r="G229" t="s">
        <v>13</v>
      </c>
      <c r="H229" t="s">
        <v>14</v>
      </c>
      <c r="I229" t="s">
        <v>15</v>
      </c>
      <c r="J229">
        <v>10</v>
      </c>
      <c r="K229">
        <v>898.24</v>
      </c>
      <c r="L229">
        <v>0.15</v>
      </c>
      <c r="M229">
        <f t="shared" si="12"/>
        <v>7635.0399999999991</v>
      </c>
      <c r="N229">
        <f t="shared" si="13"/>
        <v>4962.7759999999998</v>
      </c>
      <c r="O229">
        <f t="shared" si="14"/>
        <v>2672.2639999999992</v>
      </c>
      <c r="P229">
        <f t="shared" si="15"/>
        <v>0.34999999999999992</v>
      </c>
      <c r="Q229" t="s">
        <v>144</v>
      </c>
    </row>
    <row r="230" spans="1:17" x14ac:dyDescent="0.3">
      <c r="A230" t="s">
        <v>380</v>
      </c>
      <c r="B230" s="7">
        <v>45681</v>
      </c>
      <c r="C230" t="s">
        <v>245</v>
      </c>
      <c r="D230" t="s">
        <v>122</v>
      </c>
      <c r="E230" t="s">
        <v>150</v>
      </c>
      <c r="F230" t="s">
        <v>132</v>
      </c>
      <c r="G230" t="s">
        <v>58</v>
      </c>
      <c r="H230" t="s">
        <v>59</v>
      </c>
      <c r="I230" t="s">
        <v>11</v>
      </c>
      <c r="J230">
        <v>12</v>
      </c>
      <c r="K230">
        <v>1585.63</v>
      </c>
      <c r="L230">
        <v>0</v>
      </c>
      <c r="M230">
        <f t="shared" si="12"/>
        <v>19027.560000000001</v>
      </c>
      <c r="N230">
        <f t="shared" si="13"/>
        <v>12367.914000000001</v>
      </c>
      <c r="O230">
        <f t="shared" si="14"/>
        <v>6659.6460000000006</v>
      </c>
      <c r="P230">
        <f t="shared" si="15"/>
        <v>0.35000000000000003</v>
      </c>
      <c r="Q230" t="s">
        <v>147</v>
      </c>
    </row>
    <row r="231" spans="1:17" x14ac:dyDescent="0.3">
      <c r="A231" t="s">
        <v>381</v>
      </c>
      <c r="B231" s="7">
        <v>45613</v>
      </c>
      <c r="C231" t="s">
        <v>142</v>
      </c>
      <c r="D231" t="s">
        <v>127</v>
      </c>
      <c r="E231" t="s">
        <v>137</v>
      </c>
      <c r="F231" t="s">
        <v>143</v>
      </c>
      <c r="G231" t="s">
        <v>33</v>
      </c>
      <c r="H231" t="s">
        <v>34</v>
      </c>
      <c r="I231" t="s">
        <v>11</v>
      </c>
      <c r="J231">
        <v>7</v>
      </c>
      <c r="K231">
        <v>1500.27</v>
      </c>
      <c r="L231">
        <v>0.15</v>
      </c>
      <c r="M231">
        <f t="shared" si="12"/>
        <v>8926.6064999999999</v>
      </c>
      <c r="N231">
        <f t="shared" si="13"/>
        <v>5802.2942250000006</v>
      </c>
      <c r="O231">
        <f t="shared" si="14"/>
        <v>3124.3122749999993</v>
      </c>
      <c r="P231">
        <f t="shared" si="15"/>
        <v>0.34999999999999992</v>
      </c>
      <c r="Q231" t="s">
        <v>147</v>
      </c>
    </row>
    <row r="232" spans="1:17" x14ac:dyDescent="0.3">
      <c r="A232" t="s">
        <v>382</v>
      </c>
      <c r="B232" s="7">
        <v>45355</v>
      </c>
      <c r="C232" t="s">
        <v>146</v>
      </c>
      <c r="D232" t="s">
        <v>127</v>
      </c>
      <c r="E232" t="s">
        <v>150</v>
      </c>
      <c r="F232" t="s">
        <v>138</v>
      </c>
      <c r="G232" t="s">
        <v>41</v>
      </c>
      <c r="H232" t="s">
        <v>42</v>
      </c>
      <c r="I232" t="s">
        <v>27</v>
      </c>
      <c r="J232">
        <v>11</v>
      </c>
      <c r="K232">
        <v>374.19</v>
      </c>
      <c r="L232">
        <v>0.1</v>
      </c>
      <c r="M232">
        <f t="shared" si="12"/>
        <v>3704.4810000000002</v>
      </c>
      <c r="N232">
        <f t="shared" si="13"/>
        <v>2407.9126500000002</v>
      </c>
      <c r="O232">
        <f t="shared" si="14"/>
        <v>1296.56835</v>
      </c>
      <c r="P232">
        <f t="shared" si="15"/>
        <v>0.35</v>
      </c>
      <c r="Q232" t="s">
        <v>125</v>
      </c>
    </row>
    <row r="233" spans="1:17" x14ac:dyDescent="0.3">
      <c r="A233" t="s">
        <v>383</v>
      </c>
      <c r="B233" s="7">
        <v>45469</v>
      </c>
      <c r="C233" t="s">
        <v>164</v>
      </c>
      <c r="D233" t="s">
        <v>122</v>
      </c>
      <c r="E233" t="s">
        <v>123</v>
      </c>
      <c r="F233" t="s">
        <v>138</v>
      </c>
      <c r="G233" t="s">
        <v>43</v>
      </c>
      <c r="H233" t="s">
        <v>44</v>
      </c>
      <c r="I233" t="s">
        <v>31</v>
      </c>
      <c r="J233">
        <v>11</v>
      </c>
      <c r="K233">
        <v>184.9</v>
      </c>
      <c r="L233">
        <v>0.05</v>
      </c>
      <c r="M233">
        <f t="shared" si="12"/>
        <v>1932.2049999999999</v>
      </c>
      <c r="N233">
        <f t="shared" si="13"/>
        <v>1255.93325</v>
      </c>
      <c r="O233">
        <f t="shared" si="14"/>
        <v>676.27174999999988</v>
      </c>
      <c r="P233">
        <f t="shared" si="15"/>
        <v>0.35</v>
      </c>
      <c r="Q233" t="s">
        <v>135</v>
      </c>
    </row>
    <row r="234" spans="1:17" x14ac:dyDescent="0.3">
      <c r="A234" t="s">
        <v>384</v>
      </c>
      <c r="B234" s="7">
        <v>45787</v>
      </c>
      <c r="C234" t="s">
        <v>130</v>
      </c>
      <c r="D234" t="s">
        <v>127</v>
      </c>
      <c r="E234" t="s">
        <v>123</v>
      </c>
      <c r="F234" t="s">
        <v>138</v>
      </c>
      <c r="G234" t="s">
        <v>39</v>
      </c>
      <c r="H234" t="s">
        <v>40</v>
      </c>
      <c r="I234" t="s">
        <v>23</v>
      </c>
      <c r="J234">
        <v>4</v>
      </c>
      <c r="K234">
        <v>62.65</v>
      </c>
      <c r="L234">
        <v>0.05</v>
      </c>
      <c r="M234">
        <f t="shared" si="12"/>
        <v>238.07</v>
      </c>
      <c r="N234">
        <f t="shared" si="13"/>
        <v>154.74549999999999</v>
      </c>
      <c r="O234">
        <f t="shared" si="14"/>
        <v>83.3245</v>
      </c>
      <c r="P234">
        <f t="shared" si="15"/>
        <v>0.35000000000000003</v>
      </c>
      <c r="Q234" t="s">
        <v>125</v>
      </c>
    </row>
    <row r="235" spans="1:17" x14ac:dyDescent="0.3">
      <c r="A235" t="s">
        <v>385</v>
      </c>
      <c r="B235" s="7">
        <v>45504</v>
      </c>
      <c r="C235" t="s">
        <v>146</v>
      </c>
      <c r="D235" t="s">
        <v>122</v>
      </c>
      <c r="E235" t="s">
        <v>137</v>
      </c>
      <c r="F235" t="s">
        <v>152</v>
      </c>
      <c r="G235" t="s">
        <v>51</v>
      </c>
      <c r="H235" t="s">
        <v>52</v>
      </c>
      <c r="I235" t="s">
        <v>23</v>
      </c>
      <c r="J235">
        <v>6</v>
      </c>
      <c r="K235">
        <v>50.3</v>
      </c>
      <c r="L235">
        <v>0.05</v>
      </c>
      <c r="M235">
        <f t="shared" si="12"/>
        <v>286.70999999999992</v>
      </c>
      <c r="N235">
        <f t="shared" si="13"/>
        <v>186.36149999999995</v>
      </c>
      <c r="O235">
        <f t="shared" si="14"/>
        <v>100.34849999999997</v>
      </c>
      <c r="P235">
        <f t="shared" si="15"/>
        <v>0.35</v>
      </c>
      <c r="Q235" t="s">
        <v>125</v>
      </c>
    </row>
    <row r="236" spans="1:17" x14ac:dyDescent="0.3">
      <c r="A236" t="s">
        <v>386</v>
      </c>
      <c r="B236" s="7">
        <v>45416</v>
      </c>
      <c r="C236" t="s">
        <v>140</v>
      </c>
      <c r="D236" t="s">
        <v>122</v>
      </c>
      <c r="E236" t="s">
        <v>137</v>
      </c>
      <c r="F236" t="s">
        <v>154</v>
      </c>
      <c r="G236" t="s">
        <v>43</v>
      </c>
      <c r="H236" t="s">
        <v>44</v>
      </c>
      <c r="I236" t="s">
        <v>31</v>
      </c>
      <c r="J236">
        <v>13</v>
      </c>
      <c r="K236">
        <v>185.48</v>
      </c>
      <c r="L236">
        <v>0.05</v>
      </c>
      <c r="M236">
        <f t="shared" si="12"/>
        <v>2290.6779999999999</v>
      </c>
      <c r="N236">
        <f t="shared" si="13"/>
        <v>1488.9406999999999</v>
      </c>
      <c r="O236">
        <f t="shared" si="14"/>
        <v>801.7373</v>
      </c>
      <c r="P236">
        <f t="shared" si="15"/>
        <v>0.35000000000000003</v>
      </c>
      <c r="Q236" t="s">
        <v>125</v>
      </c>
    </row>
    <row r="237" spans="1:17" x14ac:dyDescent="0.3">
      <c r="A237" t="s">
        <v>387</v>
      </c>
      <c r="B237" s="7">
        <v>45586</v>
      </c>
      <c r="C237" t="s">
        <v>146</v>
      </c>
      <c r="D237" t="s">
        <v>127</v>
      </c>
      <c r="E237" t="s">
        <v>123</v>
      </c>
      <c r="F237" t="s">
        <v>154</v>
      </c>
      <c r="G237" t="s">
        <v>37</v>
      </c>
      <c r="H237" t="s">
        <v>38</v>
      </c>
      <c r="I237" t="s">
        <v>19</v>
      </c>
      <c r="J237">
        <v>12</v>
      </c>
      <c r="K237">
        <v>74.84</v>
      </c>
      <c r="L237">
        <v>0</v>
      </c>
      <c r="M237">
        <f t="shared" si="12"/>
        <v>898.08</v>
      </c>
      <c r="N237">
        <f t="shared" si="13"/>
        <v>583.75200000000007</v>
      </c>
      <c r="O237">
        <f t="shared" si="14"/>
        <v>314.32799999999997</v>
      </c>
      <c r="P237">
        <f t="shared" si="15"/>
        <v>0.35</v>
      </c>
      <c r="Q237" t="s">
        <v>135</v>
      </c>
    </row>
    <row r="238" spans="1:17" x14ac:dyDescent="0.3">
      <c r="A238" t="s">
        <v>388</v>
      </c>
      <c r="B238" s="7">
        <v>45569</v>
      </c>
      <c r="C238" t="s">
        <v>171</v>
      </c>
      <c r="D238" t="s">
        <v>122</v>
      </c>
      <c r="E238" t="s">
        <v>123</v>
      </c>
      <c r="F238" t="s">
        <v>124</v>
      </c>
      <c r="G238" t="s">
        <v>21</v>
      </c>
      <c r="H238" t="s">
        <v>22</v>
      </c>
      <c r="I238" t="s">
        <v>23</v>
      </c>
      <c r="J238">
        <v>10</v>
      </c>
      <c r="K238">
        <v>153.61000000000001</v>
      </c>
      <c r="L238">
        <v>0</v>
      </c>
      <c r="M238">
        <f t="shared" si="12"/>
        <v>1536.1000000000001</v>
      </c>
      <c r="N238">
        <f t="shared" si="13"/>
        <v>998.46500000000015</v>
      </c>
      <c r="O238">
        <f t="shared" si="14"/>
        <v>537.63499999999999</v>
      </c>
      <c r="P238">
        <f t="shared" si="15"/>
        <v>0.35</v>
      </c>
      <c r="Q238" t="s">
        <v>125</v>
      </c>
    </row>
    <row r="239" spans="1:17" x14ac:dyDescent="0.3">
      <c r="A239" t="s">
        <v>389</v>
      </c>
      <c r="B239" s="7">
        <v>45343</v>
      </c>
      <c r="C239" t="s">
        <v>160</v>
      </c>
      <c r="D239" t="s">
        <v>122</v>
      </c>
      <c r="E239" t="s">
        <v>150</v>
      </c>
      <c r="F239" t="s">
        <v>143</v>
      </c>
      <c r="G239" t="s">
        <v>35</v>
      </c>
      <c r="H239" t="s">
        <v>36</v>
      </c>
      <c r="I239" t="s">
        <v>15</v>
      </c>
      <c r="J239">
        <v>1</v>
      </c>
      <c r="K239">
        <v>432.01</v>
      </c>
      <c r="L239">
        <v>0.05</v>
      </c>
      <c r="M239">
        <f t="shared" si="12"/>
        <v>410.40949999999998</v>
      </c>
      <c r="N239">
        <f t="shared" si="13"/>
        <v>266.76617499999998</v>
      </c>
      <c r="O239">
        <f t="shared" si="14"/>
        <v>143.643325</v>
      </c>
      <c r="P239">
        <f t="shared" si="15"/>
        <v>0.35000000000000003</v>
      </c>
      <c r="Q239" t="s">
        <v>144</v>
      </c>
    </row>
    <row r="240" spans="1:17" x14ac:dyDescent="0.3">
      <c r="A240" t="s">
        <v>390</v>
      </c>
      <c r="B240" s="7">
        <v>45775</v>
      </c>
      <c r="C240" t="s">
        <v>157</v>
      </c>
      <c r="D240" t="s">
        <v>122</v>
      </c>
      <c r="E240" t="s">
        <v>150</v>
      </c>
      <c r="F240" t="s">
        <v>132</v>
      </c>
      <c r="G240" t="s">
        <v>56</v>
      </c>
      <c r="H240" t="s">
        <v>57</v>
      </c>
      <c r="I240" t="s">
        <v>31</v>
      </c>
      <c r="J240">
        <v>15</v>
      </c>
      <c r="K240">
        <v>507.04</v>
      </c>
      <c r="L240">
        <v>0.1</v>
      </c>
      <c r="M240">
        <f t="shared" si="12"/>
        <v>6845.0400000000009</v>
      </c>
      <c r="N240">
        <f t="shared" si="13"/>
        <v>4449.2760000000007</v>
      </c>
      <c r="O240">
        <f t="shared" si="14"/>
        <v>2395.7640000000001</v>
      </c>
      <c r="P240">
        <f t="shared" si="15"/>
        <v>0.35</v>
      </c>
      <c r="Q240" t="s">
        <v>147</v>
      </c>
    </row>
    <row r="241" spans="1:17" x14ac:dyDescent="0.3">
      <c r="A241" t="s">
        <v>391</v>
      </c>
      <c r="B241" s="7">
        <v>45496</v>
      </c>
      <c r="C241" t="s">
        <v>134</v>
      </c>
      <c r="D241" t="s">
        <v>131</v>
      </c>
      <c r="E241" t="s">
        <v>123</v>
      </c>
      <c r="F241" t="s">
        <v>152</v>
      </c>
      <c r="G241" t="s">
        <v>13</v>
      </c>
      <c r="H241" t="s">
        <v>14</v>
      </c>
      <c r="I241" t="s">
        <v>15</v>
      </c>
      <c r="J241">
        <v>15</v>
      </c>
      <c r="K241">
        <v>924.19</v>
      </c>
      <c r="L241">
        <v>0.15</v>
      </c>
      <c r="M241">
        <f t="shared" si="12"/>
        <v>11783.422500000001</v>
      </c>
      <c r="N241">
        <f t="shared" si="13"/>
        <v>7659.2246250000007</v>
      </c>
      <c r="O241">
        <f t="shared" si="14"/>
        <v>4124.1978749999998</v>
      </c>
      <c r="P241">
        <f t="shared" si="15"/>
        <v>0.35</v>
      </c>
      <c r="Q241" t="s">
        <v>125</v>
      </c>
    </row>
    <row r="242" spans="1:17" x14ac:dyDescent="0.3">
      <c r="A242" t="s">
        <v>392</v>
      </c>
      <c r="B242" s="7">
        <v>45330</v>
      </c>
      <c r="C242" t="s">
        <v>171</v>
      </c>
      <c r="D242" t="s">
        <v>127</v>
      </c>
      <c r="E242" t="s">
        <v>137</v>
      </c>
      <c r="F242" t="s">
        <v>124</v>
      </c>
      <c r="G242" t="s">
        <v>13</v>
      </c>
      <c r="H242" t="s">
        <v>14</v>
      </c>
      <c r="I242" t="s">
        <v>15</v>
      </c>
      <c r="J242">
        <v>14</v>
      </c>
      <c r="K242">
        <v>890.73</v>
      </c>
      <c r="L242">
        <v>0.1</v>
      </c>
      <c r="M242">
        <f t="shared" si="12"/>
        <v>11223.198000000002</v>
      </c>
      <c r="N242">
        <f t="shared" si="13"/>
        <v>7295.0787000000018</v>
      </c>
      <c r="O242">
        <f t="shared" si="14"/>
        <v>3928.1193000000003</v>
      </c>
      <c r="P242">
        <f t="shared" si="15"/>
        <v>0.35</v>
      </c>
      <c r="Q242" t="s">
        <v>125</v>
      </c>
    </row>
    <row r="243" spans="1:17" x14ac:dyDescent="0.3">
      <c r="A243" t="s">
        <v>393</v>
      </c>
      <c r="B243" s="7">
        <v>45588</v>
      </c>
      <c r="C243" t="s">
        <v>171</v>
      </c>
      <c r="D243" t="s">
        <v>127</v>
      </c>
      <c r="E243" t="s">
        <v>128</v>
      </c>
      <c r="F243" t="s">
        <v>152</v>
      </c>
      <c r="G243" t="s">
        <v>58</v>
      </c>
      <c r="H243" t="s">
        <v>59</v>
      </c>
      <c r="I243" t="s">
        <v>11</v>
      </c>
      <c r="J243">
        <v>10</v>
      </c>
      <c r="K243">
        <v>1585.2</v>
      </c>
      <c r="L243">
        <v>0.05</v>
      </c>
      <c r="M243">
        <f t="shared" si="12"/>
        <v>15059.4</v>
      </c>
      <c r="N243">
        <f t="shared" si="13"/>
        <v>9788.61</v>
      </c>
      <c r="O243">
        <f t="shared" si="14"/>
        <v>5270.7899999999991</v>
      </c>
      <c r="P243">
        <f t="shared" si="15"/>
        <v>0.34999999999999992</v>
      </c>
      <c r="Q243" t="s">
        <v>125</v>
      </c>
    </row>
    <row r="244" spans="1:17" x14ac:dyDescent="0.3">
      <c r="A244" t="s">
        <v>394</v>
      </c>
      <c r="B244" s="7">
        <v>45757</v>
      </c>
      <c r="C244" t="s">
        <v>160</v>
      </c>
      <c r="D244" t="s">
        <v>122</v>
      </c>
      <c r="E244" t="s">
        <v>137</v>
      </c>
      <c r="F244" t="s">
        <v>124</v>
      </c>
      <c r="G244" t="s">
        <v>54</v>
      </c>
      <c r="H244" t="s">
        <v>55</v>
      </c>
      <c r="I244" t="s">
        <v>27</v>
      </c>
      <c r="J244">
        <v>8</v>
      </c>
      <c r="K244">
        <v>1026.1500000000001</v>
      </c>
      <c r="L244">
        <v>0</v>
      </c>
      <c r="M244">
        <f t="shared" si="12"/>
        <v>8209.2000000000007</v>
      </c>
      <c r="N244">
        <f t="shared" si="13"/>
        <v>5335.9800000000005</v>
      </c>
      <c r="O244">
        <f t="shared" si="14"/>
        <v>2873.2200000000003</v>
      </c>
      <c r="P244">
        <f t="shared" si="15"/>
        <v>0.35</v>
      </c>
      <c r="Q244" t="s">
        <v>125</v>
      </c>
    </row>
    <row r="245" spans="1:17" x14ac:dyDescent="0.3">
      <c r="A245" t="s">
        <v>395</v>
      </c>
      <c r="B245" s="7">
        <v>45458</v>
      </c>
      <c r="C245" t="s">
        <v>146</v>
      </c>
      <c r="D245" t="s">
        <v>131</v>
      </c>
      <c r="E245" t="s">
        <v>123</v>
      </c>
      <c r="F245" t="s">
        <v>143</v>
      </c>
      <c r="G245" t="s">
        <v>29</v>
      </c>
      <c r="H245" t="s">
        <v>30</v>
      </c>
      <c r="I245" t="s">
        <v>31</v>
      </c>
      <c r="J245">
        <v>1</v>
      </c>
      <c r="K245">
        <v>614.20000000000005</v>
      </c>
      <c r="L245">
        <v>0.05</v>
      </c>
      <c r="M245">
        <f t="shared" si="12"/>
        <v>583.49</v>
      </c>
      <c r="N245">
        <f t="shared" si="13"/>
        <v>379.26850000000002</v>
      </c>
      <c r="O245">
        <f t="shared" si="14"/>
        <v>204.22149999999999</v>
      </c>
      <c r="P245">
        <f t="shared" si="15"/>
        <v>0.35</v>
      </c>
      <c r="Q245" t="s">
        <v>135</v>
      </c>
    </row>
    <row r="246" spans="1:17" x14ac:dyDescent="0.3">
      <c r="A246" t="s">
        <v>396</v>
      </c>
      <c r="B246" s="7">
        <v>45489</v>
      </c>
      <c r="C246" t="s">
        <v>245</v>
      </c>
      <c r="D246" t="s">
        <v>122</v>
      </c>
      <c r="E246" t="s">
        <v>137</v>
      </c>
      <c r="F246" t="s">
        <v>154</v>
      </c>
      <c r="G246" t="s">
        <v>54</v>
      </c>
      <c r="H246" t="s">
        <v>55</v>
      </c>
      <c r="I246" t="s">
        <v>27</v>
      </c>
      <c r="J246">
        <v>6</v>
      </c>
      <c r="K246">
        <v>1006.61</v>
      </c>
      <c r="L246">
        <v>0</v>
      </c>
      <c r="M246">
        <f t="shared" si="12"/>
        <v>6039.66</v>
      </c>
      <c r="N246">
        <f t="shared" si="13"/>
        <v>3925.779</v>
      </c>
      <c r="O246">
        <f t="shared" si="14"/>
        <v>2113.8809999999999</v>
      </c>
      <c r="P246">
        <f t="shared" si="15"/>
        <v>0.35</v>
      </c>
      <c r="Q246" t="s">
        <v>125</v>
      </c>
    </row>
    <row r="247" spans="1:17" x14ac:dyDescent="0.3">
      <c r="A247" t="s">
        <v>397</v>
      </c>
      <c r="B247" s="7">
        <v>45435</v>
      </c>
      <c r="C247" t="s">
        <v>164</v>
      </c>
      <c r="D247" t="s">
        <v>131</v>
      </c>
      <c r="E247" t="s">
        <v>150</v>
      </c>
      <c r="F247" t="s">
        <v>132</v>
      </c>
      <c r="G247" t="s">
        <v>37</v>
      </c>
      <c r="H247" t="s">
        <v>38</v>
      </c>
      <c r="I247" t="s">
        <v>19</v>
      </c>
      <c r="J247">
        <v>7</v>
      </c>
      <c r="K247">
        <v>73.02</v>
      </c>
      <c r="L247">
        <v>0.05</v>
      </c>
      <c r="M247">
        <f t="shared" si="12"/>
        <v>485.58299999999997</v>
      </c>
      <c r="N247">
        <f t="shared" si="13"/>
        <v>315.62894999999997</v>
      </c>
      <c r="O247">
        <f t="shared" si="14"/>
        <v>169.95405</v>
      </c>
      <c r="P247">
        <f t="shared" si="15"/>
        <v>0.35000000000000003</v>
      </c>
      <c r="Q247" t="s">
        <v>125</v>
      </c>
    </row>
    <row r="248" spans="1:17" x14ac:dyDescent="0.3">
      <c r="A248" t="s">
        <v>398</v>
      </c>
      <c r="B248" s="7">
        <v>45601</v>
      </c>
      <c r="C248" t="s">
        <v>140</v>
      </c>
      <c r="D248" t="s">
        <v>122</v>
      </c>
      <c r="E248" t="s">
        <v>128</v>
      </c>
      <c r="F248" t="s">
        <v>152</v>
      </c>
      <c r="G248" t="s">
        <v>43</v>
      </c>
      <c r="H248" t="s">
        <v>44</v>
      </c>
      <c r="I248" t="s">
        <v>31</v>
      </c>
      <c r="J248">
        <v>12</v>
      </c>
      <c r="K248">
        <v>175.25</v>
      </c>
      <c r="L248">
        <v>0</v>
      </c>
      <c r="M248">
        <f t="shared" si="12"/>
        <v>2103</v>
      </c>
      <c r="N248">
        <f t="shared" si="13"/>
        <v>1366.95</v>
      </c>
      <c r="O248">
        <f t="shared" si="14"/>
        <v>736.05</v>
      </c>
      <c r="P248">
        <f t="shared" si="15"/>
        <v>0.35</v>
      </c>
      <c r="Q248" t="s">
        <v>147</v>
      </c>
    </row>
    <row r="249" spans="1:17" x14ac:dyDescent="0.3">
      <c r="A249" t="s">
        <v>399</v>
      </c>
      <c r="B249" s="7">
        <v>45606</v>
      </c>
      <c r="C249" t="s">
        <v>245</v>
      </c>
      <c r="D249" t="s">
        <v>131</v>
      </c>
      <c r="E249" t="s">
        <v>123</v>
      </c>
      <c r="F249" t="s">
        <v>143</v>
      </c>
      <c r="G249" t="s">
        <v>21</v>
      </c>
      <c r="H249" t="s">
        <v>22</v>
      </c>
      <c r="I249" t="s">
        <v>23</v>
      </c>
      <c r="J249">
        <v>11</v>
      </c>
      <c r="K249">
        <v>156.24</v>
      </c>
      <c r="L249">
        <v>0.05</v>
      </c>
      <c r="M249">
        <f t="shared" si="12"/>
        <v>1632.7080000000001</v>
      </c>
      <c r="N249">
        <f t="shared" si="13"/>
        <v>1061.2602000000002</v>
      </c>
      <c r="O249">
        <f t="shared" si="14"/>
        <v>571.44779999999992</v>
      </c>
      <c r="P249">
        <f t="shared" si="15"/>
        <v>0.34999999999999992</v>
      </c>
      <c r="Q249" t="s">
        <v>125</v>
      </c>
    </row>
    <row r="250" spans="1:17" x14ac:dyDescent="0.3">
      <c r="A250" t="s">
        <v>400</v>
      </c>
      <c r="B250" s="7">
        <v>45518</v>
      </c>
      <c r="C250" t="s">
        <v>130</v>
      </c>
      <c r="D250" t="s">
        <v>127</v>
      </c>
      <c r="E250" t="s">
        <v>137</v>
      </c>
      <c r="F250" t="s">
        <v>124</v>
      </c>
      <c r="G250" t="s">
        <v>49</v>
      </c>
      <c r="H250" t="s">
        <v>50</v>
      </c>
      <c r="I250" t="s">
        <v>19</v>
      </c>
      <c r="J250">
        <v>12</v>
      </c>
      <c r="K250">
        <v>236</v>
      </c>
      <c r="L250">
        <v>0.05</v>
      </c>
      <c r="M250">
        <f t="shared" si="12"/>
        <v>2690.4</v>
      </c>
      <c r="N250">
        <f t="shared" si="13"/>
        <v>1748.7600000000002</v>
      </c>
      <c r="O250">
        <f t="shared" si="14"/>
        <v>941.63999999999987</v>
      </c>
      <c r="P250">
        <f t="shared" si="15"/>
        <v>0.34999999999999992</v>
      </c>
      <c r="Q250" t="s">
        <v>147</v>
      </c>
    </row>
    <row r="251" spans="1:17" x14ac:dyDescent="0.3">
      <c r="A251" t="s">
        <v>401</v>
      </c>
      <c r="B251" s="7">
        <v>45774</v>
      </c>
      <c r="C251" t="s">
        <v>134</v>
      </c>
      <c r="D251" t="s">
        <v>122</v>
      </c>
      <c r="E251" t="s">
        <v>150</v>
      </c>
      <c r="F251" t="s">
        <v>124</v>
      </c>
      <c r="G251" t="s">
        <v>60</v>
      </c>
      <c r="H251" t="s">
        <v>61</v>
      </c>
      <c r="I251" t="s">
        <v>15</v>
      </c>
      <c r="J251">
        <v>14</v>
      </c>
      <c r="K251">
        <v>231.47</v>
      </c>
      <c r="L251">
        <v>0.15</v>
      </c>
      <c r="M251">
        <f t="shared" si="12"/>
        <v>2754.4929999999999</v>
      </c>
      <c r="N251">
        <f t="shared" si="13"/>
        <v>1790.4204500000001</v>
      </c>
      <c r="O251">
        <f t="shared" si="14"/>
        <v>964.07254999999986</v>
      </c>
      <c r="P251">
        <f t="shared" si="15"/>
        <v>0.35</v>
      </c>
      <c r="Q251" t="s">
        <v>147</v>
      </c>
    </row>
    <row r="252" spans="1:17" x14ac:dyDescent="0.3">
      <c r="A252" t="s">
        <v>402</v>
      </c>
      <c r="B252" s="7">
        <v>45832</v>
      </c>
      <c r="C252" t="s">
        <v>146</v>
      </c>
      <c r="D252" t="s">
        <v>131</v>
      </c>
      <c r="E252" t="s">
        <v>128</v>
      </c>
      <c r="F252" t="s">
        <v>138</v>
      </c>
      <c r="G252" t="s">
        <v>21</v>
      </c>
      <c r="H252" t="s">
        <v>22</v>
      </c>
      <c r="I252" t="s">
        <v>23</v>
      </c>
      <c r="J252">
        <v>1</v>
      </c>
      <c r="K252">
        <v>154.93</v>
      </c>
      <c r="L252">
        <v>0.15</v>
      </c>
      <c r="M252">
        <f t="shared" si="12"/>
        <v>131.69050000000001</v>
      </c>
      <c r="N252">
        <f t="shared" si="13"/>
        <v>85.598825000000019</v>
      </c>
      <c r="O252">
        <f t="shared" si="14"/>
        <v>46.091674999999995</v>
      </c>
      <c r="P252">
        <f t="shared" si="15"/>
        <v>0.34999999999999992</v>
      </c>
      <c r="Q252" t="s">
        <v>125</v>
      </c>
    </row>
    <row r="253" spans="1:17" x14ac:dyDescent="0.3">
      <c r="A253" t="s">
        <v>403</v>
      </c>
      <c r="B253" s="7">
        <v>45445</v>
      </c>
      <c r="C253" t="s">
        <v>245</v>
      </c>
      <c r="D253" t="s">
        <v>131</v>
      </c>
      <c r="E253" t="s">
        <v>137</v>
      </c>
      <c r="F253" t="s">
        <v>132</v>
      </c>
      <c r="G253" t="s">
        <v>33</v>
      </c>
      <c r="H253" t="s">
        <v>34</v>
      </c>
      <c r="I253" t="s">
        <v>11</v>
      </c>
      <c r="J253">
        <v>12</v>
      </c>
      <c r="K253">
        <v>1512.47</v>
      </c>
      <c r="L253">
        <v>0</v>
      </c>
      <c r="M253">
        <f t="shared" si="12"/>
        <v>18149.64</v>
      </c>
      <c r="N253">
        <f t="shared" si="13"/>
        <v>11797.266</v>
      </c>
      <c r="O253">
        <f t="shared" si="14"/>
        <v>6352.3739999999998</v>
      </c>
      <c r="P253">
        <f t="shared" si="15"/>
        <v>0.35</v>
      </c>
      <c r="Q253" t="s">
        <v>135</v>
      </c>
    </row>
    <row r="254" spans="1:17" x14ac:dyDescent="0.3">
      <c r="A254" t="s">
        <v>404</v>
      </c>
      <c r="B254" s="7">
        <v>45748</v>
      </c>
      <c r="C254" t="s">
        <v>134</v>
      </c>
      <c r="D254" t="s">
        <v>127</v>
      </c>
      <c r="E254" t="s">
        <v>137</v>
      </c>
      <c r="F254" t="s">
        <v>124</v>
      </c>
      <c r="G254" t="s">
        <v>54</v>
      </c>
      <c r="H254" t="s">
        <v>55</v>
      </c>
      <c r="I254" t="s">
        <v>27</v>
      </c>
      <c r="J254">
        <v>7</v>
      </c>
      <c r="K254">
        <v>1045.46</v>
      </c>
      <c r="L254">
        <v>0</v>
      </c>
      <c r="M254">
        <f t="shared" si="12"/>
        <v>7318.22</v>
      </c>
      <c r="N254">
        <f t="shared" si="13"/>
        <v>4756.8430000000008</v>
      </c>
      <c r="O254">
        <f t="shared" si="14"/>
        <v>2561.3769999999995</v>
      </c>
      <c r="P254">
        <f t="shared" si="15"/>
        <v>0.34999999999999992</v>
      </c>
      <c r="Q254" t="s">
        <v>135</v>
      </c>
    </row>
    <row r="255" spans="1:17" x14ac:dyDescent="0.3">
      <c r="A255" t="s">
        <v>405</v>
      </c>
      <c r="B255" s="7">
        <v>45765</v>
      </c>
      <c r="C255" t="s">
        <v>160</v>
      </c>
      <c r="D255" t="s">
        <v>131</v>
      </c>
      <c r="E255" t="s">
        <v>128</v>
      </c>
      <c r="F255" t="s">
        <v>154</v>
      </c>
      <c r="G255" t="s">
        <v>37</v>
      </c>
      <c r="H255" t="s">
        <v>38</v>
      </c>
      <c r="I255" t="s">
        <v>19</v>
      </c>
      <c r="J255">
        <v>14</v>
      </c>
      <c r="K255">
        <v>71.27</v>
      </c>
      <c r="L255">
        <v>0</v>
      </c>
      <c r="M255">
        <f t="shared" si="12"/>
        <v>997.78</v>
      </c>
      <c r="N255">
        <f t="shared" si="13"/>
        <v>648.55700000000002</v>
      </c>
      <c r="O255">
        <f t="shared" si="14"/>
        <v>349.22299999999996</v>
      </c>
      <c r="P255">
        <f t="shared" si="15"/>
        <v>0.35</v>
      </c>
      <c r="Q255" t="s">
        <v>135</v>
      </c>
    </row>
    <row r="256" spans="1:17" x14ac:dyDescent="0.3">
      <c r="A256" t="s">
        <v>406</v>
      </c>
      <c r="B256" s="7">
        <v>45366</v>
      </c>
      <c r="C256" t="s">
        <v>121</v>
      </c>
      <c r="D256" t="s">
        <v>131</v>
      </c>
      <c r="E256" t="s">
        <v>123</v>
      </c>
      <c r="F256" t="s">
        <v>143</v>
      </c>
      <c r="G256" t="s">
        <v>17</v>
      </c>
      <c r="H256" t="s">
        <v>18</v>
      </c>
      <c r="I256" t="s">
        <v>19</v>
      </c>
      <c r="J256">
        <v>9</v>
      </c>
      <c r="K256">
        <v>125.93</v>
      </c>
      <c r="L256">
        <v>0</v>
      </c>
      <c r="M256">
        <f t="shared" si="12"/>
        <v>1133.3700000000001</v>
      </c>
      <c r="N256">
        <f t="shared" si="13"/>
        <v>736.69050000000016</v>
      </c>
      <c r="O256">
        <f t="shared" si="14"/>
        <v>396.67949999999996</v>
      </c>
      <c r="P256">
        <f t="shared" si="15"/>
        <v>0.34999999999999992</v>
      </c>
      <c r="Q256" t="s">
        <v>147</v>
      </c>
    </row>
    <row r="257" spans="1:17" x14ac:dyDescent="0.3">
      <c r="A257" t="s">
        <v>407</v>
      </c>
      <c r="B257" s="7">
        <v>45324</v>
      </c>
      <c r="C257" t="s">
        <v>149</v>
      </c>
      <c r="D257" t="s">
        <v>131</v>
      </c>
      <c r="E257" t="s">
        <v>150</v>
      </c>
      <c r="F257" t="s">
        <v>124</v>
      </c>
      <c r="G257" t="s">
        <v>47</v>
      </c>
      <c r="H257" t="s">
        <v>48</v>
      </c>
      <c r="I257" t="s">
        <v>15</v>
      </c>
      <c r="J257">
        <v>6</v>
      </c>
      <c r="K257">
        <v>1259.1400000000001</v>
      </c>
      <c r="L257">
        <v>0.1</v>
      </c>
      <c r="M257">
        <f t="shared" si="12"/>
        <v>6799.3560000000007</v>
      </c>
      <c r="N257">
        <f t="shared" si="13"/>
        <v>4419.5814000000009</v>
      </c>
      <c r="O257">
        <f t="shared" si="14"/>
        <v>2379.7745999999997</v>
      </c>
      <c r="P257">
        <f t="shared" si="15"/>
        <v>0.34999999999999992</v>
      </c>
      <c r="Q257" t="s">
        <v>147</v>
      </c>
    </row>
    <row r="258" spans="1:17" x14ac:dyDescent="0.3">
      <c r="A258" t="s">
        <v>408</v>
      </c>
      <c r="B258" s="7">
        <v>45678</v>
      </c>
      <c r="C258" t="s">
        <v>142</v>
      </c>
      <c r="D258" t="s">
        <v>127</v>
      </c>
      <c r="E258" t="s">
        <v>150</v>
      </c>
      <c r="F258" t="s">
        <v>143</v>
      </c>
      <c r="G258" t="s">
        <v>43</v>
      </c>
      <c r="H258" t="s">
        <v>44</v>
      </c>
      <c r="I258" t="s">
        <v>31</v>
      </c>
      <c r="J258">
        <v>2</v>
      </c>
      <c r="K258">
        <v>174.21</v>
      </c>
      <c r="L258">
        <v>0.15</v>
      </c>
      <c r="M258">
        <f t="shared" ref="M258:M321" si="16">J258*K258*(1-L258)</f>
        <v>296.15699999999998</v>
      </c>
      <c r="N258">
        <f t="shared" ref="N258:N321" si="17">M258*0.65</f>
        <v>192.50205</v>
      </c>
      <c r="O258">
        <f t="shared" ref="O258:O321" si="18">M258-N258</f>
        <v>103.65494999999999</v>
      </c>
      <c r="P258">
        <f t="shared" ref="P258:P321" si="19">IFERROR(O258/M258, 0)</f>
        <v>0.35</v>
      </c>
      <c r="Q258" t="s">
        <v>147</v>
      </c>
    </row>
    <row r="259" spans="1:17" x14ac:dyDescent="0.3">
      <c r="A259" t="s">
        <v>409</v>
      </c>
      <c r="B259" s="7">
        <v>45833</v>
      </c>
      <c r="C259" t="s">
        <v>245</v>
      </c>
      <c r="D259" t="s">
        <v>122</v>
      </c>
      <c r="E259" t="s">
        <v>150</v>
      </c>
      <c r="F259" t="s">
        <v>132</v>
      </c>
      <c r="G259" t="s">
        <v>9</v>
      </c>
      <c r="H259" t="s">
        <v>10</v>
      </c>
      <c r="I259" t="s">
        <v>11</v>
      </c>
      <c r="J259">
        <v>5</v>
      </c>
      <c r="K259">
        <v>1793.34</v>
      </c>
      <c r="L259">
        <v>0.15</v>
      </c>
      <c r="M259">
        <f t="shared" si="16"/>
        <v>7621.6949999999988</v>
      </c>
      <c r="N259">
        <f t="shared" si="17"/>
        <v>4954.1017499999998</v>
      </c>
      <c r="O259">
        <f t="shared" si="18"/>
        <v>2667.593249999999</v>
      </c>
      <c r="P259">
        <f t="shared" si="19"/>
        <v>0.34999999999999992</v>
      </c>
      <c r="Q259" t="s">
        <v>147</v>
      </c>
    </row>
    <row r="260" spans="1:17" x14ac:dyDescent="0.3">
      <c r="A260" t="s">
        <v>410</v>
      </c>
      <c r="B260" s="7">
        <v>45836</v>
      </c>
      <c r="C260" t="s">
        <v>142</v>
      </c>
      <c r="D260" t="s">
        <v>127</v>
      </c>
      <c r="E260" t="s">
        <v>150</v>
      </c>
      <c r="F260" t="s">
        <v>154</v>
      </c>
      <c r="G260" t="s">
        <v>43</v>
      </c>
      <c r="H260" t="s">
        <v>44</v>
      </c>
      <c r="I260" t="s">
        <v>31</v>
      </c>
      <c r="J260">
        <v>3</v>
      </c>
      <c r="K260">
        <v>175.96</v>
      </c>
      <c r="L260">
        <v>0</v>
      </c>
      <c r="M260">
        <f t="shared" si="16"/>
        <v>527.88</v>
      </c>
      <c r="N260">
        <f t="shared" si="17"/>
        <v>343.12200000000001</v>
      </c>
      <c r="O260">
        <f t="shared" si="18"/>
        <v>184.75799999999998</v>
      </c>
      <c r="P260">
        <f t="shared" si="19"/>
        <v>0.35</v>
      </c>
      <c r="Q260" t="s">
        <v>125</v>
      </c>
    </row>
    <row r="261" spans="1:17" x14ac:dyDescent="0.3">
      <c r="A261" t="s">
        <v>411</v>
      </c>
      <c r="B261" s="7">
        <v>45721</v>
      </c>
      <c r="C261" t="s">
        <v>140</v>
      </c>
      <c r="D261" t="s">
        <v>127</v>
      </c>
      <c r="E261" t="s">
        <v>150</v>
      </c>
      <c r="F261" t="s">
        <v>124</v>
      </c>
      <c r="G261" t="s">
        <v>17</v>
      </c>
      <c r="H261" t="s">
        <v>18</v>
      </c>
      <c r="I261" t="s">
        <v>19</v>
      </c>
      <c r="J261">
        <v>2</v>
      </c>
      <c r="K261">
        <v>121.13</v>
      </c>
      <c r="L261">
        <v>0.1</v>
      </c>
      <c r="M261">
        <f t="shared" si="16"/>
        <v>218.03399999999999</v>
      </c>
      <c r="N261">
        <f t="shared" si="17"/>
        <v>141.72210000000001</v>
      </c>
      <c r="O261">
        <f t="shared" si="18"/>
        <v>76.31189999999998</v>
      </c>
      <c r="P261">
        <f t="shared" si="19"/>
        <v>0.34999999999999992</v>
      </c>
      <c r="Q261" t="s">
        <v>135</v>
      </c>
    </row>
    <row r="262" spans="1:17" x14ac:dyDescent="0.3">
      <c r="A262" t="s">
        <v>412</v>
      </c>
      <c r="B262" s="7">
        <v>45341</v>
      </c>
      <c r="C262" t="s">
        <v>130</v>
      </c>
      <c r="D262" t="s">
        <v>122</v>
      </c>
      <c r="E262" t="s">
        <v>128</v>
      </c>
      <c r="F262" t="s">
        <v>154</v>
      </c>
      <c r="G262" t="s">
        <v>49</v>
      </c>
      <c r="H262" t="s">
        <v>50</v>
      </c>
      <c r="I262" t="s">
        <v>19</v>
      </c>
      <c r="J262">
        <v>4</v>
      </c>
      <c r="K262">
        <v>225.89</v>
      </c>
      <c r="L262">
        <v>0</v>
      </c>
      <c r="M262">
        <f t="shared" si="16"/>
        <v>903.56</v>
      </c>
      <c r="N262">
        <f t="shared" si="17"/>
        <v>587.31399999999996</v>
      </c>
      <c r="O262">
        <f t="shared" si="18"/>
        <v>316.24599999999998</v>
      </c>
      <c r="P262">
        <f t="shared" si="19"/>
        <v>0.35</v>
      </c>
      <c r="Q262" t="s">
        <v>125</v>
      </c>
    </row>
    <row r="263" spans="1:17" x14ac:dyDescent="0.3">
      <c r="A263" t="s">
        <v>413</v>
      </c>
      <c r="B263" s="7">
        <v>45807</v>
      </c>
      <c r="C263" t="s">
        <v>149</v>
      </c>
      <c r="D263" t="s">
        <v>127</v>
      </c>
      <c r="E263" t="s">
        <v>123</v>
      </c>
      <c r="F263" t="s">
        <v>138</v>
      </c>
      <c r="G263" t="s">
        <v>60</v>
      </c>
      <c r="H263" t="s">
        <v>61</v>
      </c>
      <c r="I263" t="s">
        <v>15</v>
      </c>
      <c r="J263">
        <v>13</v>
      </c>
      <c r="K263">
        <v>228.88</v>
      </c>
      <c r="L263">
        <v>0.05</v>
      </c>
      <c r="M263">
        <f t="shared" si="16"/>
        <v>2826.6680000000001</v>
      </c>
      <c r="N263">
        <f t="shared" si="17"/>
        <v>1837.3342000000002</v>
      </c>
      <c r="O263">
        <f t="shared" si="18"/>
        <v>989.33379999999988</v>
      </c>
      <c r="P263">
        <f t="shared" si="19"/>
        <v>0.34999999999999992</v>
      </c>
      <c r="Q263" t="s">
        <v>125</v>
      </c>
    </row>
    <row r="264" spans="1:17" x14ac:dyDescent="0.3">
      <c r="A264" t="s">
        <v>414</v>
      </c>
      <c r="B264" s="7">
        <v>45601</v>
      </c>
      <c r="C264" t="s">
        <v>171</v>
      </c>
      <c r="D264" t="s">
        <v>127</v>
      </c>
      <c r="E264" t="s">
        <v>150</v>
      </c>
      <c r="F264" t="s">
        <v>154</v>
      </c>
      <c r="G264" t="s">
        <v>39</v>
      </c>
      <c r="H264" t="s">
        <v>40</v>
      </c>
      <c r="I264" t="s">
        <v>23</v>
      </c>
      <c r="J264">
        <v>5</v>
      </c>
      <c r="K264">
        <v>57.37</v>
      </c>
      <c r="L264">
        <v>0.15</v>
      </c>
      <c r="M264">
        <f t="shared" si="16"/>
        <v>243.82249999999996</v>
      </c>
      <c r="N264">
        <f t="shared" si="17"/>
        <v>158.48462499999999</v>
      </c>
      <c r="O264">
        <f t="shared" si="18"/>
        <v>85.337874999999968</v>
      </c>
      <c r="P264">
        <f t="shared" si="19"/>
        <v>0.34999999999999992</v>
      </c>
      <c r="Q264" t="s">
        <v>144</v>
      </c>
    </row>
    <row r="265" spans="1:17" x14ac:dyDescent="0.3">
      <c r="A265" t="s">
        <v>415</v>
      </c>
      <c r="B265" s="7">
        <v>45471</v>
      </c>
      <c r="C265" t="s">
        <v>160</v>
      </c>
      <c r="D265" t="s">
        <v>122</v>
      </c>
      <c r="E265" t="s">
        <v>137</v>
      </c>
      <c r="F265" t="s">
        <v>138</v>
      </c>
      <c r="G265" t="s">
        <v>51</v>
      </c>
      <c r="H265" t="s">
        <v>52</v>
      </c>
      <c r="I265" t="s">
        <v>23</v>
      </c>
      <c r="J265">
        <v>1</v>
      </c>
      <c r="K265">
        <v>52.36</v>
      </c>
      <c r="L265">
        <v>0.1</v>
      </c>
      <c r="M265">
        <f t="shared" si="16"/>
        <v>47.124000000000002</v>
      </c>
      <c r="N265">
        <f t="shared" si="17"/>
        <v>30.630600000000001</v>
      </c>
      <c r="O265">
        <f t="shared" si="18"/>
        <v>16.493400000000001</v>
      </c>
      <c r="P265">
        <f t="shared" si="19"/>
        <v>0.35000000000000003</v>
      </c>
      <c r="Q265" t="s">
        <v>135</v>
      </c>
    </row>
    <row r="266" spans="1:17" x14ac:dyDescent="0.3">
      <c r="A266" t="s">
        <v>416</v>
      </c>
      <c r="B266" s="7">
        <v>45618</v>
      </c>
      <c r="C266" t="s">
        <v>146</v>
      </c>
      <c r="D266" t="s">
        <v>131</v>
      </c>
      <c r="E266" t="s">
        <v>137</v>
      </c>
      <c r="F266" t="s">
        <v>124</v>
      </c>
      <c r="G266" t="s">
        <v>39</v>
      </c>
      <c r="H266" t="s">
        <v>40</v>
      </c>
      <c r="I266" t="s">
        <v>23</v>
      </c>
      <c r="J266">
        <v>7</v>
      </c>
      <c r="K266">
        <v>58.1</v>
      </c>
      <c r="L266">
        <v>0.15</v>
      </c>
      <c r="M266">
        <f t="shared" si="16"/>
        <v>345.69499999999999</v>
      </c>
      <c r="N266">
        <f t="shared" si="17"/>
        <v>224.70175</v>
      </c>
      <c r="O266">
        <f t="shared" si="18"/>
        <v>120.99324999999999</v>
      </c>
      <c r="P266">
        <f t="shared" si="19"/>
        <v>0.35</v>
      </c>
      <c r="Q266" t="s">
        <v>147</v>
      </c>
    </row>
    <row r="267" spans="1:17" x14ac:dyDescent="0.3">
      <c r="A267" t="s">
        <v>417</v>
      </c>
      <c r="B267" s="7">
        <v>45538</v>
      </c>
      <c r="C267" t="s">
        <v>187</v>
      </c>
      <c r="D267" t="s">
        <v>127</v>
      </c>
      <c r="E267" t="s">
        <v>123</v>
      </c>
      <c r="F267" t="s">
        <v>143</v>
      </c>
      <c r="G267" t="s">
        <v>25</v>
      </c>
      <c r="H267" t="s">
        <v>26</v>
      </c>
      <c r="I267" t="s">
        <v>27</v>
      </c>
      <c r="J267">
        <v>13</v>
      </c>
      <c r="K267">
        <v>1345.01</v>
      </c>
      <c r="L267">
        <v>0</v>
      </c>
      <c r="M267">
        <f t="shared" si="16"/>
        <v>17485.13</v>
      </c>
      <c r="N267">
        <f t="shared" si="17"/>
        <v>11365.334500000001</v>
      </c>
      <c r="O267">
        <f t="shared" si="18"/>
        <v>6119.7955000000002</v>
      </c>
      <c r="P267">
        <f t="shared" si="19"/>
        <v>0.35</v>
      </c>
      <c r="Q267" t="s">
        <v>135</v>
      </c>
    </row>
    <row r="268" spans="1:17" x14ac:dyDescent="0.3">
      <c r="A268" t="s">
        <v>418</v>
      </c>
      <c r="B268" s="7">
        <v>45714</v>
      </c>
      <c r="C268" t="s">
        <v>142</v>
      </c>
      <c r="D268" t="s">
        <v>122</v>
      </c>
      <c r="E268" t="s">
        <v>150</v>
      </c>
      <c r="F268" t="s">
        <v>154</v>
      </c>
      <c r="G268" t="s">
        <v>35</v>
      </c>
      <c r="H268" t="s">
        <v>36</v>
      </c>
      <c r="I268" t="s">
        <v>15</v>
      </c>
      <c r="J268">
        <v>5</v>
      </c>
      <c r="K268">
        <v>436.65</v>
      </c>
      <c r="L268">
        <v>0</v>
      </c>
      <c r="M268">
        <f t="shared" si="16"/>
        <v>2183.25</v>
      </c>
      <c r="N268">
        <f t="shared" si="17"/>
        <v>1419.1125</v>
      </c>
      <c r="O268">
        <f t="shared" si="18"/>
        <v>764.13750000000005</v>
      </c>
      <c r="P268">
        <f t="shared" si="19"/>
        <v>0.35000000000000003</v>
      </c>
      <c r="Q268" t="s">
        <v>147</v>
      </c>
    </row>
    <row r="269" spans="1:17" x14ac:dyDescent="0.3">
      <c r="A269" t="s">
        <v>419</v>
      </c>
      <c r="B269" s="7">
        <v>45671</v>
      </c>
      <c r="C269" t="s">
        <v>157</v>
      </c>
      <c r="D269" t="s">
        <v>122</v>
      </c>
      <c r="E269" t="s">
        <v>150</v>
      </c>
      <c r="F269" t="s">
        <v>132</v>
      </c>
      <c r="G269" t="s">
        <v>37</v>
      </c>
      <c r="H269" t="s">
        <v>38</v>
      </c>
      <c r="I269" t="s">
        <v>19</v>
      </c>
      <c r="J269">
        <v>7</v>
      </c>
      <c r="K269">
        <v>76.3</v>
      </c>
      <c r="L269">
        <v>0.15</v>
      </c>
      <c r="M269">
        <f t="shared" si="16"/>
        <v>453.98500000000001</v>
      </c>
      <c r="N269">
        <f t="shared" si="17"/>
        <v>295.09025000000003</v>
      </c>
      <c r="O269">
        <f t="shared" si="18"/>
        <v>158.89474999999999</v>
      </c>
      <c r="P269">
        <f t="shared" si="19"/>
        <v>0.35</v>
      </c>
      <c r="Q269" t="s">
        <v>125</v>
      </c>
    </row>
    <row r="270" spans="1:17" x14ac:dyDescent="0.3">
      <c r="A270" t="s">
        <v>420</v>
      </c>
      <c r="B270" s="7">
        <v>45366</v>
      </c>
      <c r="C270" t="s">
        <v>130</v>
      </c>
      <c r="D270" t="s">
        <v>122</v>
      </c>
      <c r="E270" t="s">
        <v>150</v>
      </c>
      <c r="F270" t="s">
        <v>154</v>
      </c>
      <c r="G270" t="s">
        <v>33</v>
      </c>
      <c r="H270" t="s">
        <v>34</v>
      </c>
      <c r="I270" t="s">
        <v>11</v>
      </c>
      <c r="J270">
        <v>14</v>
      </c>
      <c r="K270">
        <v>1561.05</v>
      </c>
      <c r="L270">
        <v>0.05</v>
      </c>
      <c r="M270">
        <f t="shared" si="16"/>
        <v>20761.965</v>
      </c>
      <c r="N270">
        <f t="shared" si="17"/>
        <v>13495.277250000001</v>
      </c>
      <c r="O270">
        <f t="shared" si="18"/>
        <v>7266.6877499999991</v>
      </c>
      <c r="P270">
        <f t="shared" si="19"/>
        <v>0.35</v>
      </c>
      <c r="Q270" t="s">
        <v>125</v>
      </c>
    </row>
    <row r="271" spans="1:17" x14ac:dyDescent="0.3">
      <c r="A271" t="s">
        <v>421</v>
      </c>
      <c r="B271" s="7">
        <v>45508</v>
      </c>
      <c r="C271" t="s">
        <v>171</v>
      </c>
      <c r="D271" t="s">
        <v>127</v>
      </c>
      <c r="E271" t="s">
        <v>128</v>
      </c>
      <c r="F271" t="s">
        <v>143</v>
      </c>
      <c r="G271" t="s">
        <v>51</v>
      </c>
      <c r="H271" t="s">
        <v>52</v>
      </c>
      <c r="I271" t="s">
        <v>23</v>
      </c>
      <c r="J271">
        <v>15</v>
      </c>
      <c r="K271">
        <v>48.71</v>
      </c>
      <c r="L271">
        <v>0.15</v>
      </c>
      <c r="M271">
        <f t="shared" si="16"/>
        <v>621.05250000000001</v>
      </c>
      <c r="N271">
        <f t="shared" si="17"/>
        <v>403.68412499999999</v>
      </c>
      <c r="O271">
        <f t="shared" si="18"/>
        <v>217.36837500000001</v>
      </c>
      <c r="P271">
        <f t="shared" si="19"/>
        <v>0.35000000000000003</v>
      </c>
      <c r="Q271" t="s">
        <v>144</v>
      </c>
    </row>
    <row r="272" spans="1:17" x14ac:dyDescent="0.3">
      <c r="A272" t="s">
        <v>422</v>
      </c>
      <c r="B272" s="7">
        <v>45501</v>
      </c>
      <c r="C272" t="s">
        <v>142</v>
      </c>
      <c r="D272" t="s">
        <v>127</v>
      </c>
      <c r="E272" t="s">
        <v>123</v>
      </c>
      <c r="F272" t="s">
        <v>152</v>
      </c>
      <c r="G272" t="s">
        <v>45</v>
      </c>
      <c r="H272" t="s">
        <v>46</v>
      </c>
      <c r="I272" t="s">
        <v>11</v>
      </c>
      <c r="J272">
        <v>8</v>
      </c>
      <c r="K272">
        <v>2257.5700000000002</v>
      </c>
      <c r="L272">
        <v>0.05</v>
      </c>
      <c r="M272">
        <f t="shared" si="16"/>
        <v>17157.531999999999</v>
      </c>
      <c r="N272">
        <f t="shared" si="17"/>
        <v>11152.3958</v>
      </c>
      <c r="O272">
        <f t="shared" si="18"/>
        <v>6005.136199999999</v>
      </c>
      <c r="P272">
        <f t="shared" si="19"/>
        <v>0.35</v>
      </c>
      <c r="Q272" t="s">
        <v>125</v>
      </c>
    </row>
    <row r="273" spans="1:17" x14ac:dyDescent="0.3">
      <c r="A273" t="s">
        <v>423</v>
      </c>
      <c r="B273" s="7">
        <v>45559</v>
      </c>
      <c r="C273" t="s">
        <v>174</v>
      </c>
      <c r="D273" t="s">
        <v>122</v>
      </c>
      <c r="E273" t="s">
        <v>137</v>
      </c>
      <c r="F273" t="s">
        <v>154</v>
      </c>
      <c r="G273" t="s">
        <v>21</v>
      </c>
      <c r="H273" t="s">
        <v>22</v>
      </c>
      <c r="I273" t="s">
        <v>23</v>
      </c>
      <c r="J273">
        <v>13</v>
      </c>
      <c r="K273">
        <v>157.22</v>
      </c>
      <c r="L273">
        <v>0.1</v>
      </c>
      <c r="M273">
        <f t="shared" si="16"/>
        <v>1839.4739999999999</v>
      </c>
      <c r="N273">
        <f t="shared" si="17"/>
        <v>1195.6581000000001</v>
      </c>
      <c r="O273">
        <f t="shared" si="18"/>
        <v>643.81589999999983</v>
      </c>
      <c r="P273">
        <f t="shared" si="19"/>
        <v>0.34999999999999992</v>
      </c>
      <c r="Q273" t="s">
        <v>125</v>
      </c>
    </row>
    <row r="274" spans="1:17" x14ac:dyDescent="0.3">
      <c r="A274" t="s">
        <v>424</v>
      </c>
      <c r="B274" s="7">
        <v>45500</v>
      </c>
      <c r="C274" t="s">
        <v>174</v>
      </c>
      <c r="D274" t="s">
        <v>131</v>
      </c>
      <c r="E274" t="s">
        <v>137</v>
      </c>
      <c r="F274" t="s">
        <v>132</v>
      </c>
      <c r="G274" t="s">
        <v>58</v>
      </c>
      <c r="H274" t="s">
        <v>59</v>
      </c>
      <c r="I274" t="s">
        <v>11</v>
      </c>
      <c r="J274">
        <v>14</v>
      </c>
      <c r="K274">
        <v>1604.01</v>
      </c>
      <c r="L274">
        <v>0</v>
      </c>
      <c r="M274">
        <f t="shared" si="16"/>
        <v>22456.14</v>
      </c>
      <c r="N274">
        <f t="shared" si="17"/>
        <v>14596.491</v>
      </c>
      <c r="O274">
        <f t="shared" si="18"/>
        <v>7859.6489999999994</v>
      </c>
      <c r="P274">
        <f t="shared" si="19"/>
        <v>0.35</v>
      </c>
      <c r="Q274" t="s">
        <v>125</v>
      </c>
    </row>
    <row r="275" spans="1:17" x14ac:dyDescent="0.3">
      <c r="A275" t="s">
        <v>425</v>
      </c>
      <c r="B275" s="7">
        <v>45559</v>
      </c>
      <c r="C275" t="s">
        <v>167</v>
      </c>
      <c r="D275" t="s">
        <v>122</v>
      </c>
      <c r="E275" t="s">
        <v>137</v>
      </c>
      <c r="F275" t="s">
        <v>152</v>
      </c>
      <c r="G275" t="s">
        <v>25</v>
      </c>
      <c r="H275" t="s">
        <v>26</v>
      </c>
      <c r="I275" t="s">
        <v>27</v>
      </c>
      <c r="J275">
        <v>4</v>
      </c>
      <c r="K275">
        <v>1327.03</v>
      </c>
      <c r="L275">
        <v>0.1</v>
      </c>
      <c r="M275">
        <f t="shared" si="16"/>
        <v>4777.308</v>
      </c>
      <c r="N275">
        <f t="shared" si="17"/>
        <v>3105.2501999999999</v>
      </c>
      <c r="O275">
        <f t="shared" si="18"/>
        <v>1672.0578</v>
      </c>
      <c r="P275">
        <f t="shared" si="19"/>
        <v>0.35000000000000003</v>
      </c>
      <c r="Q275" t="s">
        <v>135</v>
      </c>
    </row>
    <row r="276" spans="1:17" x14ac:dyDescent="0.3">
      <c r="A276" t="s">
        <v>426</v>
      </c>
      <c r="B276" s="7">
        <v>45543</v>
      </c>
      <c r="C276" t="s">
        <v>164</v>
      </c>
      <c r="D276" t="s">
        <v>122</v>
      </c>
      <c r="E276" t="s">
        <v>123</v>
      </c>
      <c r="F276" t="s">
        <v>152</v>
      </c>
      <c r="G276" t="s">
        <v>51</v>
      </c>
      <c r="H276" t="s">
        <v>52</v>
      </c>
      <c r="I276" t="s">
        <v>23</v>
      </c>
      <c r="J276">
        <v>12</v>
      </c>
      <c r="K276">
        <v>50.71</v>
      </c>
      <c r="L276">
        <v>0.1</v>
      </c>
      <c r="M276">
        <f t="shared" si="16"/>
        <v>547.66800000000001</v>
      </c>
      <c r="N276">
        <f t="shared" si="17"/>
        <v>355.98420000000004</v>
      </c>
      <c r="O276">
        <f t="shared" si="18"/>
        <v>191.68379999999996</v>
      </c>
      <c r="P276">
        <f t="shared" si="19"/>
        <v>0.34999999999999992</v>
      </c>
      <c r="Q276" t="s">
        <v>147</v>
      </c>
    </row>
    <row r="277" spans="1:17" x14ac:dyDescent="0.3">
      <c r="A277" t="s">
        <v>427</v>
      </c>
      <c r="B277" s="7">
        <v>45464</v>
      </c>
      <c r="C277" t="s">
        <v>146</v>
      </c>
      <c r="D277" t="s">
        <v>131</v>
      </c>
      <c r="E277" t="s">
        <v>150</v>
      </c>
      <c r="F277" t="s">
        <v>124</v>
      </c>
      <c r="G277" t="s">
        <v>56</v>
      </c>
      <c r="H277" t="s">
        <v>57</v>
      </c>
      <c r="I277" t="s">
        <v>31</v>
      </c>
      <c r="J277">
        <v>8</v>
      </c>
      <c r="K277">
        <v>508.41</v>
      </c>
      <c r="L277">
        <v>0.15</v>
      </c>
      <c r="M277">
        <f t="shared" si="16"/>
        <v>3457.1880000000001</v>
      </c>
      <c r="N277">
        <f t="shared" si="17"/>
        <v>2247.1722</v>
      </c>
      <c r="O277">
        <f t="shared" si="18"/>
        <v>1210.0158000000001</v>
      </c>
      <c r="P277">
        <f t="shared" si="19"/>
        <v>0.35000000000000003</v>
      </c>
      <c r="Q277" t="s">
        <v>144</v>
      </c>
    </row>
    <row r="278" spans="1:17" x14ac:dyDescent="0.3">
      <c r="A278" t="s">
        <v>428</v>
      </c>
      <c r="B278" s="7">
        <v>45352</v>
      </c>
      <c r="C278" t="s">
        <v>167</v>
      </c>
      <c r="D278" t="s">
        <v>127</v>
      </c>
      <c r="E278" t="s">
        <v>128</v>
      </c>
      <c r="F278" t="s">
        <v>143</v>
      </c>
      <c r="G278" t="s">
        <v>13</v>
      </c>
      <c r="H278" t="s">
        <v>14</v>
      </c>
      <c r="I278" t="s">
        <v>15</v>
      </c>
      <c r="J278">
        <v>13</v>
      </c>
      <c r="K278">
        <v>855.57</v>
      </c>
      <c r="L278">
        <v>0</v>
      </c>
      <c r="M278">
        <f t="shared" si="16"/>
        <v>11122.41</v>
      </c>
      <c r="N278">
        <f t="shared" si="17"/>
        <v>7229.5664999999999</v>
      </c>
      <c r="O278">
        <f t="shared" si="18"/>
        <v>3892.8434999999999</v>
      </c>
      <c r="P278">
        <f t="shared" si="19"/>
        <v>0.35</v>
      </c>
      <c r="Q278" t="s">
        <v>144</v>
      </c>
    </row>
    <row r="279" spans="1:17" x14ac:dyDescent="0.3">
      <c r="A279" t="s">
        <v>429</v>
      </c>
      <c r="B279" s="7">
        <v>45528</v>
      </c>
      <c r="C279" t="s">
        <v>157</v>
      </c>
      <c r="D279" t="s">
        <v>122</v>
      </c>
      <c r="E279" t="s">
        <v>150</v>
      </c>
      <c r="F279" t="s">
        <v>132</v>
      </c>
      <c r="G279" t="s">
        <v>33</v>
      </c>
      <c r="H279" t="s">
        <v>34</v>
      </c>
      <c r="I279" t="s">
        <v>11</v>
      </c>
      <c r="J279">
        <v>9</v>
      </c>
      <c r="K279">
        <v>1493.4</v>
      </c>
      <c r="L279">
        <v>0</v>
      </c>
      <c r="M279">
        <f t="shared" si="16"/>
        <v>13440.6</v>
      </c>
      <c r="N279">
        <f t="shared" si="17"/>
        <v>8736.3900000000012</v>
      </c>
      <c r="O279">
        <f t="shared" si="18"/>
        <v>4704.2099999999991</v>
      </c>
      <c r="P279">
        <f t="shared" si="19"/>
        <v>0.34999999999999992</v>
      </c>
      <c r="Q279" t="s">
        <v>135</v>
      </c>
    </row>
    <row r="280" spans="1:17" x14ac:dyDescent="0.3">
      <c r="A280" t="s">
        <v>430</v>
      </c>
      <c r="B280" s="7">
        <v>45786</v>
      </c>
      <c r="C280" t="s">
        <v>160</v>
      </c>
      <c r="D280" t="s">
        <v>131</v>
      </c>
      <c r="E280" t="s">
        <v>128</v>
      </c>
      <c r="F280" t="s">
        <v>132</v>
      </c>
      <c r="G280" t="s">
        <v>56</v>
      </c>
      <c r="H280" t="s">
        <v>57</v>
      </c>
      <c r="I280" t="s">
        <v>31</v>
      </c>
      <c r="J280">
        <v>9</v>
      </c>
      <c r="K280">
        <v>520.35</v>
      </c>
      <c r="L280">
        <v>0</v>
      </c>
      <c r="M280">
        <f t="shared" si="16"/>
        <v>4683.1500000000005</v>
      </c>
      <c r="N280">
        <f t="shared" si="17"/>
        <v>3044.0475000000006</v>
      </c>
      <c r="O280">
        <f t="shared" si="18"/>
        <v>1639.1025</v>
      </c>
      <c r="P280">
        <f t="shared" si="19"/>
        <v>0.35</v>
      </c>
      <c r="Q280" t="s">
        <v>135</v>
      </c>
    </row>
    <row r="281" spans="1:17" x14ac:dyDescent="0.3">
      <c r="A281" t="s">
        <v>431</v>
      </c>
      <c r="B281" s="7">
        <v>45573</v>
      </c>
      <c r="C281" t="s">
        <v>167</v>
      </c>
      <c r="D281" t="s">
        <v>131</v>
      </c>
      <c r="E281" t="s">
        <v>128</v>
      </c>
      <c r="F281" t="s">
        <v>138</v>
      </c>
      <c r="G281" t="s">
        <v>47</v>
      </c>
      <c r="H281" t="s">
        <v>48</v>
      </c>
      <c r="I281" t="s">
        <v>15</v>
      </c>
      <c r="J281">
        <v>13</v>
      </c>
      <c r="K281">
        <v>1252.77</v>
      </c>
      <c r="L281">
        <v>0</v>
      </c>
      <c r="M281">
        <f t="shared" si="16"/>
        <v>16286.01</v>
      </c>
      <c r="N281">
        <f t="shared" si="17"/>
        <v>10585.906500000001</v>
      </c>
      <c r="O281">
        <f t="shared" si="18"/>
        <v>5700.1034999999993</v>
      </c>
      <c r="P281">
        <f t="shared" si="19"/>
        <v>0.34999999999999992</v>
      </c>
      <c r="Q281" t="s">
        <v>125</v>
      </c>
    </row>
    <row r="282" spans="1:17" x14ac:dyDescent="0.3">
      <c r="A282" t="s">
        <v>432</v>
      </c>
      <c r="B282" s="7">
        <v>45390</v>
      </c>
      <c r="C282" t="s">
        <v>167</v>
      </c>
      <c r="D282" t="s">
        <v>127</v>
      </c>
      <c r="E282" t="s">
        <v>150</v>
      </c>
      <c r="F282" t="s">
        <v>124</v>
      </c>
      <c r="G282" t="s">
        <v>60</v>
      </c>
      <c r="H282" t="s">
        <v>61</v>
      </c>
      <c r="I282" t="s">
        <v>15</v>
      </c>
      <c r="J282">
        <v>9</v>
      </c>
      <c r="K282">
        <v>219.43</v>
      </c>
      <c r="L282">
        <v>0.05</v>
      </c>
      <c r="M282">
        <f t="shared" si="16"/>
        <v>1876.1265000000001</v>
      </c>
      <c r="N282">
        <f t="shared" si="17"/>
        <v>1219.4822250000002</v>
      </c>
      <c r="O282">
        <f t="shared" si="18"/>
        <v>656.64427499999988</v>
      </c>
      <c r="P282">
        <f t="shared" si="19"/>
        <v>0.34999999999999992</v>
      </c>
      <c r="Q282" t="s">
        <v>125</v>
      </c>
    </row>
    <row r="283" spans="1:17" x14ac:dyDescent="0.3">
      <c r="A283" t="s">
        <v>433</v>
      </c>
      <c r="B283" s="7">
        <v>45698</v>
      </c>
      <c r="C283" t="s">
        <v>157</v>
      </c>
      <c r="D283" t="s">
        <v>131</v>
      </c>
      <c r="E283" t="s">
        <v>137</v>
      </c>
      <c r="F283" t="s">
        <v>154</v>
      </c>
      <c r="G283" t="s">
        <v>58</v>
      </c>
      <c r="H283" t="s">
        <v>59</v>
      </c>
      <c r="I283" t="s">
        <v>11</v>
      </c>
      <c r="J283">
        <v>4</v>
      </c>
      <c r="K283">
        <v>1730.89</v>
      </c>
      <c r="L283">
        <v>0</v>
      </c>
      <c r="M283">
        <f t="shared" si="16"/>
        <v>6923.56</v>
      </c>
      <c r="N283">
        <f t="shared" si="17"/>
        <v>4500.3140000000003</v>
      </c>
      <c r="O283">
        <f t="shared" si="18"/>
        <v>2423.2460000000001</v>
      </c>
      <c r="P283">
        <f t="shared" si="19"/>
        <v>0.35</v>
      </c>
      <c r="Q283" t="s">
        <v>125</v>
      </c>
    </row>
    <row r="284" spans="1:17" x14ac:dyDescent="0.3">
      <c r="A284" t="s">
        <v>434</v>
      </c>
      <c r="B284" s="7">
        <v>45374</v>
      </c>
      <c r="C284" t="s">
        <v>160</v>
      </c>
      <c r="D284" t="s">
        <v>122</v>
      </c>
      <c r="E284" t="s">
        <v>128</v>
      </c>
      <c r="F284" t="s">
        <v>132</v>
      </c>
      <c r="G284" t="s">
        <v>45</v>
      </c>
      <c r="H284" t="s">
        <v>46</v>
      </c>
      <c r="I284" t="s">
        <v>11</v>
      </c>
      <c r="J284">
        <v>7</v>
      </c>
      <c r="K284">
        <v>2222.36</v>
      </c>
      <c r="L284">
        <v>0.1</v>
      </c>
      <c r="M284">
        <f t="shared" si="16"/>
        <v>14000.868</v>
      </c>
      <c r="N284">
        <f t="shared" si="17"/>
        <v>9100.5642000000007</v>
      </c>
      <c r="O284">
        <f t="shared" si="18"/>
        <v>4900.3037999999997</v>
      </c>
      <c r="P284">
        <f t="shared" si="19"/>
        <v>0.35</v>
      </c>
      <c r="Q284" t="s">
        <v>125</v>
      </c>
    </row>
    <row r="285" spans="1:17" x14ac:dyDescent="0.3">
      <c r="A285" t="s">
        <v>435</v>
      </c>
      <c r="B285" s="7">
        <v>45301</v>
      </c>
      <c r="C285" t="s">
        <v>146</v>
      </c>
      <c r="D285" t="s">
        <v>127</v>
      </c>
      <c r="E285" t="s">
        <v>128</v>
      </c>
      <c r="F285" t="s">
        <v>154</v>
      </c>
      <c r="G285" t="s">
        <v>47</v>
      </c>
      <c r="H285" t="s">
        <v>48</v>
      </c>
      <c r="I285" t="s">
        <v>15</v>
      </c>
      <c r="J285">
        <v>11</v>
      </c>
      <c r="K285">
        <v>1234.1300000000001</v>
      </c>
      <c r="L285">
        <v>0.15</v>
      </c>
      <c r="M285">
        <f t="shared" si="16"/>
        <v>11539.1155</v>
      </c>
      <c r="N285">
        <f t="shared" si="17"/>
        <v>7500.4250750000001</v>
      </c>
      <c r="O285">
        <f t="shared" si="18"/>
        <v>4038.6904249999998</v>
      </c>
      <c r="P285">
        <f t="shared" si="19"/>
        <v>0.35</v>
      </c>
      <c r="Q285" t="s">
        <v>125</v>
      </c>
    </row>
    <row r="286" spans="1:17" x14ac:dyDescent="0.3">
      <c r="A286" t="s">
        <v>436</v>
      </c>
      <c r="B286" s="7">
        <v>45832</v>
      </c>
      <c r="C286" t="s">
        <v>171</v>
      </c>
      <c r="D286" t="s">
        <v>127</v>
      </c>
      <c r="E286" t="s">
        <v>150</v>
      </c>
      <c r="F286" t="s">
        <v>124</v>
      </c>
      <c r="G286" t="s">
        <v>58</v>
      </c>
      <c r="H286" t="s">
        <v>59</v>
      </c>
      <c r="I286" t="s">
        <v>11</v>
      </c>
      <c r="J286">
        <v>8</v>
      </c>
      <c r="K286">
        <v>1612.23</v>
      </c>
      <c r="L286">
        <v>0</v>
      </c>
      <c r="M286">
        <f t="shared" si="16"/>
        <v>12897.84</v>
      </c>
      <c r="N286">
        <f t="shared" si="17"/>
        <v>8383.5959999999995</v>
      </c>
      <c r="O286">
        <f t="shared" si="18"/>
        <v>4514.2440000000006</v>
      </c>
      <c r="P286">
        <f t="shared" si="19"/>
        <v>0.35000000000000003</v>
      </c>
      <c r="Q286" t="s">
        <v>144</v>
      </c>
    </row>
    <row r="287" spans="1:17" x14ac:dyDescent="0.3">
      <c r="A287" t="s">
        <v>437</v>
      </c>
      <c r="B287" s="7">
        <v>45579</v>
      </c>
      <c r="C287" t="s">
        <v>171</v>
      </c>
      <c r="D287" t="s">
        <v>122</v>
      </c>
      <c r="E287" t="s">
        <v>128</v>
      </c>
      <c r="F287" t="s">
        <v>124</v>
      </c>
      <c r="G287" t="s">
        <v>41</v>
      </c>
      <c r="H287" t="s">
        <v>42</v>
      </c>
      <c r="I287" t="s">
        <v>27</v>
      </c>
      <c r="J287">
        <v>1</v>
      </c>
      <c r="K287">
        <v>392.31</v>
      </c>
      <c r="L287">
        <v>0.15</v>
      </c>
      <c r="M287">
        <f t="shared" si="16"/>
        <v>333.46350000000001</v>
      </c>
      <c r="N287">
        <f t="shared" si="17"/>
        <v>216.75127500000002</v>
      </c>
      <c r="O287">
        <f t="shared" si="18"/>
        <v>116.71222499999999</v>
      </c>
      <c r="P287">
        <f t="shared" si="19"/>
        <v>0.35</v>
      </c>
      <c r="Q287" t="s">
        <v>125</v>
      </c>
    </row>
    <row r="288" spans="1:17" x14ac:dyDescent="0.3">
      <c r="A288" t="s">
        <v>438</v>
      </c>
      <c r="B288" s="7">
        <v>45699</v>
      </c>
      <c r="C288" t="s">
        <v>171</v>
      </c>
      <c r="D288" t="s">
        <v>127</v>
      </c>
      <c r="E288" t="s">
        <v>123</v>
      </c>
      <c r="F288" t="s">
        <v>124</v>
      </c>
      <c r="G288" t="s">
        <v>58</v>
      </c>
      <c r="H288" t="s">
        <v>59</v>
      </c>
      <c r="I288" t="s">
        <v>11</v>
      </c>
      <c r="J288">
        <v>4</v>
      </c>
      <c r="K288">
        <v>1661</v>
      </c>
      <c r="L288">
        <v>0.1</v>
      </c>
      <c r="M288">
        <f t="shared" si="16"/>
        <v>5979.6</v>
      </c>
      <c r="N288">
        <f t="shared" si="17"/>
        <v>3886.7400000000002</v>
      </c>
      <c r="O288">
        <f t="shared" si="18"/>
        <v>2092.86</v>
      </c>
      <c r="P288">
        <f t="shared" si="19"/>
        <v>0.35</v>
      </c>
      <c r="Q288" t="s">
        <v>144</v>
      </c>
    </row>
    <row r="289" spans="1:17" x14ac:dyDescent="0.3">
      <c r="A289" t="s">
        <v>439</v>
      </c>
      <c r="B289" s="7">
        <v>45631</v>
      </c>
      <c r="C289" t="s">
        <v>142</v>
      </c>
      <c r="D289" t="s">
        <v>122</v>
      </c>
      <c r="E289" t="s">
        <v>150</v>
      </c>
      <c r="F289" t="s">
        <v>143</v>
      </c>
      <c r="G289" t="s">
        <v>17</v>
      </c>
      <c r="H289" t="s">
        <v>18</v>
      </c>
      <c r="I289" t="s">
        <v>19</v>
      </c>
      <c r="J289">
        <v>9</v>
      </c>
      <c r="K289">
        <v>122.95</v>
      </c>
      <c r="L289">
        <v>0.05</v>
      </c>
      <c r="M289">
        <f t="shared" si="16"/>
        <v>1051.2224999999999</v>
      </c>
      <c r="N289">
        <f t="shared" si="17"/>
        <v>683.29462499999988</v>
      </c>
      <c r="O289">
        <f t="shared" si="18"/>
        <v>367.92787499999997</v>
      </c>
      <c r="P289">
        <f t="shared" si="19"/>
        <v>0.35000000000000003</v>
      </c>
      <c r="Q289" t="s">
        <v>125</v>
      </c>
    </row>
    <row r="290" spans="1:17" x14ac:dyDescent="0.3">
      <c r="A290" t="s">
        <v>440</v>
      </c>
      <c r="B290" s="7">
        <v>45392</v>
      </c>
      <c r="C290" t="s">
        <v>142</v>
      </c>
      <c r="D290" t="s">
        <v>127</v>
      </c>
      <c r="E290" t="s">
        <v>128</v>
      </c>
      <c r="F290" t="s">
        <v>152</v>
      </c>
      <c r="G290" t="s">
        <v>60</v>
      </c>
      <c r="H290" t="s">
        <v>61</v>
      </c>
      <c r="I290" t="s">
        <v>15</v>
      </c>
      <c r="J290">
        <v>13</v>
      </c>
      <c r="K290">
        <v>227.56</v>
      </c>
      <c r="L290">
        <v>0.15</v>
      </c>
      <c r="M290">
        <f t="shared" si="16"/>
        <v>2514.538</v>
      </c>
      <c r="N290">
        <f t="shared" si="17"/>
        <v>1634.4497000000001</v>
      </c>
      <c r="O290">
        <f t="shared" si="18"/>
        <v>880.08829999999989</v>
      </c>
      <c r="P290">
        <f t="shared" si="19"/>
        <v>0.35</v>
      </c>
      <c r="Q290" t="s">
        <v>147</v>
      </c>
    </row>
    <row r="291" spans="1:17" x14ac:dyDescent="0.3">
      <c r="A291" t="s">
        <v>441</v>
      </c>
      <c r="B291" s="7">
        <v>45626</v>
      </c>
      <c r="C291" t="s">
        <v>121</v>
      </c>
      <c r="D291" t="s">
        <v>122</v>
      </c>
      <c r="E291" t="s">
        <v>123</v>
      </c>
      <c r="F291" t="s">
        <v>154</v>
      </c>
      <c r="G291" t="s">
        <v>51</v>
      </c>
      <c r="H291" t="s">
        <v>52</v>
      </c>
      <c r="I291" t="s">
        <v>23</v>
      </c>
      <c r="J291">
        <v>4</v>
      </c>
      <c r="K291">
        <v>49.28</v>
      </c>
      <c r="L291">
        <v>0.1</v>
      </c>
      <c r="M291">
        <f t="shared" si="16"/>
        <v>177.40800000000002</v>
      </c>
      <c r="N291">
        <f t="shared" si="17"/>
        <v>115.31520000000002</v>
      </c>
      <c r="O291">
        <f t="shared" si="18"/>
        <v>62.092799999999997</v>
      </c>
      <c r="P291">
        <f t="shared" si="19"/>
        <v>0.35</v>
      </c>
      <c r="Q291" t="s">
        <v>147</v>
      </c>
    </row>
    <row r="292" spans="1:17" x14ac:dyDescent="0.3">
      <c r="A292" t="s">
        <v>442</v>
      </c>
      <c r="B292" s="7">
        <v>45482</v>
      </c>
      <c r="C292" t="s">
        <v>160</v>
      </c>
      <c r="D292" t="s">
        <v>122</v>
      </c>
      <c r="E292" t="s">
        <v>137</v>
      </c>
      <c r="F292" t="s">
        <v>132</v>
      </c>
      <c r="G292" t="s">
        <v>60</v>
      </c>
      <c r="H292" t="s">
        <v>61</v>
      </c>
      <c r="I292" t="s">
        <v>15</v>
      </c>
      <c r="J292">
        <v>5</v>
      </c>
      <c r="K292">
        <v>231.71</v>
      </c>
      <c r="L292">
        <v>0</v>
      </c>
      <c r="M292">
        <f t="shared" si="16"/>
        <v>1158.55</v>
      </c>
      <c r="N292">
        <f t="shared" si="17"/>
        <v>753.0575</v>
      </c>
      <c r="O292">
        <f t="shared" si="18"/>
        <v>405.49249999999995</v>
      </c>
      <c r="P292">
        <f t="shared" si="19"/>
        <v>0.35</v>
      </c>
      <c r="Q292" t="s">
        <v>125</v>
      </c>
    </row>
    <row r="293" spans="1:17" x14ac:dyDescent="0.3">
      <c r="A293" t="s">
        <v>443</v>
      </c>
      <c r="B293" s="7">
        <v>45566</v>
      </c>
      <c r="C293" t="s">
        <v>245</v>
      </c>
      <c r="D293" t="s">
        <v>131</v>
      </c>
      <c r="E293" t="s">
        <v>150</v>
      </c>
      <c r="F293" t="s">
        <v>143</v>
      </c>
      <c r="G293" t="s">
        <v>45</v>
      </c>
      <c r="H293" t="s">
        <v>46</v>
      </c>
      <c r="I293" t="s">
        <v>11</v>
      </c>
      <c r="J293">
        <v>6</v>
      </c>
      <c r="K293">
        <v>2218.66</v>
      </c>
      <c r="L293">
        <v>0</v>
      </c>
      <c r="M293">
        <f t="shared" si="16"/>
        <v>13311.96</v>
      </c>
      <c r="N293">
        <f t="shared" si="17"/>
        <v>8652.7739999999994</v>
      </c>
      <c r="O293">
        <f t="shared" si="18"/>
        <v>4659.1859999999997</v>
      </c>
      <c r="P293">
        <f t="shared" si="19"/>
        <v>0.35</v>
      </c>
      <c r="Q293" t="s">
        <v>125</v>
      </c>
    </row>
    <row r="294" spans="1:17" x14ac:dyDescent="0.3">
      <c r="A294" t="s">
        <v>444</v>
      </c>
      <c r="B294" s="7">
        <v>45607</v>
      </c>
      <c r="C294" t="s">
        <v>164</v>
      </c>
      <c r="D294" t="s">
        <v>131</v>
      </c>
      <c r="E294" t="s">
        <v>123</v>
      </c>
      <c r="F294" t="s">
        <v>132</v>
      </c>
      <c r="G294" t="s">
        <v>25</v>
      </c>
      <c r="H294" t="s">
        <v>26</v>
      </c>
      <c r="I294" t="s">
        <v>27</v>
      </c>
      <c r="J294">
        <v>2</v>
      </c>
      <c r="K294">
        <v>1307.8</v>
      </c>
      <c r="L294">
        <v>0.1</v>
      </c>
      <c r="M294">
        <f t="shared" si="16"/>
        <v>2354.04</v>
      </c>
      <c r="N294">
        <f t="shared" si="17"/>
        <v>1530.126</v>
      </c>
      <c r="O294">
        <f t="shared" si="18"/>
        <v>823.91399999999999</v>
      </c>
      <c r="P294">
        <f t="shared" si="19"/>
        <v>0.35</v>
      </c>
      <c r="Q294" t="s">
        <v>135</v>
      </c>
    </row>
    <row r="295" spans="1:17" x14ac:dyDescent="0.3">
      <c r="A295" t="s">
        <v>445</v>
      </c>
      <c r="B295" s="7">
        <v>45816</v>
      </c>
      <c r="C295" t="s">
        <v>142</v>
      </c>
      <c r="D295" t="s">
        <v>127</v>
      </c>
      <c r="E295" t="s">
        <v>128</v>
      </c>
      <c r="F295" t="s">
        <v>132</v>
      </c>
      <c r="G295" t="s">
        <v>43</v>
      </c>
      <c r="H295" t="s">
        <v>44</v>
      </c>
      <c r="I295" t="s">
        <v>31</v>
      </c>
      <c r="J295">
        <v>9</v>
      </c>
      <c r="K295">
        <v>172.68</v>
      </c>
      <c r="L295">
        <v>0.15</v>
      </c>
      <c r="M295">
        <f t="shared" si="16"/>
        <v>1321.002</v>
      </c>
      <c r="N295">
        <f t="shared" si="17"/>
        <v>858.65129999999999</v>
      </c>
      <c r="O295">
        <f t="shared" si="18"/>
        <v>462.35069999999996</v>
      </c>
      <c r="P295">
        <f t="shared" si="19"/>
        <v>0.35</v>
      </c>
      <c r="Q295" t="s">
        <v>125</v>
      </c>
    </row>
    <row r="296" spans="1:17" x14ac:dyDescent="0.3">
      <c r="A296" t="s">
        <v>446</v>
      </c>
      <c r="B296" s="7">
        <v>45686</v>
      </c>
      <c r="C296" t="s">
        <v>121</v>
      </c>
      <c r="D296" t="s">
        <v>131</v>
      </c>
      <c r="E296" t="s">
        <v>137</v>
      </c>
      <c r="F296" t="s">
        <v>154</v>
      </c>
      <c r="G296" t="s">
        <v>17</v>
      </c>
      <c r="H296" t="s">
        <v>18</v>
      </c>
      <c r="I296" t="s">
        <v>19</v>
      </c>
      <c r="J296">
        <v>12</v>
      </c>
      <c r="K296">
        <v>124.81</v>
      </c>
      <c r="L296">
        <v>0</v>
      </c>
      <c r="M296">
        <f t="shared" si="16"/>
        <v>1497.72</v>
      </c>
      <c r="N296">
        <f t="shared" si="17"/>
        <v>973.51800000000003</v>
      </c>
      <c r="O296">
        <f t="shared" si="18"/>
        <v>524.202</v>
      </c>
      <c r="P296">
        <f t="shared" si="19"/>
        <v>0.35</v>
      </c>
      <c r="Q296" t="s">
        <v>135</v>
      </c>
    </row>
    <row r="297" spans="1:17" x14ac:dyDescent="0.3">
      <c r="A297" t="s">
        <v>447</v>
      </c>
      <c r="B297" s="7">
        <v>45825</v>
      </c>
      <c r="C297" t="s">
        <v>245</v>
      </c>
      <c r="D297" t="s">
        <v>122</v>
      </c>
      <c r="E297" t="s">
        <v>137</v>
      </c>
      <c r="F297" t="s">
        <v>124</v>
      </c>
      <c r="G297" t="s">
        <v>25</v>
      </c>
      <c r="H297" t="s">
        <v>26</v>
      </c>
      <c r="I297" t="s">
        <v>27</v>
      </c>
      <c r="J297">
        <v>5</v>
      </c>
      <c r="K297">
        <v>1323.15</v>
      </c>
      <c r="L297">
        <v>0.1</v>
      </c>
      <c r="M297">
        <f t="shared" si="16"/>
        <v>5954.1750000000002</v>
      </c>
      <c r="N297">
        <f t="shared" si="17"/>
        <v>3870.2137500000003</v>
      </c>
      <c r="O297">
        <f t="shared" si="18"/>
        <v>2083.9612499999998</v>
      </c>
      <c r="P297">
        <f t="shared" si="19"/>
        <v>0.35</v>
      </c>
      <c r="Q297" t="s">
        <v>125</v>
      </c>
    </row>
    <row r="298" spans="1:17" x14ac:dyDescent="0.3">
      <c r="A298" t="s">
        <v>448</v>
      </c>
      <c r="B298" s="7">
        <v>45356</v>
      </c>
      <c r="C298" t="s">
        <v>245</v>
      </c>
      <c r="D298" t="s">
        <v>131</v>
      </c>
      <c r="E298" t="s">
        <v>123</v>
      </c>
      <c r="F298" t="s">
        <v>154</v>
      </c>
      <c r="G298" t="s">
        <v>39</v>
      </c>
      <c r="H298" t="s">
        <v>40</v>
      </c>
      <c r="I298" t="s">
        <v>23</v>
      </c>
      <c r="J298">
        <v>8</v>
      </c>
      <c r="K298">
        <v>61.7</v>
      </c>
      <c r="L298">
        <v>0.05</v>
      </c>
      <c r="M298">
        <f t="shared" si="16"/>
        <v>468.92</v>
      </c>
      <c r="N298">
        <f t="shared" si="17"/>
        <v>304.798</v>
      </c>
      <c r="O298">
        <f t="shared" si="18"/>
        <v>164.12200000000001</v>
      </c>
      <c r="P298">
        <f t="shared" si="19"/>
        <v>0.35000000000000003</v>
      </c>
      <c r="Q298" t="s">
        <v>125</v>
      </c>
    </row>
    <row r="299" spans="1:17" x14ac:dyDescent="0.3">
      <c r="A299" t="s">
        <v>449</v>
      </c>
      <c r="B299" s="7">
        <v>45544</v>
      </c>
      <c r="C299" t="s">
        <v>146</v>
      </c>
      <c r="D299" t="s">
        <v>122</v>
      </c>
      <c r="E299" t="s">
        <v>137</v>
      </c>
      <c r="F299" t="s">
        <v>138</v>
      </c>
      <c r="G299" t="s">
        <v>60</v>
      </c>
      <c r="H299" t="s">
        <v>61</v>
      </c>
      <c r="I299" t="s">
        <v>15</v>
      </c>
      <c r="J299">
        <v>4</v>
      </c>
      <c r="K299">
        <v>224.05</v>
      </c>
      <c r="L299">
        <v>0</v>
      </c>
      <c r="M299">
        <f t="shared" si="16"/>
        <v>896.2</v>
      </c>
      <c r="N299">
        <f t="shared" si="17"/>
        <v>582.53000000000009</v>
      </c>
      <c r="O299">
        <f t="shared" si="18"/>
        <v>313.66999999999996</v>
      </c>
      <c r="P299">
        <f t="shared" si="19"/>
        <v>0.34999999999999992</v>
      </c>
      <c r="Q299" t="s">
        <v>125</v>
      </c>
    </row>
    <row r="300" spans="1:17" x14ac:dyDescent="0.3">
      <c r="A300" t="s">
        <v>450</v>
      </c>
      <c r="B300" s="7">
        <v>45298</v>
      </c>
      <c r="C300" t="s">
        <v>142</v>
      </c>
      <c r="D300" t="s">
        <v>131</v>
      </c>
      <c r="E300" t="s">
        <v>137</v>
      </c>
      <c r="F300" t="s">
        <v>152</v>
      </c>
      <c r="G300" t="s">
        <v>49</v>
      </c>
      <c r="H300" t="s">
        <v>50</v>
      </c>
      <c r="I300" t="s">
        <v>19</v>
      </c>
      <c r="J300">
        <v>6</v>
      </c>
      <c r="K300">
        <v>223.44</v>
      </c>
      <c r="L300">
        <v>0.15</v>
      </c>
      <c r="M300">
        <f t="shared" si="16"/>
        <v>1139.5439999999999</v>
      </c>
      <c r="N300">
        <f t="shared" si="17"/>
        <v>740.70359999999994</v>
      </c>
      <c r="O300">
        <f t="shared" si="18"/>
        <v>398.84039999999993</v>
      </c>
      <c r="P300">
        <f t="shared" si="19"/>
        <v>0.35</v>
      </c>
      <c r="Q300" t="s">
        <v>125</v>
      </c>
    </row>
    <row r="301" spans="1:17" x14ac:dyDescent="0.3">
      <c r="A301" t="s">
        <v>451</v>
      </c>
      <c r="B301" s="7">
        <v>45599</v>
      </c>
      <c r="C301" t="s">
        <v>174</v>
      </c>
      <c r="D301" t="s">
        <v>122</v>
      </c>
      <c r="E301" t="s">
        <v>150</v>
      </c>
      <c r="F301" t="s">
        <v>154</v>
      </c>
      <c r="G301" t="s">
        <v>41</v>
      </c>
      <c r="H301" t="s">
        <v>42</v>
      </c>
      <c r="I301" t="s">
        <v>27</v>
      </c>
      <c r="J301">
        <v>3</v>
      </c>
      <c r="K301">
        <v>392.42</v>
      </c>
      <c r="L301">
        <v>0.05</v>
      </c>
      <c r="M301">
        <f t="shared" si="16"/>
        <v>1118.3969999999999</v>
      </c>
      <c r="N301">
        <f t="shared" si="17"/>
        <v>726.95804999999996</v>
      </c>
      <c r="O301">
        <f t="shared" si="18"/>
        <v>391.43894999999998</v>
      </c>
      <c r="P301">
        <f t="shared" si="19"/>
        <v>0.35</v>
      </c>
      <c r="Q301" t="s">
        <v>125</v>
      </c>
    </row>
    <row r="302" spans="1:17" x14ac:dyDescent="0.3">
      <c r="A302" t="s">
        <v>452</v>
      </c>
      <c r="B302" s="7">
        <v>45794</v>
      </c>
      <c r="C302" t="s">
        <v>140</v>
      </c>
      <c r="D302" t="s">
        <v>127</v>
      </c>
      <c r="E302" t="s">
        <v>123</v>
      </c>
      <c r="F302" t="s">
        <v>154</v>
      </c>
      <c r="G302" t="s">
        <v>37</v>
      </c>
      <c r="H302" t="s">
        <v>38</v>
      </c>
      <c r="I302" t="s">
        <v>19</v>
      </c>
      <c r="J302">
        <v>14</v>
      </c>
      <c r="K302">
        <v>77.14</v>
      </c>
      <c r="L302">
        <v>0.05</v>
      </c>
      <c r="M302">
        <f t="shared" si="16"/>
        <v>1025.962</v>
      </c>
      <c r="N302">
        <f t="shared" si="17"/>
        <v>666.87530000000004</v>
      </c>
      <c r="O302">
        <f t="shared" si="18"/>
        <v>359.08669999999995</v>
      </c>
      <c r="P302">
        <f t="shared" si="19"/>
        <v>0.35</v>
      </c>
      <c r="Q302" t="s">
        <v>125</v>
      </c>
    </row>
    <row r="303" spans="1:17" x14ac:dyDescent="0.3">
      <c r="A303" t="s">
        <v>453</v>
      </c>
      <c r="B303" s="7">
        <v>45496</v>
      </c>
      <c r="C303" t="s">
        <v>140</v>
      </c>
      <c r="D303" t="s">
        <v>122</v>
      </c>
      <c r="E303" t="s">
        <v>150</v>
      </c>
      <c r="F303" t="s">
        <v>143</v>
      </c>
      <c r="G303" t="s">
        <v>56</v>
      </c>
      <c r="H303" t="s">
        <v>57</v>
      </c>
      <c r="I303" t="s">
        <v>31</v>
      </c>
      <c r="J303">
        <v>1</v>
      </c>
      <c r="K303">
        <v>548.78</v>
      </c>
      <c r="L303">
        <v>0.1</v>
      </c>
      <c r="M303">
        <f t="shared" si="16"/>
        <v>493.90199999999999</v>
      </c>
      <c r="N303">
        <f t="shared" si="17"/>
        <v>321.03629999999998</v>
      </c>
      <c r="O303">
        <f t="shared" si="18"/>
        <v>172.8657</v>
      </c>
      <c r="P303">
        <f t="shared" si="19"/>
        <v>0.35000000000000003</v>
      </c>
      <c r="Q303" t="s">
        <v>144</v>
      </c>
    </row>
    <row r="304" spans="1:17" x14ac:dyDescent="0.3">
      <c r="A304" t="s">
        <v>454</v>
      </c>
      <c r="B304" s="7">
        <v>45506</v>
      </c>
      <c r="C304" t="s">
        <v>164</v>
      </c>
      <c r="D304" t="s">
        <v>131</v>
      </c>
      <c r="E304" t="s">
        <v>128</v>
      </c>
      <c r="F304" t="s">
        <v>154</v>
      </c>
      <c r="G304" t="s">
        <v>51</v>
      </c>
      <c r="H304" t="s">
        <v>52</v>
      </c>
      <c r="I304" t="s">
        <v>23</v>
      </c>
      <c r="J304">
        <v>3</v>
      </c>
      <c r="K304">
        <v>50.67</v>
      </c>
      <c r="L304">
        <v>0</v>
      </c>
      <c r="M304">
        <f t="shared" si="16"/>
        <v>152.01</v>
      </c>
      <c r="N304">
        <f t="shared" si="17"/>
        <v>98.8065</v>
      </c>
      <c r="O304">
        <f t="shared" si="18"/>
        <v>53.203499999999991</v>
      </c>
      <c r="P304">
        <f t="shared" si="19"/>
        <v>0.35</v>
      </c>
      <c r="Q304" t="s">
        <v>125</v>
      </c>
    </row>
    <row r="305" spans="1:17" x14ac:dyDescent="0.3">
      <c r="A305" t="s">
        <v>455</v>
      </c>
      <c r="B305" s="7">
        <v>45449</v>
      </c>
      <c r="C305" t="s">
        <v>146</v>
      </c>
      <c r="D305" t="s">
        <v>131</v>
      </c>
      <c r="E305" t="s">
        <v>137</v>
      </c>
      <c r="F305" t="s">
        <v>132</v>
      </c>
      <c r="G305" t="s">
        <v>49</v>
      </c>
      <c r="H305" t="s">
        <v>50</v>
      </c>
      <c r="I305" t="s">
        <v>19</v>
      </c>
      <c r="J305">
        <v>10</v>
      </c>
      <c r="K305">
        <v>224.53</v>
      </c>
      <c r="L305">
        <v>0.1</v>
      </c>
      <c r="M305">
        <f t="shared" si="16"/>
        <v>2020.7700000000002</v>
      </c>
      <c r="N305">
        <f t="shared" si="17"/>
        <v>1313.5005000000001</v>
      </c>
      <c r="O305">
        <f t="shared" si="18"/>
        <v>707.26950000000011</v>
      </c>
      <c r="P305">
        <f t="shared" si="19"/>
        <v>0.35000000000000003</v>
      </c>
      <c r="Q305" t="s">
        <v>135</v>
      </c>
    </row>
    <row r="306" spans="1:17" x14ac:dyDescent="0.3">
      <c r="A306" t="s">
        <v>456</v>
      </c>
      <c r="B306" s="7">
        <v>45810</v>
      </c>
      <c r="C306" t="s">
        <v>171</v>
      </c>
      <c r="D306" t="s">
        <v>122</v>
      </c>
      <c r="E306" t="s">
        <v>137</v>
      </c>
      <c r="F306" t="s">
        <v>138</v>
      </c>
      <c r="G306" t="s">
        <v>13</v>
      </c>
      <c r="H306" t="s">
        <v>14</v>
      </c>
      <c r="I306" t="s">
        <v>15</v>
      </c>
      <c r="J306">
        <v>13</v>
      </c>
      <c r="K306">
        <v>942.16</v>
      </c>
      <c r="L306">
        <v>0.15</v>
      </c>
      <c r="M306">
        <f t="shared" si="16"/>
        <v>10410.868</v>
      </c>
      <c r="N306">
        <f t="shared" si="17"/>
        <v>6767.0642000000007</v>
      </c>
      <c r="O306">
        <f t="shared" si="18"/>
        <v>3643.8037999999997</v>
      </c>
      <c r="P306">
        <f t="shared" si="19"/>
        <v>0.35</v>
      </c>
      <c r="Q306" t="s">
        <v>135</v>
      </c>
    </row>
    <row r="307" spans="1:17" x14ac:dyDescent="0.3">
      <c r="A307" t="s">
        <v>457</v>
      </c>
      <c r="B307" s="7">
        <v>45379</v>
      </c>
      <c r="C307" t="s">
        <v>157</v>
      </c>
      <c r="D307" t="s">
        <v>127</v>
      </c>
      <c r="E307" t="s">
        <v>123</v>
      </c>
      <c r="F307" t="s">
        <v>124</v>
      </c>
      <c r="G307" t="s">
        <v>60</v>
      </c>
      <c r="H307" t="s">
        <v>61</v>
      </c>
      <c r="I307" t="s">
        <v>15</v>
      </c>
      <c r="J307">
        <v>1</v>
      </c>
      <c r="K307">
        <v>226.42</v>
      </c>
      <c r="L307">
        <v>0.1</v>
      </c>
      <c r="M307">
        <f t="shared" si="16"/>
        <v>203.77799999999999</v>
      </c>
      <c r="N307">
        <f t="shared" si="17"/>
        <v>132.45570000000001</v>
      </c>
      <c r="O307">
        <f t="shared" si="18"/>
        <v>71.322299999999984</v>
      </c>
      <c r="P307">
        <f t="shared" si="19"/>
        <v>0.34999999999999992</v>
      </c>
      <c r="Q307" t="s">
        <v>125</v>
      </c>
    </row>
    <row r="308" spans="1:17" x14ac:dyDescent="0.3">
      <c r="A308" t="s">
        <v>458</v>
      </c>
      <c r="B308" s="7">
        <v>45732</v>
      </c>
      <c r="C308" t="s">
        <v>157</v>
      </c>
      <c r="D308" t="s">
        <v>127</v>
      </c>
      <c r="E308" t="s">
        <v>128</v>
      </c>
      <c r="F308" t="s">
        <v>152</v>
      </c>
      <c r="G308" t="s">
        <v>35</v>
      </c>
      <c r="H308" t="s">
        <v>36</v>
      </c>
      <c r="I308" t="s">
        <v>15</v>
      </c>
      <c r="J308">
        <v>9</v>
      </c>
      <c r="K308">
        <v>461.11</v>
      </c>
      <c r="L308">
        <v>0.15</v>
      </c>
      <c r="M308">
        <f t="shared" si="16"/>
        <v>3527.4914999999996</v>
      </c>
      <c r="N308">
        <f t="shared" si="17"/>
        <v>2292.869475</v>
      </c>
      <c r="O308">
        <f t="shared" si="18"/>
        <v>1234.6220249999997</v>
      </c>
      <c r="P308">
        <f t="shared" si="19"/>
        <v>0.34999999999999992</v>
      </c>
      <c r="Q308" t="s">
        <v>135</v>
      </c>
    </row>
    <row r="309" spans="1:17" x14ac:dyDescent="0.3">
      <c r="A309" t="s">
        <v>459</v>
      </c>
      <c r="B309" s="7">
        <v>45518</v>
      </c>
      <c r="C309" t="s">
        <v>164</v>
      </c>
      <c r="D309" t="s">
        <v>131</v>
      </c>
      <c r="E309" t="s">
        <v>137</v>
      </c>
      <c r="F309" t="s">
        <v>154</v>
      </c>
      <c r="G309" t="s">
        <v>58</v>
      </c>
      <c r="H309" t="s">
        <v>59</v>
      </c>
      <c r="I309" t="s">
        <v>11</v>
      </c>
      <c r="J309">
        <v>12</v>
      </c>
      <c r="K309">
        <v>1650.08</v>
      </c>
      <c r="L309">
        <v>0.05</v>
      </c>
      <c r="M309">
        <f t="shared" si="16"/>
        <v>18810.911999999997</v>
      </c>
      <c r="N309">
        <f t="shared" si="17"/>
        <v>12227.092799999999</v>
      </c>
      <c r="O309">
        <f t="shared" si="18"/>
        <v>6583.8191999999981</v>
      </c>
      <c r="P309">
        <f t="shared" si="19"/>
        <v>0.35</v>
      </c>
      <c r="Q309" t="s">
        <v>125</v>
      </c>
    </row>
    <row r="310" spans="1:17" x14ac:dyDescent="0.3">
      <c r="A310" t="s">
        <v>460</v>
      </c>
      <c r="B310" s="7">
        <v>45786</v>
      </c>
      <c r="C310" t="s">
        <v>157</v>
      </c>
      <c r="D310" t="s">
        <v>131</v>
      </c>
      <c r="E310" t="s">
        <v>137</v>
      </c>
      <c r="F310" t="s">
        <v>132</v>
      </c>
      <c r="G310" t="s">
        <v>21</v>
      </c>
      <c r="H310" t="s">
        <v>22</v>
      </c>
      <c r="I310" t="s">
        <v>23</v>
      </c>
      <c r="J310">
        <v>14</v>
      </c>
      <c r="K310">
        <v>156.61000000000001</v>
      </c>
      <c r="L310">
        <v>0</v>
      </c>
      <c r="M310">
        <f t="shared" si="16"/>
        <v>2192.54</v>
      </c>
      <c r="N310">
        <f t="shared" si="17"/>
        <v>1425.1510000000001</v>
      </c>
      <c r="O310">
        <f t="shared" si="18"/>
        <v>767.3889999999999</v>
      </c>
      <c r="P310">
        <f t="shared" si="19"/>
        <v>0.35</v>
      </c>
      <c r="Q310" t="s">
        <v>125</v>
      </c>
    </row>
    <row r="311" spans="1:17" x14ac:dyDescent="0.3">
      <c r="A311" t="s">
        <v>461</v>
      </c>
      <c r="B311" s="7">
        <v>45611</v>
      </c>
      <c r="C311" t="s">
        <v>174</v>
      </c>
      <c r="D311" t="s">
        <v>131</v>
      </c>
      <c r="E311" t="s">
        <v>150</v>
      </c>
      <c r="F311" t="s">
        <v>138</v>
      </c>
      <c r="G311" t="s">
        <v>51</v>
      </c>
      <c r="H311" t="s">
        <v>52</v>
      </c>
      <c r="I311" t="s">
        <v>23</v>
      </c>
      <c r="J311">
        <v>6</v>
      </c>
      <c r="K311">
        <v>49.88</v>
      </c>
      <c r="L311">
        <v>0.1</v>
      </c>
      <c r="M311">
        <f t="shared" si="16"/>
        <v>269.35200000000003</v>
      </c>
      <c r="N311">
        <f t="shared" si="17"/>
        <v>175.07880000000003</v>
      </c>
      <c r="O311">
        <f t="shared" si="18"/>
        <v>94.273200000000003</v>
      </c>
      <c r="P311">
        <f t="shared" si="19"/>
        <v>0.35</v>
      </c>
      <c r="Q311" t="s">
        <v>144</v>
      </c>
    </row>
    <row r="312" spans="1:17" x14ac:dyDescent="0.3">
      <c r="A312" t="s">
        <v>462</v>
      </c>
      <c r="B312" s="7">
        <v>45755</v>
      </c>
      <c r="C312" t="s">
        <v>174</v>
      </c>
      <c r="D312" t="s">
        <v>127</v>
      </c>
      <c r="E312" t="s">
        <v>123</v>
      </c>
      <c r="F312" t="s">
        <v>132</v>
      </c>
      <c r="G312" t="s">
        <v>21</v>
      </c>
      <c r="H312" t="s">
        <v>22</v>
      </c>
      <c r="I312" t="s">
        <v>23</v>
      </c>
      <c r="J312">
        <v>1</v>
      </c>
      <c r="K312">
        <v>155.24</v>
      </c>
      <c r="L312">
        <v>0</v>
      </c>
      <c r="M312">
        <f t="shared" si="16"/>
        <v>155.24</v>
      </c>
      <c r="N312">
        <f t="shared" si="17"/>
        <v>100.90600000000001</v>
      </c>
      <c r="O312">
        <f t="shared" si="18"/>
        <v>54.334000000000003</v>
      </c>
      <c r="P312">
        <f t="shared" si="19"/>
        <v>0.35</v>
      </c>
      <c r="Q312" t="s">
        <v>144</v>
      </c>
    </row>
    <row r="313" spans="1:17" x14ac:dyDescent="0.3">
      <c r="A313" t="s">
        <v>463</v>
      </c>
      <c r="B313" s="7">
        <v>45460</v>
      </c>
      <c r="C313" t="s">
        <v>171</v>
      </c>
      <c r="D313" t="s">
        <v>122</v>
      </c>
      <c r="E313" t="s">
        <v>150</v>
      </c>
      <c r="F313" t="s">
        <v>138</v>
      </c>
      <c r="G313" t="s">
        <v>29</v>
      </c>
      <c r="H313" t="s">
        <v>30</v>
      </c>
      <c r="I313" t="s">
        <v>31</v>
      </c>
      <c r="J313">
        <v>9</v>
      </c>
      <c r="K313">
        <v>579.61</v>
      </c>
      <c r="L313">
        <v>0.15</v>
      </c>
      <c r="M313">
        <f t="shared" si="16"/>
        <v>4434.0164999999997</v>
      </c>
      <c r="N313">
        <f t="shared" si="17"/>
        <v>2882.110725</v>
      </c>
      <c r="O313">
        <f t="shared" si="18"/>
        <v>1551.9057749999997</v>
      </c>
      <c r="P313">
        <f t="shared" si="19"/>
        <v>0.35</v>
      </c>
      <c r="Q313" t="s">
        <v>147</v>
      </c>
    </row>
    <row r="314" spans="1:17" x14ac:dyDescent="0.3">
      <c r="A314" t="s">
        <v>464</v>
      </c>
      <c r="B314" s="7">
        <v>45765</v>
      </c>
      <c r="C314" t="s">
        <v>130</v>
      </c>
      <c r="D314" t="s">
        <v>131</v>
      </c>
      <c r="E314" t="s">
        <v>150</v>
      </c>
      <c r="F314" t="s">
        <v>124</v>
      </c>
      <c r="G314" t="s">
        <v>47</v>
      </c>
      <c r="H314" t="s">
        <v>48</v>
      </c>
      <c r="I314" t="s">
        <v>15</v>
      </c>
      <c r="J314">
        <v>7</v>
      </c>
      <c r="K314">
        <v>1143.5</v>
      </c>
      <c r="L314">
        <v>0.15</v>
      </c>
      <c r="M314">
        <f t="shared" si="16"/>
        <v>6803.8249999999998</v>
      </c>
      <c r="N314">
        <f t="shared" si="17"/>
        <v>4422.4862499999999</v>
      </c>
      <c r="O314">
        <f t="shared" si="18"/>
        <v>2381.3387499999999</v>
      </c>
      <c r="P314">
        <f t="shared" si="19"/>
        <v>0.35</v>
      </c>
      <c r="Q314" t="s">
        <v>125</v>
      </c>
    </row>
    <row r="315" spans="1:17" x14ac:dyDescent="0.3">
      <c r="A315" t="s">
        <v>465</v>
      </c>
      <c r="B315" s="7">
        <v>45752</v>
      </c>
      <c r="C315" t="s">
        <v>140</v>
      </c>
      <c r="D315" t="s">
        <v>131</v>
      </c>
      <c r="E315" t="s">
        <v>137</v>
      </c>
      <c r="F315" t="s">
        <v>132</v>
      </c>
      <c r="G315" t="s">
        <v>33</v>
      </c>
      <c r="H315" t="s">
        <v>34</v>
      </c>
      <c r="I315" t="s">
        <v>11</v>
      </c>
      <c r="J315">
        <v>4</v>
      </c>
      <c r="K315">
        <v>1466.75</v>
      </c>
      <c r="L315">
        <v>0</v>
      </c>
      <c r="M315">
        <f t="shared" si="16"/>
        <v>5867</v>
      </c>
      <c r="N315">
        <f t="shared" si="17"/>
        <v>3813.55</v>
      </c>
      <c r="O315">
        <f t="shared" si="18"/>
        <v>2053.4499999999998</v>
      </c>
      <c r="P315">
        <f t="shared" si="19"/>
        <v>0.35</v>
      </c>
      <c r="Q315" t="s">
        <v>135</v>
      </c>
    </row>
    <row r="316" spans="1:17" x14ac:dyDescent="0.3">
      <c r="A316" t="s">
        <v>466</v>
      </c>
      <c r="B316" s="7">
        <v>45396</v>
      </c>
      <c r="C316" t="s">
        <v>134</v>
      </c>
      <c r="D316" t="s">
        <v>122</v>
      </c>
      <c r="E316" t="s">
        <v>150</v>
      </c>
      <c r="F316" t="s">
        <v>152</v>
      </c>
      <c r="G316" t="s">
        <v>41</v>
      </c>
      <c r="H316" t="s">
        <v>42</v>
      </c>
      <c r="I316" t="s">
        <v>27</v>
      </c>
      <c r="J316">
        <v>4</v>
      </c>
      <c r="K316">
        <v>373.41</v>
      </c>
      <c r="L316">
        <v>0.05</v>
      </c>
      <c r="M316">
        <f t="shared" si="16"/>
        <v>1418.9580000000001</v>
      </c>
      <c r="N316">
        <f t="shared" si="17"/>
        <v>922.32270000000005</v>
      </c>
      <c r="O316">
        <f t="shared" si="18"/>
        <v>496.63530000000003</v>
      </c>
      <c r="P316">
        <f t="shared" si="19"/>
        <v>0.35</v>
      </c>
      <c r="Q316" t="s">
        <v>144</v>
      </c>
    </row>
    <row r="317" spans="1:17" x14ac:dyDescent="0.3">
      <c r="A317" t="s">
        <v>467</v>
      </c>
      <c r="B317" s="7">
        <v>45793</v>
      </c>
      <c r="C317" t="s">
        <v>167</v>
      </c>
      <c r="D317" t="s">
        <v>122</v>
      </c>
      <c r="E317" t="s">
        <v>123</v>
      </c>
      <c r="F317" t="s">
        <v>138</v>
      </c>
      <c r="G317" t="s">
        <v>45</v>
      </c>
      <c r="H317" t="s">
        <v>46</v>
      </c>
      <c r="I317" t="s">
        <v>11</v>
      </c>
      <c r="J317">
        <v>10</v>
      </c>
      <c r="K317">
        <v>2225.8200000000002</v>
      </c>
      <c r="L317">
        <v>0</v>
      </c>
      <c r="M317">
        <f t="shared" si="16"/>
        <v>22258.2</v>
      </c>
      <c r="N317">
        <f t="shared" si="17"/>
        <v>14467.830000000002</v>
      </c>
      <c r="O317">
        <f t="shared" si="18"/>
        <v>7790.369999999999</v>
      </c>
      <c r="P317">
        <f t="shared" si="19"/>
        <v>0.34999999999999992</v>
      </c>
      <c r="Q317" t="s">
        <v>125</v>
      </c>
    </row>
    <row r="318" spans="1:17" x14ac:dyDescent="0.3">
      <c r="A318" t="s">
        <v>468</v>
      </c>
      <c r="B318" s="7">
        <v>45652</v>
      </c>
      <c r="C318" t="s">
        <v>187</v>
      </c>
      <c r="D318" t="s">
        <v>131</v>
      </c>
      <c r="E318" t="s">
        <v>150</v>
      </c>
      <c r="F318" t="s">
        <v>143</v>
      </c>
      <c r="G318" t="s">
        <v>39</v>
      </c>
      <c r="H318" t="s">
        <v>40</v>
      </c>
      <c r="I318" t="s">
        <v>23</v>
      </c>
      <c r="J318">
        <v>15</v>
      </c>
      <c r="K318">
        <v>60.69</v>
      </c>
      <c r="L318">
        <v>0</v>
      </c>
      <c r="M318">
        <f t="shared" si="16"/>
        <v>910.34999999999991</v>
      </c>
      <c r="N318">
        <f t="shared" si="17"/>
        <v>591.72749999999996</v>
      </c>
      <c r="O318">
        <f t="shared" si="18"/>
        <v>318.62249999999995</v>
      </c>
      <c r="P318">
        <f t="shared" si="19"/>
        <v>0.35</v>
      </c>
      <c r="Q318" t="s">
        <v>144</v>
      </c>
    </row>
    <row r="319" spans="1:17" x14ac:dyDescent="0.3">
      <c r="A319" t="s">
        <v>469</v>
      </c>
      <c r="B319" s="7">
        <v>45429</v>
      </c>
      <c r="C319" t="s">
        <v>174</v>
      </c>
      <c r="D319" t="s">
        <v>127</v>
      </c>
      <c r="E319" t="s">
        <v>150</v>
      </c>
      <c r="F319" t="s">
        <v>152</v>
      </c>
      <c r="G319" t="s">
        <v>21</v>
      </c>
      <c r="H319" t="s">
        <v>22</v>
      </c>
      <c r="I319" t="s">
        <v>23</v>
      </c>
      <c r="J319">
        <v>3</v>
      </c>
      <c r="K319">
        <v>148.1</v>
      </c>
      <c r="L319">
        <v>0</v>
      </c>
      <c r="M319">
        <f t="shared" si="16"/>
        <v>444.29999999999995</v>
      </c>
      <c r="N319">
        <f t="shared" si="17"/>
        <v>288.79499999999996</v>
      </c>
      <c r="O319">
        <f t="shared" si="18"/>
        <v>155.505</v>
      </c>
      <c r="P319">
        <f t="shared" si="19"/>
        <v>0.35000000000000003</v>
      </c>
      <c r="Q319" t="s">
        <v>135</v>
      </c>
    </row>
    <row r="320" spans="1:17" x14ac:dyDescent="0.3">
      <c r="A320" t="s">
        <v>470</v>
      </c>
      <c r="B320" s="7">
        <v>45689</v>
      </c>
      <c r="C320" t="s">
        <v>142</v>
      </c>
      <c r="D320" t="s">
        <v>122</v>
      </c>
      <c r="E320" t="s">
        <v>150</v>
      </c>
      <c r="F320" t="s">
        <v>138</v>
      </c>
      <c r="G320" t="s">
        <v>45</v>
      </c>
      <c r="H320" t="s">
        <v>46</v>
      </c>
      <c r="I320" t="s">
        <v>11</v>
      </c>
      <c r="J320">
        <v>7</v>
      </c>
      <c r="K320">
        <v>2179.29</v>
      </c>
      <c r="L320">
        <v>0.15</v>
      </c>
      <c r="M320">
        <f t="shared" si="16"/>
        <v>12966.775499999998</v>
      </c>
      <c r="N320">
        <f t="shared" si="17"/>
        <v>8428.4040749999986</v>
      </c>
      <c r="O320">
        <f t="shared" si="18"/>
        <v>4538.3714249999994</v>
      </c>
      <c r="P320">
        <f t="shared" si="19"/>
        <v>0.35000000000000003</v>
      </c>
      <c r="Q320" t="s">
        <v>144</v>
      </c>
    </row>
    <row r="321" spans="1:17" x14ac:dyDescent="0.3">
      <c r="A321" t="s">
        <v>471</v>
      </c>
      <c r="B321" s="7">
        <v>45469</v>
      </c>
      <c r="C321" t="s">
        <v>167</v>
      </c>
      <c r="D321" t="s">
        <v>127</v>
      </c>
      <c r="E321" t="s">
        <v>137</v>
      </c>
      <c r="F321" t="s">
        <v>152</v>
      </c>
      <c r="G321" t="s">
        <v>25</v>
      </c>
      <c r="H321" t="s">
        <v>26</v>
      </c>
      <c r="I321" t="s">
        <v>27</v>
      </c>
      <c r="J321">
        <v>3</v>
      </c>
      <c r="K321">
        <v>1324.97</v>
      </c>
      <c r="L321">
        <v>0.1</v>
      </c>
      <c r="M321">
        <f t="shared" si="16"/>
        <v>3577.4189999999999</v>
      </c>
      <c r="N321">
        <f t="shared" si="17"/>
        <v>2325.3223499999999</v>
      </c>
      <c r="O321">
        <f t="shared" si="18"/>
        <v>1252.09665</v>
      </c>
      <c r="P321">
        <f t="shared" si="19"/>
        <v>0.35</v>
      </c>
      <c r="Q321" t="s">
        <v>135</v>
      </c>
    </row>
    <row r="322" spans="1:17" x14ac:dyDescent="0.3">
      <c r="A322" t="s">
        <v>472</v>
      </c>
      <c r="B322" s="7">
        <v>45346</v>
      </c>
      <c r="C322" t="s">
        <v>187</v>
      </c>
      <c r="D322" t="s">
        <v>131</v>
      </c>
      <c r="E322" t="s">
        <v>128</v>
      </c>
      <c r="F322" t="s">
        <v>154</v>
      </c>
      <c r="G322" t="s">
        <v>25</v>
      </c>
      <c r="H322" t="s">
        <v>26</v>
      </c>
      <c r="I322" t="s">
        <v>27</v>
      </c>
      <c r="J322">
        <v>4</v>
      </c>
      <c r="K322">
        <v>1392.55</v>
      </c>
      <c r="L322">
        <v>0.15</v>
      </c>
      <c r="M322">
        <f t="shared" ref="M322:M351" si="20">J322*K322*(1-L322)</f>
        <v>4734.67</v>
      </c>
      <c r="N322">
        <f t="shared" ref="N322:N351" si="21">M322*0.65</f>
        <v>3077.5355</v>
      </c>
      <c r="O322">
        <f t="shared" ref="O322:O351" si="22">M322-N322</f>
        <v>1657.1345000000001</v>
      </c>
      <c r="P322">
        <f t="shared" ref="P322:P351" si="23">IFERROR(O322/M322, 0)</f>
        <v>0.35000000000000003</v>
      </c>
      <c r="Q322" t="s">
        <v>135</v>
      </c>
    </row>
    <row r="323" spans="1:17" x14ac:dyDescent="0.3">
      <c r="A323" t="s">
        <v>473</v>
      </c>
      <c r="B323" s="7">
        <v>45798</v>
      </c>
      <c r="C323" t="s">
        <v>142</v>
      </c>
      <c r="D323" t="s">
        <v>122</v>
      </c>
      <c r="E323" t="s">
        <v>137</v>
      </c>
      <c r="F323" t="s">
        <v>154</v>
      </c>
      <c r="G323" t="s">
        <v>49</v>
      </c>
      <c r="H323" t="s">
        <v>50</v>
      </c>
      <c r="I323" t="s">
        <v>19</v>
      </c>
      <c r="J323">
        <v>8</v>
      </c>
      <c r="K323">
        <v>217.51</v>
      </c>
      <c r="L323">
        <v>0.15</v>
      </c>
      <c r="M323">
        <f t="shared" si="20"/>
        <v>1479.068</v>
      </c>
      <c r="N323">
        <f t="shared" si="21"/>
        <v>961.39420000000007</v>
      </c>
      <c r="O323">
        <f t="shared" si="22"/>
        <v>517.67379999999991</v>
      </c>
      <c r="P323">
        <f t="shared" si="23"/>
        <v>0.34999999999999992</v>
      </c>
      <c r="Q323" t="s">
        <v>125</v>
      </c>
    </row>
    <row r="324" spans="1:17" x14ac:dyDescent="0.3">
      <c r="A324" t="s">
        <v>474</v>
      </c>
      <c r="B324" s="7">
        <v>45517</v>
      </c>
      <c r="C324" t="s">
        <v>149</v>
      </c>
      <c r="D324" t="s">
        <v>127</v>
      </c>
      <c r="E324" t="s">
        <v>123</v>
      </c>
      <c r="F324" t="s">
        <v>124</v>
      </c>
      <c r="G324" t="s">
        <v>56</v>
      </c>
      <c r="H324" t="s">
        <v>57</v>
      </c>
      <c r="I324" t="s">
        <v>31</v>
      </c>
      <c r="J324">
        <v>5</v>
      </c>
      <c r="K324">
        <v>507.58</v>
      </c>
      <c r="L324">
        <v>0.1</v>
      </c>
      <c r="M324">
        <f t="shared" si="20"/>
        <v>2284.11</v>
      </c>
      <c r="N324">
        <f t="shared" si="21"/>
        <v>1484.6715000000002</v>
      </c>
      <c r="O324">
        <f t="shared" si="22"/>
        <v>799.43849999999998</v>
      </c>
      <c r="P324">
        <f t="shared" si="23"/>
        <v>0.35</v>
      </c>
      <c r="Q324" t="s">
        <v>135</v>
      </c>
    </row>
    <row r="325" spans="1:17" x14ac:dyDescent="0.3">
      <c r="A325" t="s">
        <v>475</v>
      </c>
      <c r="B325" s="7">
        <v>45799</v>
      </c>
      <c r="C325" t="s">
        <v>167</v>
      </c>
      <c r="D325" t="s">
        <v>122</v>
      </c>
      <c r="E325" t="s">
        <v>128</v>
      </c>
      <c r="F325" t="s">
        <v>138</v>
      </c>
      <c r="G325" t="s">
        <v>21</v>
      </c>
      <c r="H325" t="s">
        <v>22</v>
      </c>
      <c r="I325" t="s">
        <v>23</v>
      </c>
      <c r="J325">
        <v>5</v>
      </c>
      <c r="K325">
        <v>154.13</v>
      </c>
      <c r="L325">
        <v>0.05</v>
      </c>
      <c r="M325">
        <f t="shared" si="20"/>
        <v>732.11749999999995</v>
      </c>
      <c r="N325">
        <f t="shared" si="21"/>
        <v>475.876375</v>
      </c>
      <c r="O325">
        <f t="shared" si="22"/>
        <v>256.24112499999995</v>
      </c>
      <c r="P325">
        <f t="shared" si="23"/>
        <v>0.35</v>
      </c>
      <c r="Q325" t="s">
        <v>135</v>
      </c>
    </row>
    <row r="326" spans="1:17" x14ac:dyDescent="0.3">
      <c r="A326" t="s">
        <v>476</v>
      </c>
      <c r="B326" s="7">
        <v>45334</v>
      </c>
      <c r="C326" t="s">
        <v>134</v>
      </c>
      <c r="D326" t="s">
        <v>122</v>
      </c>
      <c r="E326" t="s">
        <v>137</v>
      </c>
      <c r="F326" t="s">
        <v>138</v>
      </c>
      <c r="G326" t="s">
        <v>33</v>
      </c>
      <c r="H326" t="s">
        <v>34</v>
      </c>
      <c r="I326" t="s">
        <v>11</v>
      </c>
      <c r="J326">
        <v>7</v>
      </c>
      <c r="K326">
        <v>1440.36</v>
      </c>
      <c r="L326">
        <v>0</v>
      </c>
      <c r="M326">
        <f t="shared" si="20"/>
        <v>10082.519999999999</v>
      </c>
      <c r="N326">
        <f t="shared" si="21"/>
        <v>6553.637999999999</v>
      </c>
      <c r="O326">
        <f t="shared" si="22"/>
        <v>3528.8819999999996</v>
      </c>
      <c r="P326">
        <f t="shared" si="23"/>
        <v>0.35000000000000003</v>
      </c>
      <c r="Q326" t="s">
        <v>125</v>
      </c>
    </row>
    <row r="327" spans="1:17" x14ac:dyDescent="0.3">
      <c r="A327" t="s">
        <v>477</v>
      </c>
      <c r="B327" s="7">
        <v>45325</v>
      </c>
      <c r="C327" t="s">
        <v>164</v>
      </c>
      <c r="D327" t="s">
        <v>131</v>
      </c>
      <c r="E327" t="s">
        <v>123</v>
      </c>
      <c r="F327" t="s">
        <v>132</v>
      </c>
      <c r="G327" t="s">
        <v>49</v>
      </c>
      <c r="H327" t="s">
        <v>50</v>
      </c>
      <c r="I327" t="s">
        <v>19</v>
      </c>
      <c r="J327">
        <v>14</v>
      </c>
      <c r="K327">
        <v>236.11</v>
      </c>
      <c r="L327">
        <v>0</v>
      </c>
      <c r="M327">
        <f t="shared" si="20"/>
        <v>3305.54</v>
      </c>
      <c r="N327">
        <f t="shared" si="21"/>
        <v>2148.6010000000001</v>
      </c>
      <c r="O327">
        <f t="shared" si="22"/>
        <v>1156.9389999999999</v>
      </c>
      <c r="P327">
        <f t="shared" si="23"/>
        <v>0.35</v>
      </c>
      <c r="Q327" t="s">
        <v>125</v>
      </c>
    </row>
    <row r="328" spans="1:17" x14ac:dyDescent="0.3">
      <c r="A328" t="s">
        <v>478</v>
      </c>
      <c r="B328" s="7">
        <v>45651</v>
      </c>
      <c r="C328" t="s">
        <v>187</v>
      </c>
      <c r="D328" t="s">
        <v>122</v>
      </c>
      <c r="E328" t="s">
        <v>137</v>
      </c>
      <c r="F328" t="s">
        <v>124</v>
      </c>
      <c r="G328" t="s">
        <v>60</v>
      </c>
      <c r="H328" t="s">
        <v>61</v>
      </c>
      <c r="I328" t="s">
        <v>15</v>
      </c>
      <c r="J328">
        <v>3</v>
      </c>
      <c r="K328">
        <v>231.41</v>
      </c>
      <c r="L328">
        <v>0</v>
      </c>
      <c r="M328">
        <f t="shared" si="20"/>
        <v>694.23</v>
      </c>
      <c r="N328">
        <f t="shared" si="21"/>
        <v>451.24950000000001</v>
      </c>
      <c r="O328">
        <f t="shared" si="22"/>
        <v>242.98050000000001</v>
      </c>
      <c r="P328">
        <f t="shared" si="23"/>
        <v>0.35</v>
      </c>
      <c r="Q328" t="s">
        <v>125</v>
      </c>
    </row>
    <row r="329" spans="1:17" x14ac:dyDescent="0.3">
      <c r="A329" t="s">
        <v>479</v>
      </c>
      <c r="B329" s="7">
        <v>45651</v>
      </c>
      <c r="C329" t="s">
        <v>167</v>
      </c>
      <c r="D329" t="s">
        <v>131</v>
      </c>
      <c r="E329" t="s">
        <v>150</v>
      </c>
      <c r="F329" t="s">
        <v>152</v>
      </c>
      <c r="G329" t="s">
        <v>39</v>
      </c>
      <c r="H329" t="s">
        <v>40</v>
      </c>
      <c r="I329" t="s">
        <v>23</v>
      </c>
      <c r="J329">
        <v>5</v>
      </c>
      <c r="K329">
        <v>60.44</v>
      </c>
      <c r="L329">
        <v>0.15</v>
      </c>
      <c r="M329">
        <f t="shared" si="20"/>
        <v>256.87</v>
      </c>
      <c r="N329">
        <f t="shared" si="21"/>
        <v>166.96550000000002</v>
      </c>
      <c r="O329">
        <f t="shared" si="22"/>
        <v>89.904499999999985</v>
      </c>
      <c r="P329">
        <f t="shared" si="23"/>
        <v>0.34999999999999992</v>
      </c>
      <c r="Q329" t="s">
        <v>144</v>
      </c>
    </row>
    <row r="330" spans="1:17" x14ac:dyDescent="0.3">
      <c r="A330" t="s">
        <v>480</v>
      </c>
      <c r="B330" s="7">
        <v>45389</v>
      </c>
      <c r="C330" t="s">
        <v>245</v>
      </c>
      <c r="D330" t="s">
        <v>131</v>
      </c>
      <c r="E330" t="s">
        <v>128</v>
      </c>
      <c r="F330" t="s">
        <v>152</v>
      </c>
      <c r="G330" t="s">
        <v>25</v>
      </c>
      <c r="H330" t="s">
        <v>26</v>
      </c>
      <c r="I330" t="s">
        <v>27</v>
      </c>
      <c r="J330">
        <v>12</v>
      </c>
      <c r="K330">
        <v>1399.42</v>
      </c>
      <c r="L330">
        <v>0</v>
      </c>
      <c r="M330">
        <f t="shared" si="20"/>
        <v>16793.04</v>
      </c>
      <c r="N330">
        <f t="shared" si="21"/>
        <v>10915.476000000001</v>
      </c>
      <c r="O330">
        <f t="shared" si="22"/>
        <v>5877.5640000000003</v>
      </c>
      <c r="P330">
        <f t="shared" si="23"/>
        <v>0.35</v>
      </c>
      <c r="Q330" t="s">
        <v>125</v>
      </c>
    </row>
    <row r="331" spans="1:17" x14ac:dyDescent="0.3">
      <c r="A331" t="s">
        <v>481</v>
      </c>
      <c r="B331" s="7">
        <v>45621</v>
      </c>
      <c r="C331" t="s">
        <v>187</v>
      </c>
      <c r="D331" t="s">
        <v>127</v>
      </c>
      <c r="E331" t="s">
        <v>137</v>
      </c>
      <c r="F331" t="s">
        <v>154</v>
      </c>
      <c r="G331" t="s">
        <v>25</v>
      </c>
      <c r="H331" t="s">
        <v>26</v>
      </c>
      <c r="I331" t="s">
        <v>27</v>
      </c>
      <c r="J331">
        <v>10</v>
      </c>
      <c r="K331">
        <v>1367.87</v>
      </c>
      <c r="L331">
        <v>0.1</v>
      </c>
      <c r="M331">
        <f t="shared" si="20"/>
        <v>12310.83</v>
      </c>
      <c r="N331">
        <f t="shared" si="21"/>
        <v>8002.0394999999999</v>
      </c>
      <c r="O331">
        <f t="shared" si="22"/>
        <v>4308.7905000000001</v>
      </c>
      <c r="P331">
        <f t="shared" si="23"/>
        <v>0.35000000000000003</v>
      </c>
      <c r="Q331" t="s">
        <v>147</v>
      </c>
    </row>
    <row r="332" spans="1:17" x14ac:dyDescent="0.3">
      <c r="A332" t="s">
        <v>482</v>
      </c>
      <c r="B332" s="7">
        <v>45754</v>
      </c>
      <c r="C332" t="s">
        <v>157</v>
      </c>
      <c r="D332" t="s">
        <v>122</v>
      </c>
      <c r="E332" t="s">
        <v>128</v>
      </c>
      <c r="F332" t="s">
        <v>154</v>
      </c>
      <c r="G332" t="s">
        <v>54</v>
      </c>
      <c r="H332" t="s">
        <v>55</v>
      </c>
      <c r="I332" t="s">
        <v>27</v>
      </c>
      <c r="J332">
        <v>12</v>
      </c>
      <c r="K332">
        <v>1026.71</v>
      </c>
      <c r="L332">
        <v>0.05</v>
      </c>
      <c r="M332">
        <f t="shared" si="20"/>
        <v>11704.494000000001</v>
      </c>
      <c r="N332">
        <f t="shared" si="21"/>
        <v>7607.9211000000005</v>
      </c>
      <c r="O332">
        <f t="shared" si="22"/>
        <v>4096.5729000000001</v>
      </c>
      <c r="P332">
        <f t="shared" si="23"/>
        <v>0.35</v>
      </c>
      <c r="Q332" t="s">
        <v>147</v>
      </c>
    </row>
    <row r="333" spans="1:17" x14ac:dyDescent="0.3">
      <c r="A333" t="s">
        <v>483</v>
      </c>
      <c r="B333" s="7">
        <v>45791</v>
      </c>
      <c r="C333" t="s">
        <v>174</v>
      </c>
      <c r="D333" t="s">
        <v>122</v>
      </c>
      <c r="E333" t="s">
        <v>128</v>
      </c>
      <c r="F333" t="s">
        <v>143</v>
      </c>
      <c r="G333" t="s">
        <v>17</v>
      </c>
      <c r="H333" t="s">
        <v>18</v>
      </c>
      <c r="I333" t="s">
        <v>19</v>
      </c>
      <c r="J333">
        <v>12</v>
      </c>
      <c r="K333">
        <v>125.67</v>
      </c>
      <c r="L333">
        <v>0.05</v>
      </c>
      <c r="M333">
        <f t="shared" si="20"/>
        <v>1432.6379999999999</v>
      </c>
      <c r="N333">
        <f t="shared" si="21"/>
        <v>931.21469999999999</v>
      </c>
      <c r="O333">
        <f t="shared" si="22"/>
        <v>501.42329999999993</v>
      </c>
      <c r="P333">
        <f t="shared" si="23"/>
        <v>0.35</v>
      </c>
      <c r="Q333" t="s">
        <v>125</v>
      </c>
    </row>
    <row r="334" spans="1:17" x14ac:dyDescent="0.3">
      <c r="A334" t="s">
        <v>484</v>
      </c>
      <c r="B334" s="7">
        <v>45699</v>
      </c>
      <c r="C334" t="s">
        <v>130</v>
      </c>
      <c r="D334" t="s">
        <v>131</v>
      </c>
      <c r="E334" t="s">
        <v>150</v>
      </c>
      <c r="F334" t="s">
        <v>154</v>
      </c>
      <c r="G334" t="s">
        <v>37</v>
      </c>
      <c r="H334" t="s">
        <v>38</v>
      </c>
      <c r="I334" t="s">
        <v>19</v>
      </c>
      <c r="J334">
        <v>6</v>
      </c>
      <c r="K334">
        <v>77.459999999999994</v>
      </c>
      <c r="L334">
        <v>0.05</v>
      </c>
      <c r="M334">
        <f t="shared" si="20"/>
        <v>441.52199999999999</v>
      </c>
      <c r="N334">
        <f t="shared" si="21"/>
        <v>286.98930000000001</v>
      </c>
      <c r="O334">
        <f t="shared" si="22"/>
        <v>154.53269999999998</v>
      </c>
      <c r="P334">
        <f t="shared" si="23"/>
        <v>0.35</v>
      </c>
      <c r="Q334" t="s">
        <v>135</v>
      </c>
    </row>
    <row r="335" spans="1:17" x14ac:dyDescent="0.3">
      <c r="A335" t="s">
        <v>485</v>
      </c>
      <c r="B335" s="7">
        <v>45425</v>
      </c>
      <c r="C335" t="s">
        <v>140</v>
      </c>
      <c r="D335" t="s">
        <v>131</v>
      </c>
      <c r="E335" t="s">
        <v>123</v>
      </c>
      <c r="F335" t="s">
        <v>143</v>
      </c>
      <c r="G335" t="s">
        <v>13</v>
      </c>
      <c r="H335" t="s">
        <v>14</v>
      </c>
      <c r="I335" t="s">
        <v>15</v>
      </c>
      <c r="J335">
        <v>1</v>
      </c>
      <c r="K335">
        <v>863.96</v>
      </c>
      <c r="L335">
        <v>0.1</v>
      </c>
      <c r="M335">
        <f t="shared" si="20"/>
        <v>777.56400000000008</v>
      </c>
      <c r="N335">
        <f t="shared" si="21"/>
        <v>505.41660000000007</v>
      </c>
      <c r="O335">
        <f t="shared" si="22"/>
        <v>272.1474</v>
      </c>
      <c r="P335">
        <f t="shared" si="23"/>
        <v>0.35</v>
      </c>
      <c r="Q335" t="s">
        <v>125</v>
      </c>
    </row>
    <row r="336" spans="1:17" x14ac:dyDescent="0.3">
      <c r="A336" t="s">
        <v>486</v>
      </c>
      <c r="B336" s="7">
        <v>45419</v>
      </c>
      <c r="C336" t="s">
        <v>171</v>
      </c>
      <c r="D336" t="s">
        <v>127</v>
      </c>
      <c r="E336" t="s">
        <v>137</v>
      </c>
      <c r="F336" t="s">
        <v>154</v>
      </c>
      <c r="G336" t="s">
        <v>9</v>
      </c>
      <c r="H336" t="s">
        <v>10</v>
      </c>
      <c r="I336" t="s">
        <v>11</v>
      </c>
      <c r="J336">
        <v>7</v>
      </c>
      <c r="K336">
        <v>1746.42</v>
      </c>
      <c r="L336">
        <v>0</v>
      </c>
      <c r="M336">
        <f t="shared" si="20"/>
        <v>12224.94</v>
      </c>
      <c r="N336">
        <f t="shared" si="21"/>
        <v>7946.2110000000002</v>
      </c>
      <c r="O336">
        <f t="shared" si="22"/>
        <v>4278.7290000000003</v>
      </c>
      <c r="P336">
        <f t="shared" si="23"/>
        <v>0.35000000000000003</v>
      </c>
      <c r="Q336" t="s">
        <v>144</v>
      </c>
    </row>
    <row r="337" spans="1:17" x14ac:dyDescent="0.3">
      <c r="A337" t="s">
        <v>487</v>
      </c>
      <c r="B337" s="7">
        <v>45601</v>
      </c>
      <c r="C337" t="s">
        <v>245</v>
      </c>
      <c r="D337" t="s">
        <v>131</v>
      </c>
      <c r="E337" t="s">
        <v>128</v>
      </c>
      <c r="F337" t="s">
        <v>143</v>
      </c>
      <c r="G337" t="s">
        <v>43</v>
      </c>
      <c r="H337" t="s">
        <v>44</v>
      </c>
      <c r="I337" t="s">
        <v>31</v>
      </c>
      <c r="J337">
        <v>5</v>
      </c>
      <c r="K337">
        <v>172.48</v>
      </c>
      <c r="L337">
        <v>0</v>
      </c>
      <c r="M337">
        <f t="shared" si="20"/>
        <v>862.4</v>
      </c>
      <c r="N337">
        <f t="shared" si="21"/>
        <v>560.56000000000006</v>
      </c>
      <c r="O337">
        <f t="shared" si="22"/>
        <v>301.83999999999992</v>
      </c>
      <c r="P337">
        <f t="shared" si="23"/>
        <v>0.34999999999999992</v>
      </c>
      <c r="Q337" t="s">
        <v>125</v>
      </c>
    </row>
    <row r="338" spans="1:17" x14ac:dyDescent="0.3">
      <c r="A338" t="s">
        <v>488</v>
      </c>
      <c r="B338" s="7">
        <v>45697</v>
      </c>
      <c r="C338" t="s">
        <v>160</v>
      </c>
      <c r="D338" t="s">
        <v>131</v>
      </c>
      <c r="E338" t="s">
        <v>150</v>
      </c>
      <c r="F338" t="s">
        <v>154</v>
      </c>
      <c r="G338" t="s">
        <v>17</v>
      </c>
      <c r="H338" t="s">
        <v>18</v>
      </c>
      <c r="I338" t="s">
        <v>19</v>
      </c>
      <c r="J338">
        <v>12</v>
      </c>
      <c r="K338">
        <v>115.14</v>
      </c>
      <c r="L338">
        <v>0</v>
      </c>
      <c r="M338">
        <f t="shared" si="20"/>
        <v>1381.68</v>
      </c>
      <c r="N338">
        <f t="shared" si="21"/>
        <v>898.0920000000001</v>
      </c>
      <c r="O338">
        <f t="shared" si="22"/>
        <v>483.58799999999997</v>
      </c>
      <c r="P338">
        <f t="shared" si="23"/>
        <v>0.35</v>
      </c>
      <c r="Q338" t="s">
        <v>147</v>
      </c>
    </row>
    <row r="339" spans="1:17" x14ac:dyDescent="0.3">
      <c r="A339" t="s">
        <v>489</v>
      </c>
      <c r="B339" s="7">
        <v>45371</v>
      </c>
      <c r="C339" t="s">
        <v>245</v>
      </c>
      <c r="D339" t="s">
        <v>122</v>
      </c>
      <c r="E339" t="s">
        <v>150</v>
      </c>
      <c r="F339" t="s">
        <v>138</v>
      </c>
      <c r="G339" t="s">
        <v>49</v>
      </c>
      <c r="H339" t="s">
        <v>50</v>
      </c>
      <c r="I339" t="s">
        <v>19</v>
      </c>
      <c r="J339">
        <v>1</v>
      </c>
      <c r="K339">
        <v>213.93</v>
      </c>
      <c r="L339">
        <v>0.05</v>
      </c>
      <c r="M339">
        <f t="shared" si="20"/>
        <v>203.23349999999999</v>
      </c>
      <c r="N339">
        <f t="shared" si="21"/>
        <v>132.101775</v>
      </c>
      <c r="O339">
        <f t="shared" si="22"/>
        <v>71.131724999999989</v>
      </c>
      <c r="P339">
        <f t="shared" si="23"/>
        <v>0.35</v>
      </c>
      <c r="Q339" t="s">
        <v>125</v>
      </c>
    </row>
    <row r="340" spans="1:17" x14ac:dyDescent="0.3">
      <c r="A340" t="s">
        <v>490</v>
      </c>
      <c r="B340" s="7">
        <v>45724</v>
      </c>
      <c r="C340" t="s">
        <v>146</v>
      </c>
      <c r="D340" t="s">
        <v>127</v>
      </c>
      <c r="E340" t="s">
        <v>137</v>
      </c>
      <c r="F340" t="s">
        <v>132</v>
      </c>
      <c r="G340" t="s">
        <v>35</v>
      </c>
      <c r="H340" t="s">
        <v>36</v>
      </c>
      <c r="I340" t="s">
        <v>15</v>
      </c>
      <c r="J340">
        <v>7</v>
      </c>
      <c r="K340">
        <v>431.52</v>
      </c>
      <c r="L340">
        <v>0</v>
      </c>
      <c r="M340">
        <f t="shared" si="20"/>
        <v>3020.64</v>
      </c>
      <c r="N340">
        <f t="shared" si="21"/>
        <v>1963.4159999999999</v>
      </c>
      <c r="O340">
        <f t="shared" si="22"/>
        <v>1057.2239999999999</v>
      </c>
      <c r="P340">
        <f t="shared" si="23"/>
        <v>0.35</v>
      </c>
      <c r="Q340" t="s">
        <v>125</v>
      </c>
    </row>
    <row r="341" spans="1:17" x14ac:dyDescent="0.3">
      <c r="A341" t="s">
        <v>491</v>
      </c>
      <c r="B341" s="7">
        <v>45612</v>
      </c>
      <c r="C341" t="s">
        <v>174</v>
      </c>
      <c r="D341" t="s">
        <v>131</v>
      </c>
      <c r="E341" t="s">
        <v>150</v>
      </c>
      <c r="F341" t="s">
        <v>154</v>
      </c>
      <c r="G341" t="s">
        <v>25</v>
      </c>
      <c r="H341" t="s">
        <v>26</v>
      </c>
      <c r="I341" t="s">
        <v>27</v>
      </c>
      <c r="J341">
        <v>11</v>
      </c>
      <c r="K341">
        <v>1416.55</v>
      </c>
      <c r="L341">
        <v>0</v>
      </c>
      <c r="M341">
        <f t="shared" si="20"/>
        <v>15582.05</v>
      </c>
      <c r="N341">
        <f t="shared" si="21"/>
        <v>10128.3325</v>
      </c>
      <c r="O341">
        <f t="shared" si="22"/>
        <v>5453.7174999999988</v>
      </c>
      <c r="P341">
        <f t="shared" si="23"/>
        <v>0.34999999999999992</v>
      </c>
      <c r="Q341" t="s">
        <v>125</v>
      </c>
    </row>
    <row r="342" spans="1:17" x14ac:dyDescent="0.3">
      <c r="A342" t="s">
        <v>492</v>
      </c>
      <c r="B342" s="7">
        <v>45835</v>
      </c>
      <c r="C342" t="s">
        <v>140</v>
      </c>
      <c r="D342" t="s">
        <v>127</v>
      </c>
      <c r="E342" t="s">
        <v>150</v>
      </c>
      <c r="F342" t="s">
        <v>154</v>
      </c>
      <c r="G342" t="s">
        <v>43</v>
      </c>
      <c r="H342" t="s">
        <v>44</v>
      </c>
      <c r="I342" t="s">
        <v>31</v>
      </c>
      <c r="J342">
        <v>12</v>
      </c>
      <c r="K342">
        <v>174.83</v>
      </c>
      <c r="L342">
        <v>0</v>
      </c>
      <c r="M342">
        <f t="shared" si="20"/>
        <v>2097.96</v>
      </c>
      <c r="N342">
        <f t="shared" si="21"/>
        <v>1363.674</v>
      </c>
      <c r="O342">
        <f t="shared" si="22"/>
        <v>734.28600000000006</v>
      </c>
      <c r="P342">
        <f t="shared" si="23"/>
        <v>0.35000000000000003</v>
      </c>
      <c r="Q342" t="s">
        <v>147</v>
      </c>
    </row>
    <row r="343" spans="1:17" x14ac:dyDescent="0.3">
      <c r="A343" t="s">
        <v>493</v>
      </c>
      <c r="B343" s="7">
        <v>45745</v>
      </c>
      <c r="C343" t="s">
        <v>187</v>
      </c>
      <c r="D343" t="s">
        <v>127</v>
      </c>
      <c r="E343" t="s">
        <v>128</v>
      </c>
      <c r="F343" t="s">
        <v>132</v>
      </c>
      <c r="G343" t="s">
        <v>25</v>
      </c>
      <c r="H343" t="s">
        <v>26</v>
      </c>
      <c r="I343" t="s">
        <v>27</v>
      </c>
      <c r="J343">
        <v>13</v>
      </c>
      <c r="K343">
        <v>1299.1300000000001</v>
      </c>
      <c r="L343">
        <v>0.1</v>
      </c>
      <c r="M343">
        <f t="shared" si="20"/>
        <v>15199.821000000002</v>
      </c>
      <c r="N343">
        <f t="shared" si="21"/>
        <v>9879.8836500000016</v>
      </c>
      <c r="O343">
        <f t="shared" si="22"/>
        <v>5319.9373500000002</v>
      </c>
      <c r="P343">
        <f t="shared" si="23"/>
        <v>0.35</v>
      </c>
      <c r="Q343" t="s">
        <v>125</v>
      </c>
    </row>
    <row r="344" spans="1:17" x14ac:dyDescent="0.3">
      <c r="A344" t="s">
        <v>494</v>
      </c>
      <c r="B344" s="7">
        <v>45731</v>
      </c>
      <c r="C344" t="s">
        <v>174</v>
      </c>
      <c r="D344" t="s">
        <v>127</v>
      </c>
      <c r="E344" t="s">
        <v>150</v>
      </c>
      <c r="F344" t="s">
        <v>152</v>
      </c>
      <c r="G344" t="s">
        <v>17</v>
      </c>
      <c r="H344" t="s">
        <v>18</v>
      </c>
      <c r="I344" t="s">
        <v>19</v>
      </c>
      <c r="J344">
        <v>4</v>
      </c>
      <c r="K344">
        <v>120.64</v>
      </c>
      <c r="L344">
        <v>0.15</v>
      </c>
      <c r="M344">
        <f t="shared" si="20"/>
        <v>410.17599999999999</v>
      </c>
      <c r="N344">
        <f t="shared" si="21"/>
        <v>266.61439999999999</v>
      </c>
      <c r="O344">
        <f t="shared" si="22"/>
        <v>143.5616</v>
      </c>
      <c r="P344">
        <f t="shared" si="23"/>
        <v>0.35000000000000003</v>
      </c>
      <c r="Q344" t="s">
        <v>144</v>
      </c>
    </row>
    <row r="345" spans="1:17" x14ac:dyDescent="0.3">
      <c r="A345" t="s">
        <v>495</v>
      </c>
      <c r="B345" s="7">
        <v>45583</v>
      </c>
      <c r="C345" t="s">
        <v>134</v>
      </c>
      <c r="D345" t="s">
        <v>122</v>
      </c>
      <c r="E345" t="s">
        <v>128</v>
      </c>
      <c r="F345" t="s">
        <v>143</v>
      </c>
      <c r="G345" t="s">
        <v>39</v>
      </c>
      <c r="H345" t="s">
        <v>40</v>
      </c>
      <c r="I345" t="s">
        <v>23</v>
      </c>
      <c r="J345">
        <v>4</v>
      </c>
      <c r="K345">
        <v>60.11</v>
      </c>
      <c r="L345">
        <v>0.15</v>
      </c>
      <c r="M345">
        <f t="shared" si="20"/>
        <v>204.374</v>
      </c>
      <c r="N345">
        <f t="shared" si="21"/>
        <v>132.84309999999999</v>
      </c>
      <c r="O345">
        <f t="shared" si="22"/>
        <v>71.530900000000003</v>
      </c>
      <c r="P345">
        <f t="shared" si="23"/>
        <v>0.35000000000000003</v>
      </c>
      <c r="Q345" t="s">
        <v>125</v>
      </c>
    </row>
    <row r="346" spans="1:17" x14ac:dyDescent="0.3">
      <c r="A346" t="s">
        <v>496</v>
      </c>
      <c r="B346" s="7">
        <v>45693</v>
      </c>
      <c r="C346" t="s">
        <v>149</v>
      </c>
      <c r="D346" t="s">
        <v>122</v>
      </c>
      <c r="E346" t="s">
        <v>128</v>
      </c>
      <c r="F346" t="s">
        <v>124</v>
      </c>
      <c r="G346" t="s">
        <v>51</v>
      </c>
      <c r="H346" t="s">
        <v>52</v>
      </c>
      <c r="I346" t="s">
        <v>23</v>
      </c>
      <c r="J346">
        <v>7</v>
      </c>
      <c r="K346">
        <v>48.06</v>
      </c>
      <c r="L346">
        <v>0.1</v>
      </c>
      <c r="M346">
        <f t="shared" si="20"/>
        <v>302.77800000000002</v>
      </c>
      <c r="N346">
        <f t="shared" si="21"/>
        <v>196.80570000000003</v>
      </c>
      <c r="O346">
        <f t="shared" si="22"/>
        <v>105.97229999999999</v>
      </c>
      <c r="P346">
        <f t="shared" si="23"/>
        <v>0.34999999999999992</v>
      </c>
      <c r="Q346" t="s">
        <v>144</v>
      </c>
    </row>
    <row r="347" spans="1:17" x14ac:dyDescent="0.3">
      <c r="A347" t="s">
        <v>497</v>
      </c>
      <c r="B347" s="7">
        <v>45364</v>
      </c>
      <c r="C347" t="s">
        <v>167</v>
      </c>
      <c r="D347" t="s">
        <v>127</v>
      </c>
      <c r="E347" t="s">
        <v>123</v>
      </c>
      <c r="F347" t="s">
        <v>152</v>
      </c>
      <c r="G347" t="s">
        <v>25</v>
      </c>
      <c r="H347" t="s">
        <v>26</v>
      </c>
      <c r="I347" t="s">
        <v>27</v>
      </c>
      <c r="J347">
        <v>7</v>
      </c>
      <c r="K347">
        <v>1398.71</v>
      </c>
      <c r="L347">
        <v>0.15</v>
      </c>
      <c r="M347">
        <f t="shared" si="20"/>
        <v>8322.3245000000006</v>
      </c>
      <c r="N347">
        <f t="shared" si="21"/>
        <v>5409.5109250000005</v>
      </c>
      <c r="O347">
        <f t="shared" si="22"/>
        <v>2912.8135750000001</v>
      </c>
      <c r="P347">
        <f t="shared" si="23"/>
        <v>0.35</v>
      </c>
      <c r="Q347" t="s">
        <v>147</v>
      </c>
    </row>
    <row r="348" spans="1:17" x14ac:dyDescent="0.3">
      <c r="A348" t="s">
        <v>498</v>
      </c>
      <c r="B348" s="7">
        <v>45666</v>
      </c>
      <c r="C348" t="s">
        <v>167</v>
      </c>
      <c r="D348" t="s">
        <v>122</v>
      </c>
      <c r="E348" t="s">
        <v>150</v>
      </c>
      <c r="F348" t="s">
        <v>154</v>
      </c>
      <c r="G348" t="s">
        <v>17</v>
      </c>
      <c r="H348" t="s">
        <v>18</v>
      </c>
      <c r="I348" t="s">
        <v>19</v>
      </c>
      <c r="J348">
        <v>1</v>
      </c>
      <c r="K348">
        <v>121.05</v>
      </c>
      <c r="L348">
        <v>0</v>
      </c>
      <c r="M348">
        <f t="shared" si="20"/>
        <v>121.05</v>
      </c>
      <c r="N348">
        <f t="shared" si="21"/>
        <v>78.682500000000005</v>
      </c>
      <c r="O348">
        <f t="shared" si="22"/>
        <v>42.367499999999993</v>
      </c>
      <c r="P348">
        <f t="shared" si="23"/>
        <v>0.34999999999999992</v>
      </c>
      <c r="Q348" t="s">
        <v>125</v>
      </c>
    </row>
    <row r="349" spans="1:17" x14ac:dyDescent="0.3">
      <c r="A349" t="s">
        <v>499</v>
      </c>
      <c r="B349" s="7">
        <v>45512</v>
      </c>
      <c r="C349" t="s">
        <v>121</v>
      </c>
      <c r="D349" t="s">
        <v>127</v>
      </c>
      <c r="E349" t="s">
        <v>137</v>
      </c>
      <c r="F349" t="s">
        <v>138</v>
      </c>
      <c r="G349" t="s">
        <v>39</v>
      </c>
      <c r="H349" t="s">
        <v>40</v>
      </c>
      <c r="I349" t="s">
        <v>23</v>
      </c>
      <c r="J349">
        <v>11</v>
      </c>
      <c r="K349">
        <v>61.28</v>
      </c>
      <c r="L349">
        <v>0.1</v>
      </c>
      <c r="M349">
        <f t="shared" si="20"/>
        <v>606.67200000000003</v>
      </c>
      <c r="N349">
        <f t="shared" si="21"/>
        <v>394.33680000000004</v>
      </c>
      <c r="O349">
        <f t="shared" si="22"/>
        <v>212.33519999999999</v>
      </c>
      <c r="P349">
        <f t="shared" si="23"/>
        <v>0.35</v>
      </c>
      <c r="Q349" t="s">
        <v>147</v>
      </c>
    </row>
    <row r="350" spans="1:17" x14ac:dyDescent="0.3">
      <c r="A350" t="s">
        <v>500</v>
      </c>
      <c r="B350" s="7">
        <v>45703</v>
      </c>
      <c r="C350" t="s">
        <v>157</v>
      </c>
      <c r="D350" t="s">
        <v>122</v>
      </c>
      <c r="E350" t="s">
        <v>150</v>
      </c>
      <c r="F350" t="s">
        <v>152</v>
      </c>
      <c r="G350" t="s">
        <v>17</v>
      </c>
      <c r="H350" t="s">
        <v>18</v>
      </c>
      <c r="I350" t="s">
        <v>19</v>
      </c>
      <c r="J350">
        <v>5</v>
      </c>
      <c r="K350">
        <v>114.95</v>
      </c>
      <c r="L350">
        <v>0</v>
      </c>
      <c r="M350">
        <f t="shared" si="20"/>
        <v>574.75</v>
      </c>
      <c r="N350">
        <f t="shared" si="21"/>
        <v>373.58750000000003</v>
      </c>
      <c r="O350">
        <f t="shared" si="22"/>
        <v>201.16249999999997</v>
      </c>
      <c r="P350">
        <f t="shared" si="23"/>
        <v>0.34999999999999992</v>
      </c>
      <c r="Q350" t="s">
        <v>125</v>
      </c>
    </row>
    <row r="351" spans="1:17" x14ac:dyDescent="0.3">
      <c r="A351" t="s">
        <v>501</v>
      </c>
      <c r="B351" s="7">
        <v>45626</v>
      </c>
      <c r="C351" t="s">
        <v>142</v>
      </c>
      <c r="D351" t="s">
        <v>122</v>
      </c>
      <c r="E351" t="s">
        <v>128</v>
      </c>
      <c r="F351" t="s">
        <v>152</v>
      </c>
      <c r="G351" t="s">
        <v>47</v>
      </c>
      <c r="H351" t="s">
        <v>48</v>
      </c>
      <c r="I351" t="s">
        <v>15</v>
      </c>
      <c r="J351">
        <v>12</v>
      </c>
      <c r="K351">
        <v>1254.4100000000001</v>
      </c>
      <c r="L351">
        <v>0</v>
      </c>
      <c r="M351">
        <f t="shared" si="20"/>
        <v>15052.920000000002</v>
      </c>
      <c r="N351">
        <f t="shared" si="21"/>
        <v>9784.398000000001</v>
      </c>
      <c r="O351">
        <f t="shared" si="22"/>
        <v>5268.5220000000008</v>
      </c>
      <c r="P351">
        <f t="shared" si="23"/>
        <v>0.35000000000000003</v>
      </c>
      <c r="Q351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pane ySplit="1" topLeftCell="A39" activePane="bottomLeft" state="frozen"/>
      <selection pane="bottomLeft" sqref="A1:I73"/>
    </sheetView>
  </sheetViews>
  <sheetFormatPr defaultRowHeight="14.4" x14ac:dyDescent="0.3"/>
  <cols>
    <col min="1" max="2" width="9" bestFit="1" customWidth="1"/>
    <col min="3" max="4" width="16" bestFit="1" customWidth="1"/>
    <col min="5" max="5" width="18" bestFit="1" customWidth="1"/>
    <col min="6" max="7" width="17.88671875" bestFit="1" customWidth="1"/>
    <col min="8" max="8" width="20" bestFit="1" customWidth="1"/>
    <col min="9" max="9" width="13.77734375" bestFit="1" customWidth="1"/>
  </cols>
  <sheetData>
    <row r="1" spans="1:9" x14ac:dyDescent="0.3">
      <c r="A1" t="s">
        <v>502</v>
      </c>
      <c r="B1" t="s">
        <v>110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</row>
    <row r="2" spans="1:9" x14ac:dyDescent="0.3">
      <c r="A2" t="s">
        <v>510</v>
      </c>
      <c r="B2" t="s">
        <v>128</v>
      </c>
      <c r="C2">
        <v>50000</v>
      </c>
      <c r="D2">
        <f>SUMIFS(SalesData[Revenue], SalesData[Region], B2, SalesData[OrderDate], "&gt;="&amp;DATE(LEFT(A2,4),MID(A2,6,2),1), SalesData[OrderDate], "&lt;="&amp;EOMONTH(DATE(LEFT(A2,4),MID(A2,6,2),1),0))</f>
        <v>11539.1155</v>
      </c>
      <c r="E2">
        <f t="shared" ref="E2:E65" si="0">D2-C2</f>
        <v>-38460.8845</v>
      </c>
      <c r="F2">
        <v>18000</v>
      </c>
      <c r="G2">
        <f>SUMIFS(SalesData[GrossProfit], SalesData[Region], B2, SalesData[OrderDate], "&gt;="&amp;DATE(LEFT(A2,4),MID(A2,6,2),1), SalesData[OrderDate], "&lt;="&amp;EOMONTH(DATE(LEFT(A2,4),MID(A2,6,2),1),0))</f>
        <v>4038.6904249999998</v>
      </c>
      <c r="H2">
        <f t="shared" ref="H2:H65" si="1">G2-F2</f>
        <v>-13961.309574999999</v>
      </c>
      <c r="I2" t="str">
        <f t="shared" ref="I2:I65" si="2">IF(D2&gt;=C2, "Met", "Missed")</f>
        <v>Missed</v>
      </c>
    </row>
    <row r="3" spans="1:9" x14ac:dyDescent="0.3">
      <c r="A3" t="s">
        <v>510</v>
      </c>
      <c r="B3" t="s">
        <v>150</v>
      </c>
      <c r="C3">
        <v>50000</v>
      </c>
      <c r="D3">
        <f>SUMIFS(SalesData[Revenue], SalesData[Region], B3, SalesData[OrderDate], "&gt;="&amp;DATE(LEFT(A3,4),MID(A3,6,2),1), SalesData[OrderDate], "&lt;="&amp;EOMONTH(DATE(LEFT(A3,4),MID(A3,6,2),1),0))</f>
        <v>7008.7424999999994</v>
      </c>
      <c r="E3">
        <f t="shared" si="0"/>
        <v>-42991.2575</v>
      </c>
      <c r="F3">
        <v>18000</v>
      </c>
      <c r="G3">
        <f>SUMIFS(SalesData[GrossProfit], SalesData[Region], B3, SalesData[OrderDate], "&gt;="&amp;DATE(LEFT(A3,4),MID(A3,6,2),1), SalesData[OrderDate], "&lt;="&amp;EOMONTH(DATE(LEFT(A3,4),MID(A3,6,2),1),0))</f>
        <v>2453.0598749999995</v>
      </c>
      <c r="H3">
        <f t="shared" si="1"/>
        <v>-15546.940125000001</v>
      </c>
      <c r="I3" t="str">
        <f t="shared" si="2"/>
        <v>Missed</v>
      </c>
    </row>
    <row r="4" spans="1:9" x14ac:dyDescent="0.3">
      <c r="A4" t="s">
        <v>510</v>
      </c>
      <c r="B4" t="s">
        <v>123</v>
      </c>
      <c r="C4">
        <v>50000</v>
      </c>
      <c r="D4">
        <f>SUMIFS(SalesData[Revenue], SalesData[Region], B4, SalesData[OrderDate], "&gt;="&amp;DATE(LEFT(A4,4),MID(A4,6,2),1), SalesData[OrderDate], "&lt;="&amp;EOMONTH(DATE(LEFT(A4,4),MID(A4,6,2),1),0))</f>
        <v>9788.5185000000001</v>
      </c>
      <c r="E4">
        <f t="shared" si="0"/>
        <v>-40211.481500000002</v>
      </c>
      <c r="F4">
        <v>18000</v>
      </c>
      <c r="G4">
        <f>SUMIFS(SalesData[GrossProfit], SalesData[Region], B4, SalesData[OrderDate], "&gt;="&amp;DATE(LEFT(A4,4),MID(A4,6,2),1), SalesData[OrderDate], "&lt;="&amp;EOMONTH(DATE(LEFT(A4,4),MID(A4,6,2),1),0))</f>
        <v>3425.9814750000005</v>
      </c>
      <c r="H4">
        <f t="shared" si="1"/>
        <v>-14574.018524999999</v>
      </c>
      <c r="I4" t="str">
        <f t="shared" si="2"/>
        <v>Missed</v>
      </c>
    </row>
    <row r="5" spans="1:9" x14ac:dyDescent="0.3">
      <c r="A5" t="s">
        <v>510</v>
      </c>
      <c r="B5" t="s">
        <v>137</v>
      </c>
      <c r="C5">
        <v>50000</v>
      </c>
      <c r="D5">
        <f>SUMIFS(SalesData[Revenue], SalesData[Region], B5, SalesData[OrderDate], "&gt;="&amp;DATE(LEFT(A5,4),MID(A5,6,2),1), SalesData[OrderDate], "&lt;="&amp;EOMONTH(DATE(LEFT(A5,4),MID(A5,6,2),1),0))</f>
        <v>9960.7739999999994</v>
      </c>
      <c r="E5">
        <f t="shared" si="0"/>
        <v>-40039.226000000002</v>
      </c>
      <c r="F5">
        <v>18000</v>
      </c>
      <c r="G5">
        <f>SUMIFS(SalesData[GrossProfit], SalesData[Region], B5, SalesData[OrderDate], "&gt;="&amp;DATE(LEFT(A5,4),MID(A5,6,2),1), SalesData[OrderDate], "&lt;="&amp;EOMONTH(DATE(LEFT(A5,4),MID(A5,6,2),1),0))</f>
        <v>3486.2708999999995</v>
      </c>
      <c r="H5">
        <f t="shared" si="1"/>
        <v>-14513.7291</v>
      </c>
      <c r="I5" t="str">
        <f t="shared" si="2"/>
        <v>Missed</v>
      </c>
    </row>
    <row r="6" spans="1:9" x14ac:dyDescent="0.3">
      <c r="A6" t="s">
        <v>511</v>
      </c>
      <c r="B6" t="s">
        <v>128</v>
      </c>
      <c r="C6">
        <v>50000</v>
      </c>
      <c r="D6">
        <f>SUMIFS(SalesData[Revenue], SalesData[Region], B6, SalesData[OrderDate], "&gt;="&amp;DATE(LEFT(A6,4),MID(A6,6,2),1), SalesData[OrderDate], "&lt;="&amp;EOMONTH(DATE(LEFT(A6,4),MID(A6,6,2),1),0))</f>
        <v>36553.924500000008</v>
      </c>
      <c r="E6">
        <f t="shared" si="0"/>
        <v>-13446.075499999992</v>
      </c>
      <c r="F6">
        <v>18000</v>
      </c>
      <c r="G6">
        <f>SUMIFS(SalesData[GrossProfit], SalesData[Region], B6, SalesData[OrderDate], "&gt;="&amp;DATE(LEFT(A6,4),MID(A6,6,2),1), SalesData[OrderDate], "&lt;="&amp;EOMONTH(DATE(LEFT(A6,4),MID(A6,6,2),1),0))</f>
        <v>12793.873574999998</v>
      </c>
      <c r="H6">
        <f t="shared" si="1"/>
        <v>-5206.1264250000022</v>
      </c>
      <c r="I6" t="str">
        <f t="shared" si="2"/>
        <v>Missed</v>
      </c>
    </row>
    <row r="7" spans="1:9" x14ac:dyDescent="0.3">
      <c r="A7" t="s">
        <v>511</v>
      </c>
      <c r="B7" t="s">
        <v>150</v>
      </c>
      <c r="C7">
        <v>50000</v>
      </c>
      <c r="D7">
        <f>SUMIFS(SalesData[Revenue], SalesData[Region], B7, SalesData[OrderDate], "&gt;="&amp;DATE(LEFT(A7,4),MID(A7,6,2),1), SalesData[OrderDate], "&lt;="&amp;EOMONTH(DATE(LEFT(A7,4),MID(A7,6,2),1),0))</f>
        <v>8991.7554999999993</v>
      </c>
      <c r="E7">
        <f t="shared" si="0"/>
        <v>-41008.244500000001</v>
      </c>
      <c r="F7">
        <v>18000</v>
      </c>
      <c r="G7">
        <f>SUMIFS(SalesData[GrossProfit], SalesData[Region], B7, SalesData[OrderDate], "&gt;="&amp;DATE(LEFT(A7,4),MID(A7,6,2),1), SalesData[OrderDate], "&lt;="&amp;EOMONTH(DATE(LEFT(A7,4),MID(A7,6,2),1),0))</f>
        <v>3147.1144249999998</v>
      </c>
      <c r="H7">
        <f t="shared" si="1"/>
        <v>-14852.885575</v>
      </c>
      <c r="I7" t="str">
        <f t="shared" si="2"/>
        <v>Missed</v>
      </c>
    </row>
    <row r="8" spans="1:9" x14ac:dyDescent="0.3">
      <c r="A8" t="s">
        <v>511</v>
      </c>
      <c r="B8" t="s">
        <v>123</v>
      </c>
      <c r="C8">
        <v>50000</v>
      </c>
      <c r="D8">
        <f>SUMIFS(SalesData[Revenue], SalesData[Region], B8, SalesData[OrderDate], "&gt;="&amp;DATE(LEFT(A8,4),MID(A8,6,2),1), SalesData[OrderDate], "&lt;="&amp;EOMONTH(DATE(LEFT(A8,4),MID(A8,6,2),1),0))</f>
        <v>17055.718000000001</v>
      </c>
      <c r="E8">
        <f t="shared" si="0"/>
        <v>-32944.281999999999</v>
      </c>
      <c r="F8">
        <v>18000</v>
      </c>
      <c r="G8">
        <f>SUMIFS(SalesData[GrossProfit], SalesData[Region], B8, SalesData[OrderDate], "&gt;="&amp;DATE(LEFT(A8,4),MID(A8,6,2),1), SalesData[OrderDate], "&lt;="&amp;EOMONTH(DATE(LEFT(A8,4),MID(A8,6,2),1),0))</f>
        <v>5969.5012999999999</v>
      </c>
      <c r="H8">
        <f t="shared" si="1"/>
        <v>-12030.4987</v>
      </c>
      <c r="I8" t="str">
        <f t="shared" si="2"/>
        <v>Missed</v>
      </c>
    </row>
    <row r="9" spans="1:9" x14ac:dyDescent="0.3">
      <c r="A9" t="s">
        <v>511</v>
      </c>
      <c r="B9" t="s">
        <v>137</v>
      </c>
      <c r="C9">
        <v>50000</v>
      </c>
      <c r="D9">
        <f>SUMIFS(SalesData[Revenue], SalesData[Region], B9, SalesData[OrderDate], "&gt;="&amp;DATE(LEFT(A9,4),MID(A9,6,2),1), SalesData[OrderDate], "&lt;="&amp;EOMONTH(DATE(LEFT(A9,4),MID(A9,6,2),1),0))</f>
        <v>39107.438499999997</v>
      </c>
      <c r="E9">
        <f t="shared" si="0"/>
        <v>-10892.561500000003</v>
      </c>
      <c r="F9">
        <v>18000</v>
      </c>
      <c r="G9">
        <f>SUMIFS(SalesData[GrossProfit], SalesData[Region], B9, SalesData[OrderDate], "&gt;="&amp;DATE(LEFT(A9,4),MID(A9,6,2),1), SalesData[OrderDate], "&lt;="&amp;EOMONTH(DATE(LEFT(A9,4),MID(A9,6,2),1),0))</f>
        <v>13687.603475</v>
      </c>
      <c r="H9">
        <f t="shared" si="1"/>
        <v>-4312.3965250000001</v>
      </c>
      <c r="I9" t="str">
        <f t="shared" si="2"/>
        <v>Missed</v>
      </c>
    </row>
    <row r="10" spans="1:9" x14ac:dyDescent="0.3">
      <c r="A10" t="s">
        <v>512</v>
      </c>
      <c r="B10" t="s">
        <v>128</v>
      </c>
      <c r="C10">
        <v>50000</v>
      </c>
      <c r="D10">
        <f>SUMIFS(SalesData[Revenue], SalesData[Region], B10, SalesData[OrderDate], "&gt;="&amp;DATE(LEFT(A10,4),MID(A10,6,2),1), SalesData[OrderDate], "&lt;="&amp;EOMONTH(DATE(LEFT(A10,4),MID(A10,6,2),1),0))</f>
        <v>57576.930500000002</v>
      </c>
      <c r="E10">
        <f t="shared" si="0"/>
        <v>7576.9305000000022</v>
      </c>
      <c r="F10">
        <v>18000</v>
      </c>
      <c r="G10">
        <f>SUMIFS(SalesData[GrossProfit], SalesData[Region], B10, SalesData[OrderDate], "&gt;="&amp;DATE(LEFT(A10,4),MID(A10,6,2),1), SalesData[OrderDate], "&lt;="&amp;EOMONTH(DATE(LEFT(A10,4),MID(A10,6,2),1),0))</f>
        <v>20151.925674999999</v>
      </c>
      <c r="H10">
        <f t="shared" si="1"/>
        <v>2151.9256749999986</v>
      </c>
      <c r="I10" t="str">
        <f t="shared" si="2"/>
        <v>Met</v>
      </c>
    </row>
    <row r="11" spans="1:9" x14ac:dyDescent="0.3">
      <c r="A11" t="s">
        <v>512</v>
      </c>
      <c r="B11" t="s">
        <v>150</v>
      </c>
      <c r="C11">
        <v>50000</v>
      </c>
      <c r="D11">
        <f>SUMIFS(SalesData[Revenue], SalesData[Region], B11, SalesData[OrderDate], "&gt;="&amp;DATE(LEFT(A11,4),MID(A11,6,2),1), SalesData[OrderDate], "&lt;="&amp;EOMONTH(DATE(LEFT(A11,4),MID(A11,6,2),1),0))</f>
        <v>50404.388999999996</v>
      </c>
      <c r="E11">
        <f t="shared" si="0"/>
        <v>404.38899999999558</v>
      </c>
      <c r="F11">
        <v>18000</v>
      </c>
      <c r="G11">
        <f>SUMIFS(SalesData[GrossProfit], SalesData[Region], B11, SalesData[OrderDate], "&gt;="&amp;DATE(LEFT(A11,4),MID(A11,6,2),1), SalesData[OrderDate], "&lt;="&amp;EOMONTH(DATE(LEFT(A11,4),MID(A11,6,2),1),0))</f>
        <v>17641.536149999996</v>
      </c>
      <c r="H11">
        <f t="shared" si="1"/>
        <v>-358.46385000000373</v>
      </c>
      <c r="I11" t="str">
        <f t="shared" si="2"/>
        <v>Met</v>
      </c>
    </row>
    <row r="12" spans="1:9" x14ac:dyDescent="0.3">
      <c r="A12" t="s">
        <v>512</v>
      </c>
      <c r="B12" t="s">
        <v>123</v>
      </c>
      <c r="C12">
        <v>50000</v>
      </c>
      <c r="D12">
        <f>SUMIFS(SalesData[Revenue], SalesData[Region], B12, SalesData[OrderDate], "&gt;="&amp;DATE(LEFT(A12,4),MID(A12,6,2),1), SalesData[OrderDate], "&lt;="&amp;EOMONTH(DATE(LEFT(A12,4),MID(A12,6,2),1),0))</f>
        <v>46470.952500000007</v>
      </c>
      <c r="E12">
        <f t="shared" si="0"/>
        <v>-3529.0474999999933</v>
      </c>
      <c r="F12">
        <v>18000</v>
      </c>
      <c r="G12">
        <f>SUMIFS(SalesData[GrossProfit], SalesData[Region], B12, SalesData[OrderDate], "&gt;="&amp;DATE(LEFT(A12,4),MID(A12,6,2),1), SalesData[OrderDate], "&lt;="&amp;EOMONTH(DATE(LEFT(A12,4),MID(A12,6,2),1),0))</f>
        <v>16264.833375</v>
      </c>
      <c r="H12">
        <f t="shared" si="1"/>
        <v>-1735.1666249999998</v>
      </c>
      <c r="I12" t="str">
        <f t="shared" si="2"/>
        <v>Missed</v>
      </c>
    </row>
    <row r="13" spans="1:9" x14ac:dyDescent="0.3">
      <c r="A13" t="s">
        <v>512</v>
      </c>
      <c r="B13" t="s">
        <v>137</v>
      </c>
      <c r="C13">
        <v>50000</v>
      </c>
      <c r="D13">
        <f>SUMIFS(SalesData[Revenue], SalesData[Region], B13, SalesData[OrderDate], "&gt;="&amp;DATE(LEFT(A13,4),MID(A13,6,2),1), SalesData[OrderDate], "&lt;="&amp;EOMONTH(DATE(LEFT(A13,4),MID(A13,6,2),1),0))</f>
        <v>15925.905000000001</v>
      </c>
      <c r="E13">
        <f t="shared" si="0"/>
        <v>-34074.095000000001</v>
      </c>
      <c r="F13">
        <v>18000</v>
      </c>
      <c r="G13">
        <f>SUMIFS(SalesData[GrossProfit], SalesData[Region], B13, SalesData[OrderDate], "&gt;="&amp;DATE(LEFT(A13,4),MID(A13,6,2),1), SalesData[OrderDate], "&lt;="&amp;EOMONTH(DATE(LEFT(A13,4),MID(A13,6,2),1),0))</f>
        <v>5574.0667500000009</v>
      </c>
      <c r="H13">
        <f t="shared" si="1"/>
        <v>-12425.933249999998</v>
      </c>
      <c r="I13" t="str">
        <f t="shared" si="2"/>
        <v>Missed</v>
      </c>
    </row>
    <row r="14" spans="1:9" x14ac:dyDescent="0.3">
      <c r="A14" t="s">
        <v>513</v>
      </c>
      <c r="B14" t="s">
        <v>128</v>
      </c>
      <c r="C14">
        <v>50000</v>
      </c>
      <c r="D14">
        <f>SUMIFS(SalesData[Revenue], SalesData[Region], B14, SalesData[OrderDate], "&gt;="&amp;DATE(LEFT(A14,4),MID(A14,6,2),1), SalesData[OrderDate], "&lt;="&amp;EOMONTH(DATE(LEFT(A14,4),MID(A14,6,2),1),0))</f>
        <v>29056.804</v>
      </c>
      <c r="E14">
        <f t="shared" si="0"/>
        <v>-20943.196</v>
      </c>
      <c r="F14">
        <v>18000</v>
      </c>
      <c r="G14">
        <f>SUMIFS(SalesData[GrossProfit], SalesData[Region], B14, SalesData[OrderDate], "&gt;="&amp;DATE(LEFT(A14,4),MID(A14,6,2),1), SalesData[OrderDate], "&lt;="&amp;EOMONTH(DATE(LEFT(A14,4),MID(A14,6,2),1),0))</f>
        <v>10169.8814</v>
      </c>
      <c r="H14">
        <f t="shared" si="1"/>
        <v>-7830.1185999999998</v>
      </c>
      <c r="I14" t="str">
        <f t="shared" si="2"/>
        <v>Missed</v>
      </c>
    </row>
    <row r="15" spans="1:9" x14ac:dyDescent="0.3">
      <c r="A15" t="s">
        <v>513</v>
      </c>
      <c r="B15" t="s">
        <v>150</v>
      </c>
      <c r="C15">
        <v>50000</v>
      </c>
      <c r="D15">
        <f>SUMIFS(SalesData[Revenue], SalesData[Region], B15, SalesData[OrderDate], "&gt;="&amp;DATE(LEFT(A15,4),MID(A15,6,2),1), SalesData[OrderDate], "&lt;="&amp;EOMONTH(DATE(LEFT(A15,4),MID(A15,6,2),1),0))</f>
        <v>3987.6345000000001</v>
      </c>
      <c r="E15">
        <f t="shared" si="0"/>
        <v>-46012.3655</v>
      </c>
      <c r="F15">
        <v>18000</v>
      </c>
      <c r="G15">
        <f>SUMIFS(SalesData[GrossProfit], SalesData[Region], B15, SalesData[OrderDate], "&gt;="&amp;DATE(LEFT(A15,4),MID(A15,6,2),1), SalesData[OrderDate], "&lt;="&amp;EOMONTH(DATE(LEFT(A15,4),MID(A15,6,2),1),0))</f>
        <v>1395.6720749999999</v>
      </c>
      <c r="H15">
        <f t="shared" si="1"/>
        <v>-16604.327925000001</v>
      </c>
      <c r="I15" t="str">
        <f t="shared" si="2"/>
        <v>Missed</v>
      </c>
    </row>
    <row r="16" spans="1:9" x14ac:dyDescent="0.3">
      <c r="A16" t="s">
        <v>513</v>
      </c>
      <c r="B16" t="s">
        <v>123</v>
      </c>
      <c r="C16">
        <v>50000</v>
      </c>
      <c r="D16">
        <f>SUMIFS(SalesData[Revenue], SalesData[Region], B16, SalesData[OrderDate], "&gt;="&amp;DATE(LEFT(A16,4),MID(A16,6,2),1), SalesData[OrderDate], "&lt;="&amp;EOMONTH(DATE(LEFT(A16,4),MID(A16,6,2),1),0))</f>
        <v>7116.3789999999999</v>
      </c>
      <c r="E16">
        <f t="shared" si="0"/>
        <v>-42883.620999999999</v>
      </c>
      <c r="F16">
        <v>18000</v>
      </c>
      <c r="G16">
        <f>SUMIFS(SalesData[GrossProfit], SalesData[Region], B16, SalesData[OrderDate], "&gt;="&amp;DATE(LEFT(A16,4),MID(A16,6,2),1), SalesData[OrderDate], "&lt;="&amp;EOMONTH(DATE(LEFT(A16,4),MID(A16,6,2),1),0))</f>
        <v>3253.8934499999996</v>
      </c>
      <c r="H16">
        <f t="shared" si="1"/>
        <v>-14746.10655</v>
      </c>
      <c r="I16" t="str">
        <f t="shared" si="2"/>
        <v>Missed</v>
      </c>
    </row>
    <row r="17" spans="1:9" x14ac:dyDescent="0.3">
      <c r="A17" t="s">
        <v>513</v>
      </c>
      <c r="B17" t="s">
        <v>137</v>
      </c>
      <c r="C17">
        <v>50000</v>
      </c>
      <c r="D17">
        <f>SUMIFS(SalesData[Revenue], SalesData[Region], B17, SalesData[OrderDate], "&gt;="&amp;DATE(LEFT(A17,4),MID(A17,6,2),1), SalesData[OrderDate], "&lt;="&amp;EOMONTH(DATE(LEFT(A17,4),MID(A17,6,2),1),0))</f>
        <v>20269.204000000002</v>
      </c>
      <c r="E17">
        <f t="shared" si="0"/>
        <v>-29730.795999999998</v>
      </c>
      <c r="F17">
        <v>18000</v>
      </c>
      <c r="G17">
        <f>SUMIFS(SalesData[GrossProfit], SalesData[Region], B17, SalesData[OrderDate], "&gt;="&amp;DATE(LEFT(A17,4),MID(A17,6,2),1), SalesData[OrderDate], "&lt;="&amp;EOMONTH(DATE(LEFT(A17,4),MID(A17,6,2),1),0))</f>
        <v>7094.2213999999985</v>
      </c>
      <c r="H17">
        <f t="shared" si="1"/>
        <v>-10905.778600000001</v>
      </c>
      <c r="I17" t="str">
        <f t="shared" si="2"/>
        <v>Missed</v>
      </c>
    </row>
    <row r="18" spans="1:9" x14ac:dyDescent="0.3">
      <c r="A18" t="s">
        <v>514</v>
      </c>
      <c r="B18" t="s">
        <v>128</v>
      </c>
      <c r="C18">
        <v>50000</v>
      </c>
      <c r="D18">
        <f>SUMIFS(SalesData[Revenue], SalesData[Region], B18, SalesData[OrderDate], "&gt;="&amp;DATE(LEFT(A18,4),MID(A18,6,2),1), SalesData[OrderDate], "&lt;="&amp;EOMONTH(DATE(LEFT(A18,4),MID(A18,6,2),1),0))</f>
        <v>3551.09</v>
      </c>
      <c r="E18">
        <f t="shared" si="0"/>
        <v>-46448.91</v>
      </c>
      <c r="F18">
        <v>18000</v>
      </c>
      <c r="G18">
        <f>SUMIFS(SalesData[GrossProfit], SalesData[Region], B18, SalesData[OrderDate], "&gt;="&amp;DATE(LEFT(A18,4),MID(A18,6,2),1), SalesData[OrderDate], "&lt;="&amp;EOMONTH(DATE(LEFT(A18,4),MID(A18,6,2),1),0))</f>
        <v>1242.8815000000002</v>
      </c>
      <c r="H18">
        <f t="shared" si="1"/>
        <v>-16757.1185</v>
      </c>
      <c r="I18" t="str">
        <f t="shared" si="2"/>
        <v>Missed</v>
      </c>
    </row>
    <row r="19" spans="1:9" x14ac:dyDescent="0.3">
      <c r="A19" t="s">
        <v>514</v>
      </c>
      <c r="B19" t="s">
        <v>150</v>
      </c>
      <c r="C19">
        <v>50000</v>
      </c>
      <c r="D19">
        <f>SUMIFS(SalesData[Revenue], SalesData[Region], B19, SalesData[OrderDate], "&gt;="&amp;DATE(LEFT(A19,4),MID(A19,6,2),1), SalesData[OrderDate], "&lt;="&amp;EOMONTH(DATE(LEFT(A19,4),MID(A19,6,2),1),0))</f>
        <v>1134.8039999999999</v>
      </c>
      <c r="E19">
        <f t="shared" si="0"/>
        <v>-48865.196000000004</v>
      </c>
      <c r="F19">
        <v>18000</v>
      </c>
      <c r="G19">
        <f>SUMIFS(SalesData[GrossProfit], SalesData[Region], B19, SalesData[OrderDate], "&gt;="&amp;DATE(LEFT(A19,4),MID(A19,6,2),1), SalesData[OrderDate], "&lt;="&amp;EOMONTH(DATE(LEFT(A19,4),MID(A19,6,2),1),0))</f>
        <v>397.1814</v>
      </c>
      <c r="H19">
        <f t="shared" si="1"/>
        <v>-17602.818599999999</v>
      </c>
      <c r="I19" t="str">
        <f t="shared" si="2"/>
        <v>Missed</v>
      </c>
    </row>
    <row r="20" spans="1:9" x14ac:dyDescent="0.3">
      <c r="A20" t="s">
        <v>514</v>
      </c>
      <c r="B20" t="s">
        <v>123</v>
      </c>
      <c r="C20">
        <v>50000</v>
      </c>
      <c r="D20">
        <f>SUMIFS(SalesData[Revenue], SalesData[Region], B20, SalesData[OrderDate], "&gt;="&amp;DATE(LEFT(A20,4),MID(A20,6,2),1), SalesData[OrderDate], "&lt;="&amp;EOMONTH(DATE(LEFT(A20,4),MID(A20,6,2),1),0))</f>
        <v>2636.4094999999998</v>
      </c>
      <c r="E20">
        <f t="shared" si="0"/>
        <v>-47363.590499999998</v>
      </c>
      <c r="F20">
        <v>18000</v>
      </c>
      <c r="G20">
        <f>SUMIFS(SalesData[GrossProfit], SalesData[Region], B20, SalesData[OrderDate], "&gt;="&amp;DATE(LEFT(A20,4),MID(A20,6,2),1), SalesData[OrderDate], "&lt;="&amp;EOMONTH(DATE(LEFT(A20,4),MID(A20,6,2),1),0))</f>
        <v>922.74332499999991</v>
      </c>
      <c r="H20">
        <f t="shared" si="1"/>
        <v>-17077.256675000001</v>
      </c>
      <c r="I20" t="str">
        <f t="shared" si="2"/>
        <v>Missed</v>
      </c>
    </row>
    <row r="21" spans="1:9" x14ac:dyDescent="0.3">
      <c r="A21" t="s">
        <v>514</v>
      </c>
      <c r="B21" t="s">
        <v>137</v>
      </c>
      <c r="C21">
        <v>50000</v>
      </c>
      <c r="D21">
        <f>SUMIFS(SalesData[Revenue], SalesData[Region], B21, SalesData[OrderDate], "&gt;="&amp;DATE(LEFT(A21,4),MID(A21,6,2),1), SalesData[OrderDate], "&lt;="&amp;EOMONTH(DATE(LEFT(A21,4),MID(A21,6,2),1),0))</f>
        <v>38143.752</v>
      </c>
      <c r="E21">
        <f t="shared" si="0"/>
        <v>-11856.248</v>
      </c>
      <c r="F21">
        <v>18000</v>
      </c>
      <c r="G21">
        <f>SUMIFS(SalesData[GrossProfit], SalesData[Region], B21, SalesData[OrderDate], "&gt;="&amp;DATE(LEFT(A21,4),MID(A21,6,2),1), SalesData[OrderDate], "&lt;="&amp;EOMONTH(DATE(LEFT(A21,4),MID(A21,6,2),1),0))</f>
        <v>13350.313200000001</v>
      </c>
      <c r="H21">
        <f t="shared" si="1"/>
        <v>-4649.6867999999995</v>
      </c>
      <c r="I21" t="str">
        <f t="shared" si="2"/>
        <v>Missed</v>
      </c>
    </row>
    <row r="22" spans="1:9" x14ac:dyDescent="0.3">
      <c r="A22" t="s">
        <v>515</v>
      </c>
      <c r="B22" t="s">
        <v>128</v>
      </c>
      <c r="C22">
        <v>50000</v>
      </c>
      <c r="D22">
        <f>SUMIFS(SalesData[Revenue], SalesData[Region], B22, SalesData[OrderDate], "&gt;="&amp;DATE(LEFT(A22,4),MID(A22,6,2),1), SalesData[OrderDate], "&lt;="&amp;EOMONTH(DATE(LEFT(A22,4),MID(A22,6,2),1),0))</f>
        <v>8328.6990000000005</v>
      </c>
      <c r="E22">
        <f t="shared" si="0"/>
        <v>-41671.300999999999</v>
      </c>
      <c r="F22">
        <v>18000</v>
      </c>
      <c r="G22">
        <f>SUMIFS(SalesData[GrossProfit], SalesData[Region], B22, SalesData[OrderDate], "&gt;="&amp;DATE(LEFT(A22,4),MID(A22,6,2),1), SalesData[OrderDate], "&lt;="&amp;EOMONTH(DATE(LEFT(A22,4),MID(A22,6,2),1),0))</f>
        <v>2915.0446499999998</v>
      </c>
      <c r="H22">
        <f t="shared" si="1"/>
        <v>-15084.95535</v>
      </c>
      <c r="I22" t="str">
        <f t="shared" si="2"/>
        <v>Missed</v>
      </c>
    </row>
    <row r="23" spans="1:9" x14ac:dyDescent="0.3">
      <c r="A23" t="s">
        <v>515</v>
      </c>
      <c r="B23" t="s">
        <v>150</v>
      </c>
      <c r="C23">
        <v>50000</v>
      </c>
      <c r="D23">
        <f>SUMIFS(SalesData[Revenue], SalesData[Region], B23, SalesData[OrderDate], "&gt;="&amp;DATE(LEFT(A23,4),MID(A23,6,2),1), SalesData[OrderDate], "&lt;="&amp;EOMONTH(DATE(LEFT(A23,4),MID(A23,6,2),1),0))</f>
        <v>45727.470999999998</v>
      </c>
      <c r="E23">
        <f t="shared" si="0"/>
        <v>-4272.5290000000023</v>
      </c>
      <c r="F23">
        <v>18000</v>
      </c>
      <c r="G23">
        <f>SUMIFS(SalesData[GrossProfit], SalesData[Region], B23, SalesData[OrderDate], "&gt;="&amp;DATE(LEFT(A23,4),MID(A23,6,2),1), SalesData[OrderDate], "&lt;="&amp;EOMONTH(DATE(LEFT(A23,4),MID(A23,6,2),1),0))</f>
        <v>16004.614849999998</v>
      </c>
      <c r="H23">
        <f t="shared" si="1"/>
        <v>-1995.3851500000019</v>
      </c>
      <c r="I23" t="str">
        <f t="shared" si="2"/>
        <v>Missed</v>
      </c>
    </row>
    <row r="24" spans="1:9" x14ac:dyDescent="0.3">
      <c r="A24" t="s">
        <v>515</v>
      </c>
      <c r="B24" t="s">
        <v>123</v>
      </c>
      <c r="C24">
        <v>50000</v>
      </c>
      <c r="D24">
        <f>SUMIFS(SalesData[Revenue], SalesData[Region], B24, SalesData[OrderDate], "&gt;="&amp;DATE(LEFT(A24,4),MID(A24,6,2),1), SalesData[OrderDate], "&lt;="&amp;EOMONTH(DATE(LEFT(A24,4),MID(A24,6,2),1),0))</f>
        <v>14086.040500000001</v>
      </c>
      <c r="E24">
        <f t="shared" si="0"/>
        <v>-35913.959499999997</v>
      </c>
      <c r="F24">
        <v>18000</v>
      </c>
      <c r="G24">
        <f>SUMIFS(SalesData[GrossProfit], SalesData[Region], B24, SalesData[OrderDate], "&gt;="&amp;DATE(LEFT(A24,4),MID(A24,6,2),1), SalesData[OrderDate], "&lt;="&amp;EOMONTH(DATE(LEFT(A24,4),MID(A24,6,2),1),0))</f>
        <v>4930.1141749999988</v>
      </c>
      <c r="H24">
        <f t="shared" si="1"/>
        <v>-13069.885825000001</v>
      </c>
      <c r="I24" t="str">
        <f t="shared" si="2"/>
        <v>Missed</v>
      </c>
    </row>
    <row r="25" spans="1:9" x14ac:dyDescent="0.3">
      <c r="A25" t="s">
        <v>515</v>
      </c>
      <c r="B25" t="s">
        <v>137</v>
      </c>
      <c r="C25">
        <v>50000</v>
      </c>
      <c r="D25">
        <f>SUMIFS(SalesData[Revenue], SalesData[Region], B25, SalesData[OrderDate], "&gt;="&amp;DATE(LEFT(A25,4),MID(A25,6,2),1), SalesData[OrderDate], "&lt;="&amp;EOMONTH(DATE(LEFT(A25,4),MID(A25,6,2),1),0))</f>
        <v>23794.953000000001</v>
      </c>
      <c r="E25">
        <f t="shared" si="0"/>
        <v>-26205.046999999999</v>
      </c>
      <c r="F25">
        <v>18000</v>
      </c>
      <c r="G25">
        <f>SUMIFS(SalesData[GrossProfit], SalesData[Region], B25, SalesData[OrderDate], "&gt;="&amp;DATE(LEFT(A25,4),MID(A25,6,2),1), SalesData[OrderDate], "&lt;="&amp;EOMONTH(DATE(LEFT(A25,4),MID(A25,6,2),1),0))</f>
        <v>8328.2335500000008</v>
      </c>
      <c r="H25">
        <f t="shared" si="1"/>
        <v>-9671.7664499999992</v>
      </c>
      <c r="I25" t="str">
        <f t="shared" si="2"/>
        <v>Missed</v>
      </c>
    </row>
    <row r="26" spans="1:9" x14ac:dyDescent="0.3">
      <c r="A26" t="s">
        <v>516</v>
      </c>
      <c r="B26" t="s">
        <v>128</v>
      </c>
      <c r="C26">
        <v>50000</v>
      </c>
      <c r="D26">
        <f>SUMIFS(SalesData[Revenue], SalesData[Region], B26, SalesData[OrderDate], "&gt;="&amp;DATE(LEFT(A26,4),MID(A26,6,2),1), SalesData[OrderDate], "&lt;="&amp;EOMONTH(DATE(LEFT(A26,4),MID(A26,6,2),1),0))</f>
        <v>25774.264499999997</v>
      </c>
      <c r="E26">
        <f t="shared" si="0"/>
        <v>-24225.735500000003</v>
      </c>
      <c r="F26">
        <v>18000</v>
      </c>
      <c r="G26">
        <f>SUMIFS(SalesData[GrossProfit], SalesData[Region], B26, SalesData[OrderDate], "&gt;="&amp;DATE(LEFT(A26,4),MID(A26,6,2),1), SalesData[OrderDate], "&lt;="&amp;EOMONTH(DATE(LEFT(A26,4),MID(A26,6,2),1),0))</f>
        <v>9020.9925750000002</v>
      </c>
      <c r="H26">
        <f t="shared" si="1"/>
        <v>-8979.0074249999998</v>
      </c>
      <c r="I26" t="str">
        <f t="shared" si="2"/>
        <v>Missed</v>
      </c>
    </row>
    <row r="27" spans="1:9" x14ac:dyDescent="0.3">
      <c r="A27" t="s">
        <v>516</v>
      </c>
      <c r="B27" t="s">
        <v>150</v>
      </c>
      <c r="C27">
        <v>50000</v>
      </c>
      <c r="D27">
        <f>SUMIFS(SalesData[Revenue], SalesData[Region], B27, SalesData[OrderDate], "&gt;="&amp;DATE(LEFT(A27,4),MID(A27,6,2),1), SalesData[OrderDate], "&lt;="&amp;EOMONTH(DATE(LEFT(A27,4),MID(A27,6,2),1),0))</f>
        <v>42418.654499999997</v>
      </c>
      <c r="E27">
        <f t="shared" si="0"/>
        <v>-7581.3455000000031</v>
      </c>
      <c r="F27">
        <v>18000</v>
      </c>
      <c r="G27">
        <f>SUMIFS(SalesData[GrossProfit], SalesData[Region], B27, SalesData[OrderDate], "&gt;="&amp;DATE(LEFT(A27,4),MID(A27,6,2),1), SalesData[OrderDate], "&lt;="&amp;EOMONTH(DATE(LEFT(A27,4),MID(A27,6,2),1),0))</f>
        <v>14846.529075</v>
      </c>
      <c r="H27">
        <f t="shared" si="1"/>
        <v>-3153.4709249999996</v>
      </c>
      <c r="I27" t="str">
        <f t="shared" si="2"/>
        <v>Missed</v>
      </c>
    </row>
    <row r="28" spans="1:9" x14ac:dyDescent="0.3">
      <c r="A28" t="s">
        <v>516</v>
      </c>
      <c r="B28" t="s">
        <v>123</v>
      </c>
      <c r="C28">
        <v>50000</v>
      </c>
      <c r="D28">
        <f>SUMIFS(SalesData[Revenue], SalesData[Region], B28, SalesData[OrderDate], "&gt;="&amp;DATE(LEFT(A28,4),MID(A28,6,2),1), SalesData[OrderDate], "&lt;="&amp;EOMONTH(DATE(LEFT(A28,4),MID(A28,6,2),1),0))</f>
        <v>29452.654500000001</v>
      </c>
      <c r="E28">
        <f t="shared" si="0"/>
        <v>-20547.345499999999</v>
      </c>
      <c r="F28">
        <v>18000</v>
      </c>
      <c r="G28">
        <f>SUMIFS(SalesData[GrossProfit], SalesData[Region], B28, SalesData[OrderDate], "&gt;="&amp;DATE(LEFT(A28,4),MID(A28,6,2),1), SalesData[OrderDate], "&lt;="&amp;EOMONTH(DATE(LEFT(A28,4),MID(A28,6,2),1),0))</f>
        <v>10308.429075</v>
      </c>
      <c r="H28">
        <f t="shared" si="1"/>
        <v>-7691.570925</v>
      </c>
      <c r="I28" t="str">
        <f t="shared" si="2"/>
        <v>Missed</v>
      </c>
    </row>
    <row r="29" spans="1:9" x14ac:dyDescent="0.3">
      <c r="A29" t="s">
        <v>516</v>
      </c>
      <c r="B29" t="s">
        <v>137</v>
      </c>
      <c r="C29">
        <v>50000</v>
      </c>
      <c r="D29">
        <f>SUMIFS(SalesData[Revenue], SalesData[Region], B29, SalesData[OrderDate], "&gt;="&amp;DATE(LEFT(A29,4),MID(A29,6,2),1), SalesData[OrderDate], "&lt;="&amp;EOMONTH(DATE(LEFT(A29,4),MID(A29,6,2),1),0))</f>
        <v>66272.521999999997</v>
      </c>
      <c r="E29">
        <f t="shared" si="0"/>
        <v>16272.521999999997</v>
      </c>
      <c r="F29">
        <v>18000</v>
      </c>
      <c r="G29">
        <f>SUMIFS(SalesData[GrossProfit], SalesData[Region], B29, SalesData[OrderDate], "&gt;="&amp;DATE(LEFT(A29,4),MID(A29,6,2),1), SalesData[OrderDate], "&lt;="&amp;EOMONTH(DATE(LEFT(A29,4),MID(A29,6,2),1),0))</f>
        <v>23195.382699999998</v>
      </c>
      <c r="H29">
        <f t="shared" si="1"/>
        <v>5195.3826999999983</v>
      </c>
      <c r="I29" t="str">
        <f t="shared" si="2"/>
        <v>Met</v>
      </c>
    </row>
    <row r="30" spans="1:9" x14ac:dyDescent="0.3">
      <c r="A30" t="s">
        <v>517</v>
      </c>
      <c r="B30" t="s">
        <v>128</v>
      </c>
      <c r="C30">
        <v>50000</v>
      </c>
      <c r="D30">
        <f>SUMIFS(SalesData[Revenue], SalesData[Region], B30, SalesData[OrderDate], "&gt;="&amp;DATE(LEFT(A30,4),MID(A30,6,2),1), SalesData[OrderDate], "&lt;="&amp;EOMONTH(DATE(LEFT(A30,4),MID(A30,6,2),1),0))</f>
        <v>16336.338</v>
      </c>
      <c r="E30">
        <f t="shared" si="0"/>
        <v>-33663.661999999997</v>
      </c>
      <c r="F30">
        <v>18000</v>
      </c>
      <c r="G30">
        <f>SUMIFS(SalesData[GrossProfit], SalesData[Region], B30, SalesData[OrderDate], "&gt;="&amp;DATE(LEFT(A30,4),MID(A30,6,2),1), SalesData[OrderDate], "&lt;="&amp;EOMONTH(DATE(LEFT(A30,4),MID(A30,6,2),1),0))</f>
        <v>5717.7182999999986</v>
      </c>
      <c r="H30">
        <f t="shared" si="1"/>
        <v>-12282.281700000001</v>
      </c>
      <c r="I30" t="str">
        <f t="shared" si="2"/>
        <v>Missed</v>
      </c>
    </row>
    <row r="31" spans="1:9" x14ac:dyDescent="0.3">
      <c r="A31" t="s">
        <v>517</v>
      </c>
      <c r="B31" t="s">
        <v>150</v>
      </c>
      <c r="C31">
        <v>50000</v>
      </c>
      <c r="D31">
        <f>SUMIFS(SalesData[Revenue], SalesData[Region], B31, SalesData[OrderDate], "&gt;="&amp;DATE(LEFT(A31,4),MID(A31,6,2),1), SalesData[OrderDate], "&lt;="&amp;EOMONTH(DATE(LEFT(A31,4),MID(A31,6,2),1),0))</f>
        <v>15781.0425</v>
      </c>
      <c r="E31">
        <f t="shared" si="0"/>
        <v>-34218.957500000004</v>
      </c>
      <c r="F31">
        <v>18000</v>
      </c>
      <c r="G31">
        <f>SUMIFS(SalesData[GrossProfit], SalesData[Region], B31, SalesData[OrderDate], "&gt;="&amp;DATE(LEFT(A31,4),MID(A31,6,2),1), SalesData[OrderDate], "&lt;="&amp;EOMONTH(DATE(LEFT(A31,4),MID(A31,6,2),1),0))</f>
        <v>5523.3648749999993</v>
      </c>
      <c r="H31">
        <f t="shared" si="1"/>
        <v>-12476.635125000001</v>
      </c>
      <c r="I31" t="str">
        <f t="shared" si="2"/>
        <v>Missed</v>
      </c>
    </row>
    <row r="32" spans="1:9" x14ac:dyDescent="0.3">
      <c r="A32" t="s">
        <v>517</v>
      </c>
      <c r="B32" t="s">
        <v>123</v>
      </c>
      <c r="C32">
        <v>50000</v>
      </c>
      <c r="D32">
        <f>SUMIFS(SalesData[Revenue], SalesData[Region], B32, SalesData[OrderDate], "&gt;="&amp;DATE(LEFT(A32,4),MID(A32,6,2),1), SalesData[OrderDate], "&lt;="&amp;EOMONTH(DATE(LEFT(A32,4),MID(A32,6,2),1),0))</f>
        <v>4946.4269999999997</v>
      </c>
      <c r="E32">
        <f t="shared" si="0"/>
        <v>-45053.573000000004</v>
      </c>
      <c r="F32">
        <v>18000</v>
      </c>
      <c r="G32">
        <f>SUMIFS(SalesData[GrossProfit], SalesData[Region], B32, SalesData[OrderDate], "&gt;="&amp;DATE(LEFT(A32,4),MID(A32,6,2),1), SalesData[OrderDate], "&lt;="&amp;EOMONTH(DATE(LEFT(A32,4),MID(A32,6,2),1),0))</f>
        <v>1731.24945</v>
      </c>
      <c r="H32">
        <f t="shared" si="1"/>
        <v>-16268.750550000001</v>
      </c>
      <c r="I32" t="str">
        <f t="shared" si="2"/>
        <v>Missed</v>
      </c>
    </row>
    <row r="33" spans="1:9" x14ac:dyDescent="0.3">
      <c r="A33" t="s">
        <v>517</v>
      </c>
      <c r="B33" t="s">
        <v>137</v>
      </c>
      <c r="C33">
        <v>50000</v>
      </c>
      <c r="D33">
        <f>SUMIFS(SalesData[Revenue], SalesData[Region], B33, SalesData[OrderDate], "&gt;="&amp;DATE(LEFT(A33,4),MID(A33,6,2),1), SalesData[OrderDate], "&lt;="&amp;EOMONTH(DATE(LEFT(A33,4),MID(A33,6,2),1),0))</f>
        <v>36481.351999999999</v>
      </c>
      <c r="E33">
        <f t="shared" si="0"/>
        <v>-13518.648000000001</v>
      </c>
      <c r="F33">
        <v>18000</v>
      </c>
      <c r="G33">
        <f>SUMIFS(SalesData[GrossProfit], SalesData[Region], B33, SalesData[OrderDate], "&gt;="&amp;DATE(LEFT(A33,4),MID(A33,6,2),1), SalesData[OrderDate], "&lt;="&amp;EOMONTH(DATE(LEFT(A33,4),MID(A33,6,2),1),0))</f>
        <v>12768.473199999999</v>
      </c>
      <c r="H33">
        <f t="shared" si="1"/>
        <v>-5231.5268000000015</v>
      </c>
      <c r="I33" t="str">
        <f t="shared" si="2"/>
        <v>Missed</v>
      </c>
    </row>
    <row r="34" spans="1:9" x14ac:dyDescent="0.3">
      <c r="A34" t="s">
        <v>518</v>
      </c>
      <c r="B34" t="s">
        <v>128</v>
      </c>
      <c r="C34">
        <v>50000</v>
      </c>
      <c r="D34">
        <f>SUMIFS(SalesData[Revenue], SalesData[Region], B34, SalesData[OrderDate], "&gt;="&amp;DATE(LEFT(A34,4),MID(A34,6,2),1), SalesData[OrderDate], "&lt;="&amp;EOMONTH(DATE(LEFT(A34,4),MID(A34,6,2),1),0))</f>
        <v>18086.79</v>
      </c>
      <c r="E34">
        <f t="shared" si="0"/>
        <v>-31913.21</v>
      </c>
      <c r="F34">
        <v>18000</v>
      </c>
      <c r="G34">
        <f>SUMIFS(SalesData[GrossProfit], SalesData[Region], B34, SalesData[OrderDate], "&gt;="&amp;DATE(LEFT(A34,4),MID(A34,6,2),1), SalesData[OrderDate], "&lt;="&amp;EOMONTH(DATE(LEFT(A34,4),MID(A34,6,2),1),0))</f>
        <v>6330.3765000000003</v>
      </c>
      <c r="H34">
        <f t="shared" si="1"/>
        <v>-11669.6235</v>
      </c>
      <c r="I34" t="str">
        <f t="shared" si="2"/>
        <v>Missed</v>
      </c>
    </row>
    <row r="35" spans="1:9" x14ac:dyDescent="0.3">
      <c r="A35" t="s">
        <v>518</v>
      </c>
      <c r="B35" t="s">
        <v>150</v>
      </c>
      <c r="C35">
        <v>50000</v>
      </c>
      <c r="D35">
        <f>SUMIFS(SalesData[Revenue], SalesData[Region], B35, SalesData[OrderDate], "&gt;="&amp;DATE(LEFT(A35,4),MID(A35,6,2),1), SalesData[OrderDate], "&lt;="&amp;EOMONTH(DATE(LEFT(A35,4),MID(A35,6,2),1),0))</f>
        <v>28007.114000000001</v>
      </c>
      <c r="E35">
        <f t="shared" si="0"/>
        <v>-21992.885999999999</v>
      </c>
      <c r="F35">
        <v>18000</v>
      </c>
      <c r="G35">
        <f>SUMIFS(SalesData[GrossProfit], SalesData[Region], B35, SalesData[OrderDate], "&gt;="&amp;DATE(LEFT(A35,4),MID(A35,6,2),1), SalesData[OrderDate], "&lt;="&amp;EOMONTH(DATE(LEFT(A35,4),MID(A35,6,2),1),0))</f>
        <v>9802.4898999999987</v>
      </c>
      <c r="H35">
        <f t="shared" si="1"/>
        <v>-8197.5101000000013</v>
      </c>
      <c r="I35" t="str">
        <f t="shared" si="2"/>
        <v>Missed</v>
      </c>
    </row>
    <row r="36" spans="1:9" x14ac:dyDescent="0.3">
      <c r="A36" t="s">
        <v>518</v>
      </c>
      <c r="B36" t="s">
        <v>123</v>
      </c>
      <c r="C36">
        <v>50000</v>
      </c>
      <c r="D36">
        <f>SUMIFS(SalesData[Revenue], SalesData[Region], B36, SalesData[OrderDate], "&gt;="&amp;DATE(LEFT(A36,4),MID(A36,6,2),1), SalesData[OrderDate], "&lt;="&amp;EOMONTH(DATE(LEFT(A36,4),MID(A36,6,2),1),0))</f>
        <v>35451.487999999998</v>
      </c>
      <c r="E36">
        <f t="shared" si="0"/>
        <v>-14548.512000000002</v>
      </c>
      <c r="F36">
        <v>18000</v>
      </c>
      <c r="G36">
        <f>SUMIFS(SalesData[GrossProfit], SalesData[Region], B36, SalesData[OrderDate], "&gt;="&amp;DATE(LEFT(A36,4),MID(A36,6,2),1), SalesData[OrderDate], "&lt;="&amp;EOMONTH(DATE(LEFT(A36,4),MID(A36,6,2),1),0))</f>
        <v>12408.0208</v>
      </c>
      <c r="H36">
        <f t="shared" si="1"/>
        <v>-5591.9791999999998</v>
      </c>
      <c r="I36" t="str">
        <f t="shared" si="2"/>
        <v>Missed</v>
      </c>
    </row>
    <row r="37" spans="1:9" x14ac:dyDescent="0.3">
      <c r="A37" t="s">
        <v>518</v>
      </c>
      <c r="B37" t="s">
        <v>137</v>
      </c>
      <c r="C37">
        <v>50000</v>
      </c>
      <c r="D37">
        <f>SUMIFS(SalesData[Revenue], SalesData[Region], B37, SalesData[OrderDate], "&gt;="&amp;DATE(LEFT(A37,4),MID(A37,6,2),1), SalesData[OrderDate], "&lt;="&amp;EOMONTH(DATE(LEFT(A37,4),MID(A37,6,2),1),0))</f>
        <v>36069.158999999992</v>
      </c>
      <c r="E37">
        <f t="shared" si="0"/>
        <v>-13930.841000000008</v>
      </c>
      <c r="F37">
        <v>18000</v>
      </c>
      <c r="G37">
        <f>SUMIFS(SalesData[GrossProfit], SalesData[Region], B37, SalesData[OrderDate], "&gt;="&amp;DATE(LEFT(A37,4),MID(A37,6,2),1), SalesData[OrderDate], "&lt;="&amp;EOMONTH(DATE(LEFT(A37,4),MID(A37,6,2),1),0))</f>
        <v>12624.205649999998</v>
      </c>
      <c r="H37">
        <f t="shared" si="1"/>
        <v>-5375.7943500000019</v>
      </c>
      <c r="I37" t="str">
        <f t="shared" si="2"/>
        <v>Missed</v>
      </c>
    </row>
    <row r="38" spans="1:9" x14ac:dyDescent="0.3">
      <c r="A38" t="s">
        <v>519</v>
      </c>
      <c r="B38" t="s">
        <v>128</v>
      </c>
      <c r="C38">
        <v>50000</v>
      </c>
      <c r="D38">
        <f>SUMIFS(SalesData[Revenue], SalesData[Region], B38, SalesData[OrderDate], "&gt;="&amp;DATE(LEFT(A38,4),MID(A38,6,2),1), SalesData[OrderDate], "&lt;="&amp;EOMONTH(DATE(LEFT(A38,4),MID(A38,6,2),1),0))</f>
        <v>32667.423500000001</v>
      </c>
      <c r="E38">
        <f t="shared" si="0"/>
        <v>-17332.576499999999</v>
      </c>
      <c r="F38">
        <v>18000</v>
      </c>
      <c r="G38">
        <f>SUMIFS(SalesData[GrossProfit], SalesData[Region], B38, SalesData[OrderDate], "&gt;="&amp;DATE(LEFT(A38,4),MID(A38,6,2),1), SalesData[OrderDate], "&lt;="&amp;EOMONTH(DATE(LEFT(A38,4),MID(A38,6,2),1),0))</f>
        <v>11433.598224999996</v>
      </c>
      <c r="H38">
        <f t="shared" si="1"/>
        <v>-6566.4017750000039</v>
      </c>
      <c r="I38" t="str">
        <f t="shared" si="2"/>
        <v>Missed</v>
      </c>
    </row>
    <row r="39" spans="1:9" x14ac:dyDescent="0.3">
      <c r="A39" t="s">
        <v>519</v>
      </c>
      <c r="B39" t="s">
        <v>150</v>
      </c>
      <c r="C39">
        <v>50000</v>
      </c>
      <c r="D39">
        <f>SUMIFS(SalesData[Revenue], SalesData[Region], B39, SalesData[OrderDate], "&gt;="&amp;DATE(LEFT(A39,4),MID(A39,6,2),1), SalesData[OrderDate], "&lt;="&amp;EOMONTH(DATE(LEFT(A39,4),MID(A39,6,2),1),0))</f>
        <v>31406.959999999999</v>
      </c>
      <c r="E39">
        <f t="shared" si="0"/>
        <v>-18593.04</v>
      </c>
      <c r="F39">
        <v>18000</v>
      </c>
      <c r="G39">
        <f>SUMIFS(SalesData[GrossProfit], SalesData[Region], B39, SalesData[OrderDate], "&gt;="&amp;DATE(LEFT(A39,4),MID(A39,6,2),1), SalesData[OrderDate], "&lt;="&amp;EOMONTH(DATE(LEFT(A39,4),MID(A39,6,2),1),0))</f>
        <v>10992.436</v>
      </c>
      <c r="H39">
        <f t="shared" si="1"/>
        <v>-7007.5640000000003</v>
      </c>
      <c r="I39" t="str">
        <f t="shared" si="2"/>
        <v>Missed</v>
      </c>
    </row>
    <row r="40" spans="1:9" x14ac:dyDescent="0.3">
      <c r="A40" t="s">
        <v>519</v>
      </c>
      <c r="B40" t="s">
        <v>123</v>
      </c>
      <c r="C40">
        <v>50000</v>
      </c>
      <c r="D40">
        <f>SUMIFS(SalesData[Revenue], SalesData[Region], B40, SalesData[OrderDate], "&gt;="&amp;DATE(LEFT(A40,4),MID(A40,6,2),1), SalesData[OrderDate], "&lt;="&amp;EOMONTH(DATE(LEFT(A40,4),MID(A40,6,2),1),0))</f>
        <v>38870.132500000007</v>
      </c>
      <c r="E40">
        <f t="shared" si="0"/>
        <v>-11129.867499999993</v>
      </c>
      <c r="F40">
        <v>18000</v>
      </c>
      <c r="G40">
        <f>SUMIFS(SalesData[GrossProfit], SalesData[Region], B40, SalesData[OrderDate], "&gt;="&amp;DATE(LEFT(A40,4),MID(A40,6,2),1), SalesData[OrderDate], "&lt;="&amp;EOMONTH(DATE(LEFT(A40,4),MID(A40,6,2),1),0))</f>
        <v>13604.546375000002</v>
      </c>
      <c r="H40">
        <f t="shared" si="1"/>
        <v>-4395.4536249999983</v>
      </c>
      <c r="I40" t="str">
        <f t="shared" si="2"/>
        <v>Missed</v>
      </c>
    </row>
    <row r="41" spans="1:9" x14ac:dyDescent="0.3">
      <c r="A41" t="s">
        <v>519</v>
      </c>
      <c r="B41" t="s">
        <v>137</v>
      </c>
      <c r="C41">
        <v>50000</v>
      </c>
      <c r="D41">
        <f>SUMIFS(SalesData[Revenue], SalesData[Region], B41, SalesData[OrderDate], "&gt;="&amp;DATE(LEFT(A41,4),MID(A41,6,2),1), SalesData[OrderDate], "&lt;="&amp;EOMONTH(DATE(LEFT(A41,4),MID(A41,6,2),1),0))</f>
        <v>33871.418000000005</v>
      </c>
      <c r="E41">
        <f t="shared" si="0"/>
        <v>-16128.581999999995</v>
      </c>
      <c r="F41">
        <v>18000</v>
      </c>
      <c r="G41">
        <f>SUMIFS(SalesData[GrossProfit], SalesData[Region], B41, SalesData[OrderDate], "&gt;="&amp;DATE(LEFT(A41,4),MID(A41,6,2),1), SalesData[OrderDate], "&lt;="&amp;EOMONTH(DATE(LEFT(A41,4),MID(A41,6,2),1),0))</f>
        <v>11854.996299999999</v>
      </c>
      <c r="H41">
        <f t="shared" si="1"/>
        <v>-6145.0037000000011</v>
      </c>
      <c r="I41" t="str">
        <f t="shared" si="2"/>
        <v>Missed</v>
      </c>
    </row>
    <row r="42" spans="1:9" x14ac:dyDescent="0.3">
      <c r="A42" t="s">
        <v>520</v>
      </c>
      <c r="B42" t="s">
        <v>128</v>
      </c>
      <c r="C42">
        <v>50000</v>
      </c>
      <c r="D42">
        <f>SUMIFS(SalesData[Revenue], SalesData[Region], B42, SalesData[OrderDate], "&gt;="&amp;DATE(LEFT(A42,4),MID(A42,6,2),1), SalesData[OrderDate], "&lt;="&amp;EOMONTH(DATE(LEFT(A42,4),MID(A42,6,2),1),0))</f>
        <v>39881.83</v>
      </c>
      <c r="E42">
        <f t="shared" si="0"/>
        <v>-10118.169999999998</v>
      </c>
      <c r="F42">
        <v>18000</v>
      </c>
      <c r="G42">
        <f>SUMIFS(SalesData[GrossProfit], SalesData[Region], B42, SalesData[OrderDate], "&gt;="&amp;DATE(LEFT(A42,4),MID(A42,6,2),1), SalesData[OrderDate], "&lt;="&amp;EOMONTH(DATE(LEFT(A42,4),MID(A42,6,2),1),0))</f>
        <v>13958.640500000001</v>
      </c>
      <c r="H42">
        <f t="shared" si="1"/>
        <v>-4041.3594999999987</v>
      </c>
      <c r="I42" t="str">
        <f t="shared" si="2"/>
        <v>Missed</v>
      </c>
    </row>
    <row r="43" spans="1:9" x14ac:dyDescent="0.3">
      <c r="A43" t="s">
        <v>520</v>
      </c>
      <c r="B43" t="s">
        <v>150</v>
      </c>
      <c r="C43">
        <v>50000</v>
      </c>
      <c r="D43">
        <f>SUMIFS(SalesData[Revenue], SalesData[Region], B43, SalesData[OrderDate], "&gt;="&amp;DATE(LEFT(A43,4),MID(A43,6,2),1), SalesData[OrderDate], "&lt;="&amp;EOMONTH(DATE(LEFT(A43,4),MID(A43,6,2),1),0))</f>
        <v>24462.6515</v>
      </c>
      <c r="E43">
        <f t="shared" si="0"/>
        <v>-25537.3485</v>
      </c>
      <c r="F43">
        <v>18000</v>
      </c>
      <c r="G43">
        <f>SUMIFS(SalesData[GrossProfit], SalesData[Region], B43, SalesData[OrderDate], "&gt;="&amp;DATE(LEFT(A43,4),MID(A43,6,2),1), SalesData[OrderDate], "&lt;="&amp;EOMONTH(DATE(LEFT(A43,4),MID(A43,6,2),1),0))</f>
        <v>8561.9280249999993</v>
      </c>
      <c r="H43">
        <f t="shared" si="1"/>
        <v>-9438.0719750000007</v>
      </c>
      <c r="I43" t="str">
        <f t="shared" si="2"/>
        <v>Missed</v>
      </c>
    </row>
    <row r="44" spans="1:9" x14ac:dyDescent="0.3">
      <c r="A44" t="s">
        <v>520</v>
      </c>
      <c r="B44" t="s">
        <v>123</v>
      </c>
      <c r="C44">
        <v>50000</v>
      </c>
      <c r="D44">
        <f>SUMIFS(SalesData[Revenue], SalesData[Region], B44, SalesData[OrderDate], "&gt;="&amp;DATE(LEFT(A44,4),MID(A44,6,2),1), SalesData[OrderDate], "&lt;="&amp;EOMONTH(DATE(LEFT(A44,4),MID(A44,6,2),1),0))</f>
        <v>13278.875</v>
      </c>
      <c r="E44">
        <f t="shared" si="0"/>
        <v>-36721.125</v>
      </c>
      <c r="F44">
        <v>18000</v>
      </c>
      <c r="G44">
        <f>SUMIFS(SalesData[GrossProfit], SalesData[Region], B44, SalesData[OrderDate], "&gt;="&amp;DATE(LEFT(A44,4),MID(A44,6,2),1), SalesData[OrderDate], "&lt;="&amp;EOMONTH(DATE(LEFT(A44,4),MID(A44,6,2),1),0))</f>
        <v>4647.6062499999998</v>
      </c>
      <c r="H44">
        <f t="shared" si="1"/>
        <v>-13352.393749999999</v>
      </c>
      <c r="I44" t="str">
        <f t="shared" si="2"/>
        <v>Missed</v>
      </c>
    </row>
    <row r="45" spans="1:9" x14ac:dyDescent="0.3">
      <c r="A45" t="s">
        <v>520</v>
      </c>
      <c r="B45" t="s">
        <v>137</v>
      </c>
      <c r="C45">
        <v>50000</v>
      </c>
      <c r="D45">
        <f>SUMIFS(SalesData[Revenue], SalesData[Region], B45, SalesData[OrderDate], "&gt;="&amp;DATE(LEFT(A45,4),MID(A45,6,2),1), SalesData[OrderDate], "&lt;="&amp;EOMONTH(DATE(LEFT(A45,4),MID(A45,6,2),1),0))</f>
        <v>75533.950499999992</v>
      </c>
      <c r="E45">
        <f t="shared" si="0"/>
        <v>25533.950499999992</v>
      </c>
      <c r="F45">
        <v>18000</v>
      </c>
      <c r="G45">
        <f>SUMIFS(SalesData[GrossProfit], SalesData[Region], B45, SalesData[OrderDate], "&gt;="&amp;DATE(LEFT(A45,4),MID(A45,6,2),1), SalesData[OrderDate], "&lt;="&amp;EOMONTH(DATE(LEFT(A45,4),MID(A45,6,2),1),0))</f>
        <v>26436.882674999997</v>
      </c>
      <c r="H45">
        <f t="shared" si="1"/>
        <v>8436.8826749999971</v>
      </c>
      <c r="I45" t="str">
        <f t="shared" si="2"/>
        <v>Met</v>
      </c>
    </row>
    <row r="46" spans="1:9" x14ac:dyDescent="0.3">
      <c r="A46" t="s">
        <v>521</v>
      </c>
      <c r="B46" t="s">
        <v>128</v>
      </c>
      <c r="C46">
        <v>50000</v>
      </c>
      <c r="D46">
        <f>SUMIFS(SalesData[Revenue], SalesData[Region], B46, SalesData[OrderDate], "&gt;="&amp;DATE(LEFT(A46,4),MID(A46,6,2),1), SalesData[OrderDate], "&lt;="&amp;EOMONTH(DATE(LEFT(A46,4),MID(A46,6,2),1),0))</f>
        <v>0</v>
      </c>
      <c r="E46">
        <f t="shared" si="0"/>
        <v>-50000</v>
      </c>
      <c r="F46">
        <v>18000</v>
      </c>
      <c r="G46">
        <f>SUMIFS(SalesData[GrossProfit], SalesData[Region], B46, SalesData[OrderDate], "&gt;="&amp;DATE(LEFT(A46,4),MID(A46,6,2),1), SalesData[OrderDate], "&lt;="&amp;EOMONTH(DATE(LEFT(A46,4),MID(A46,6,2),1),0))</f>
        <v>0</v>
      </c>
      <c r="H46">
        <f t="shared" si="1"/>
        <v>-18000</v>
      </c>
      <c r="I46" t="str">
        <f t="shared" si="2"/>
        <v>Missed</v>
      </c>
    </row>
    <row r="47" spans="1:9" x14ac:dyDescent="0.3">
      <c r="A47" t="s">
        <v>521</v>
      </c>
      <c r="B47" t="s">
        <v>150</v>
      </c>
      <c r="C47">
        <v>50000</v>
      </c>
      <c r="D47">
        <f>SUMIFS(SalesData[Revenue], SalesData[Region], B47, SalesData[OrderDate], "&gt;="&amp;DATE(LEFT(A47,4),MID(A47,6,2),1), SalesData[OrderDate], "&lt;="&amp;EOMONTH(DATE(LEFT(A47,4),MID(A47,6,2),1),0))</f>
        <v>16847.572499999998</v>
      </c>
      <c r="E47">
        <f t="shared" si="0"/>
        <v>-33152.427500000005</v>
      </c>
      <c r="F47">
        <v>18000</v>
      </c>
      <c r="G47">
        <f>SUMIFS(SalesData[GrossProfit], SalesData[Region], B47, SalesData[OrderDate], "&gt;="&amp;DATE(LEFT(A47,4),MID(A47,6,2),1), SalesData[OrderDate], "&lt;="&amp;EOMONTH(DATE(LEFT(A47,4),MID(A47,6,2),1),0))</f>
        <v>5896.6503750000002</v>
      </c>
      <c r="H47">
        <f t="shared" si="1"/>
        <v>-12103.349624999999</v>
      </c>
      <c r="I47" t="str">
        <f t="shared" si="2"/>
        <v>Missed</v>
      </c>
    </row>
    <row r="48" spans="1:9" x14ac:dyDescent="0.3">
      <c r="A48" t="s">
        <v>521</v>
      </c>
      <c r="B48" t="s">
        <v>123</v>
      </c>
      <c r="C48">
        <v>50000</v>
      </c>
      <c r="D48">
        <f>SUMIFS(SalesData[Revenue], SalesData[Region], B48, SalesData[OrderDate], "&gt;="&amp;DATE(LEFT(A48,4),MID(A48,6,2),1), SalesData[OrderDate], "&lt;="&amp;EOMONTH(DATE(LEFT(A48,4),MID(A48,6,2),1),0))</f>
        <v>1731.8340000000003</v>
      </c>
      <c r="E48">
        <f t="shared" si="0"/>
        <v>-48268.165999999997</v>
      </c>
      <c r="F48">
        <v>18000</v>
      </c>
      <c r="G48">
        <f>SUMIFS(SalesData[GrossProfit], SalesData[Region], B48, SalesData[OrderDate], "&gt;="&amp;DATE(LEFT(A48,4),MID(A48,6,2),1), SalesData[OrderDate], "&lt;="&amp;EOMONTH(DATE(LEFT(A48,4),MID(A48,6,2),1),0))</f>
        <v>606.14190000000008</v>
      </c>
      <c r="H48">
        <f t="shared" si="1"/>
        <v>-17393.858100000001</v>
      </c>
      <c r="I48" t="str">
        <f t="shared" si="2"/>
        <v>Missed</v>
      </c>
    </row>
    <row r="49" spans="1:9" x14ac:dyDescent="0.3">
      <c r="A49" t="s">
        <v>521</v>
      </c>
      <c r="B49" t="s">
        <v>137</v>
      </c>
      <c r="C49">
        <v>50000</v>
      </c>
      <c r="D49">
        <f>SUMIFS(SalesData[Revenue], SalesData[Region], B49, SalesData[OrderDate], "&gt;="&amp;DATE(LEFT(A49,4),MID(A49,6,2),1), SalesData[OrderDate], "&lt;="&amp;EOMONTH(DATE(LEFT(A49,4),MID(A49,6,2),1),0))</f>
        <v>24793.8</v>
      </c>
      <c r="E49">
        <f t="shared" si="0"/>
        <v>-25206.2</v>
      </c>
      <c r="F49">
        <v>18000</v>
      </c>
      <c r="G49">
        <f>SUMIFS(SalesData[GrossProfit], SalesData[Region], B49, SalesData[OrderDate], "&gt;="&amp;DATE(LEFT(A49,4),MID(A49,6,2),1), SalesData[OrderDate], "&lt;="&amp;EOMONTH(DATE(LEFT(A49,4),MID(A49,6,2),1),0))</f>
        <v>8677.83</v>
      </c>
      <c r="H49">
        <f t="shared" si="1"/>
        <v>-9322.17</v>
      </c>
      <c r="I49" t="str">
        <f t="shared" si="2"/>
        <v>Missed</v>
      </c>
    </row>
    <row r="50" spans="1:9" x14ac:dyDescent="0.3">
      <c r="A50" t="s">
        <v>522</v>
      </c>
      <c r="B50" t="s">
        <v>128</v>
      </c>
      <c r="C50">
        <v>50000</v>
      </c>
      <c r="D50">
        <f>SUMIFS(SalesData[Revenue], SalesData[Region], B50, SalesData[OrderDate], "&gt;="&amp;DATE(LEFT(A50,4),MID(A50,6,2),1), SalesData[OrderDate], "&lt;="&amp;EOMONTH(DATE(LEFT(A50,4),MID(A50,6,2),1),0))</f>
        <v>18562.275999999998</v>
      </c>
      <c r="E50">
        <f t="shared" si="0"/>
        <v>-31437.724000000002</v>
      </c>
      <c r="F50">
        <v>18000</v>
      </c>
      <c r="G50">
        <f>SUMIFS(SalesData[GrossProfit], SalesData[Region], B50, SalesData[OrderDate], "&gt;="&amp;DATE(LEFT(A50,4),MID(A50,6,2),1), SalesData[OrderDate], "&lt;="&amp;EOMONTH(DATE(LEFT(A50,4),MID(A50,6,2),1),0))</f>
        <v>6496.7965999999997</v>
      </c>
      <c r="H50">
        <f t="shared" si="1"/>
        <v>-11503.2034</v>
      </c>
      <c r="I50" t="str">
        <f t="shared" si="2"/>
        <v>Missed</v>
      </c>
    </row>
    <row r="51" spans="1:9" x14ac:dyDescent="0.3">
      <c r="A51" t="s">
        <v>522</v>
      </c>
      <c r="B51" t="s">
        <v>150</v>
      </c>
      <c r="C51">
        <v>50000</v>
      </c>
      <c r="D51">
        <f>SUMIFS(SalesData[Revenue], SalesData[Region], B51, SalesData[OrderDate], "&gt;="&amp;DATE(LEFT(A51,4),MID(A51,6,2),1), SalesData[OrderDate], "&lt;="&amp;EOMONTH(DATE(LEFT(A51,4),MID(A51,6,2),1),0))</f>
        <v>26622.312000000002</v>
      </c>
      <c r="E51">
        <f t="shared" si="0"/>
        <v>-23377.687999999998</v>
      </c>
      <c r="F51">
        <v>18000</v>
      </c>
      <c r="G51">
        <f>SUMIFS(SalesData[GrossProfit], SalesData[Region], B51, SalesData[OrderDate], "&gt;="&amp;DATE(LEFT(A51,4),MID(A51,6,2),1), SalesData[OrderDate], "&lt;="&amp;EOMONTH(DATE(LEFT(A51,4),MID(A51,6,2),1),0))</f>
        <v>9317.8091999999997</v>
      </c>
      <c r="H51">
        <f t="shared" si="1"/>
        <v>-8682.1908000000003</v>
      </c>
      <c r="I51" t="str">
        <f t="shared" si="2"/>
        <v>Missed</v>
      </c>
    </row>
    <row r="52" spans="1:9" x14ac:dyDescent="0.3">
      <c r="A52" t="s">
        <v>522</v>
      </c>
      <c r="B52" t="s">
        <v>123</v>
      </c>
      <c r="C52">
        <v>50000</v>
      </c>
      <c r="D52">
        <f>SUMIFS(SalesData[Revenue], SalesData[Region], B52, SalesData[OrderDate], "&gt;="&amp;DATE(LEFT(A52,4),MID(A52,6,2),1), SalesData[OrderDate], "&lt;="&amp;EOMONTH(DATE(LEFT(A52,4),MID(A52,6,2),1),0))</f>
        <v>13815.733999999999</v>
      </c>
      <c r="E52">
        <f t="shared" si="0"/>
        <v>-36184.266000000003</v>
      </c>
      <c r="F52">
        <v>18000</v>
      </c>
      <c r="G52">
        <f>SUMIFS(SalesData[GrossProfit], SalesData[Region], B52, SalesData[OrderDate], "&gt;="&amp;DATE(LEFT(A52,4),MID(A52,6,2),1), SalesData[OrderDate], "&lt;="&amp;EOMONTH(DATE(LEFT(A52,4),MID(A52,6,2),1),0))</f>
        <v>4835.5068999999994</v>
      </c>
      <c r="H52">
        <f t="shared" si="1"/>
        <v>-13164.4931</v>
      </c>
      <c r="I52" t="str">
        <f t="shared" si="2"/>
        <v>Missed</v>
      </c>
    </row>
    <row r="53" spans="1:9" x14ac:dyDescent="0.3">
      <c r="A53" t="s">
        <v>522</v>
      </c>
      <c r="B53" t="s">
        <v>137</v>
      </c>
      <c r="C53">
        <v>50000</v>
      </c>
      <c r="D53">
        <f>SUMIFS(SalesData[Revenue], SalesData[Region], B53, SalesData[OrderDate], "&gt;="&amp;DATE(LEFT(A53,4),MID(A53,6,2),1), SalesData[OrderDate], "&lt;="&amp;EOMONTH(DATE(LEFT(A53,4),MID(A53,6,2),1),0))</f>
        <v>27358.662500000002</v>
      </c>
      <c r="E53">
        <f t="shared" si="0"/>
        <v>-22641.337499999998</v>
      </c>
      <c r="F53">
        <v>18000</v>
      </c>
      <c r="G53">
        <f>SUMIFS(SalesData[GrossProfit], SalesData[Region], B53, SalesData[OrderDate], "&gt;="&amp;DATE(LEFT(A53,4),MID(A53,6,2),1), SalesData[OrderDate], "&lt;="&amp;EOMONTH(DATE(LEFT(A53,4),MID(A53,6,2),1),0))</f>
        <v>9575.5318749999988</v>
      </c>
      <c r="H53">
        <f t="shared" si="1"/>
        <v>-8424.4681250000012</v>
      </c>
      <c r="I53" t="str">
        <f t="shared" si="2"/>
        <v>Missed</v>
      </c>
    </row>
    <row r="54" spans="1:9" x14ac:dyDescent="0.3">
      <c r="A54" t="s">
        <v>523</v>
      </c>
      <c r="B54" t="s">
        <v>128</v>
      </c>
      <c r="C54">
        <v>50000</v>
      </c>
      <c r="D54">
        <f>SUMIFS(SalesData[Revenue], SalesData[Region], B54, SalesData[OrderDate], "&gt;="&amp;DATE(LEFT(A54,4),MID(A54,6,2),1), SalesData[OrderDate], "&lt;="&amp;EOMONTH(DATE(LEFT(A54,4),MID(A54,6,2),1),0))</f>
        <v>26049.834499999997</v>
      </c>
      <c r="E54">
        <f t="shared" si="0"/>
        <v>-23950.165500000003</v>
      </c>
      <c r="F54">
        <v>18000</v>
      </c>
      <c r="G54">
        <f>SUMIFS(SalesData[GrossProfit], SalesData[Region], B54, SalesData[OrderDate], "&gt;="&amp;DATE(LEFT(A54,4),MID(A54,6,2),1), SalesData[OrderDate], "&lt;="&amp;EOMONTH(DATE(LEFT(A54,4),MID(A54,6,2),1),0))</f>
        <v>9117.442074999999</v>
      </c>
      <c r="H54">
        <f t="shared" si="1"/>
        <v>-8882.557925000001</v>
      </c>
      <c r="I54" t="str">
        <f t="shared" si="2"/>
        <v>Missed</v>
      </c>
    </row>
    <row r="55" spans="1:9" x14ac:dyDescent="0.3">
      <c r="A55" t="s">
        <v>523</v>
      </c>
      <c r="B55" t="s">
        <v>150</v>
      </c>
      <c r="C55">
        <v>50000</v>
      </c>
      <c r="D55">
        <f>SUMIFS(SalesData[Revenue], SalesData[Region], B55, SalesData[OrderDate], "&gt;="&amp;DATE(LEFT(A55,4),MID(A55,6,2),1), SalesData[OrderDate], "&lt;="&amp;EOMONTH(DATE(LEFT(A55,4),MID(A55,6,2),1),0))</f>
        <v>29127.233499999998</v>
      </c>
      <c r="E55">
        <f t="shared" si="0"/>
        <v>-20872.766500000002</v>
      </c>
      <c r="F55">
        <v>18000</v>
      </c>
      <c r="G55">
        <f>SUMIFS(SalesData[GrossProfit], SalesData[Region], B55, SalesData[OrderDate], "&gt;="&amp;DATE(LEFT(A55,4),MID(A55,6,2),1), SalesData[OrderDate], "&lt;="&amp;EOMONTH(DATE(LEFT(A55,4),MID(A55,6,2),1),0))</f>
        <v>10194.531724999999</v>
      </c>
      <c r="H55">
        <f t="shared" si="1"/>
        <v>-7805.4682750000011</v>
      </c>
      <c r="I55" t="str">
        <f t="shared" si="2"/>
        <v>Missed</v>
      </c>
    </row>
    <row r="56" spans="1:9" x14ac:dyDescent="0.3">
      <c r="A56" t="s">
        <v>523</v>
      </c>
      <c r="B56" t="s">
        <v>123</v>
      </c>
      <c r="C56">
        <v>50000</v>
      </c>
      <c r="D56">
        <f>SUMIFS(SalesData[Revenue], SalesData[Region], B56, SalesData[OrderDate], "&gt;="&amp;DATE(LEFT(A56,4),MID(A56,6,2),1), SalesData[OrderDate], "&lt;="&amp;EOMONTH(DATE(LEFT(A56,4),MID(A56,6,2),1),0))</f>
        <v>40087.203999999998</v>
      </c>
      <c r="E56">
        <f t="shared" si="0"/>
        <v>-9912.7960000000021</v>
      </c>
      <c r="F56">
        <v>18000</v>
      </c>
      <c r="G56">
        <f>SUMIFS(SalesData[GrossProfit], SalesData[Region], B56, SalesData[OrderDate], "&gt;="&amp;DATE(LEFT(A56,4),MID(A56,6,2),1), SalesData[OrderDate], "&lt;="&amp;EOMONTH(DATE(LEFT(A56,4),MID(A56,6,2),1),0))</f>
        <v>14030.5214</v>
      </c>
      <c r="H56">
        <f t="shared" si="1"/>
        <v>-3969.4786000000004</v>
      </c>
      <c r="I56" t="str">
        <f t="shared" si="2"/>
        <v>Missed</v>
      </c>
    </row>
    <row r="57" spans="1:9" x14ac:dyDescent="0.3">
      <c r="A57" t="s">
        <v>523</v>
      </c>
      <c r="B57" t="s">
        <v>137</v>
      </c>
      <c r="C57">
        <v>50000</v>
      </c>
      <c r="D57">
        <f>SUMIFS(SalesData[Revenue], SalesData[Region], B57, SalesData[OrderDate], "&gt;="&amp;DATE(LEFT(A57,4),MID(A57,6,2),1), SalesData[OrderDate], "&lt;="&amp;EOMONTH(DATE(LEFT(A57,4),MID(A57,6,2),1),0))</f>
        <v>8398.52</v>
      </c>
      <c r="E57">
        <f t="shared" si="0"/>
        <v>-41601.479999999996</v>
      </c>
      <c r="F57">
        <v>18000</v>
      </c>
      <c r="G57">
        <f>SUMIFS(SalesData[GrossProfit], SalesData[Region], B57, SalesData[OrderDate], "&gt;="&amp;DATE(LEFT(A57,4),MID(A57,6,2),1), SalesData[OrderDate], "&lt;="&amp;EOMONTH(DATE(LEFT(A57,4),MID(A57,6,2),1),0))</f>
        <v>2939.482</v>
      </c>
      <c r="H57">
        <f t="shared" si="1"/>
        <v>-15060.518</v>
      </c>
      <c r="I57" t="str">
        <f t="shared" si="2"/>
        <v>Missed</v>
      </c>
    </row>
    <row r="58" spans="1:9" x14ac:dyDescent="0.3">
      <c r="A58" t="s">
        <v>524</v>
      </c>
      <c r="B58" t="s">
        <v>128</v>
      </c>
      <c r="C58">
        <v>50000</v>
      </c>
      <c r="D58">
        <f>SUMIFS(SalesData[Revenue], SalesData[Region], B58, SalesData[OrderDate], "&gt;="&amp;DATE(LEFT(A58,4),MID(A58,6,2),1), SalesData[OrderDate], "&lt;="&amp;EOMONTH(DATE(LEFT(A58,4),MID(A58,6,2),1),0))</f>
        <v>36189.514000000003</v>
      </c>
      <c r="E58">
        <f t="shared" si="0"/>
        <v>-13810.485999999997</v>
      </c>
      <c r="F58">
        <v>18000</v>
      </c>
      <c r="G58">
        <f>SUMIFS(SalesData[GrossProfit], SalesData[Region], B58, SalesData[OrderDate], "&gt;="&amp;DATE(LEFT(A58,4),MID(A58,6,2),1), SalesData[OrderDate], "&lt;="&amp;EOMONTH(DATE(LEFT(A58,4),MID(A58,6,2),1),0))</f>
        <v>12666.329900000001</v>
      </c>
      <c r="H58">
        <f t="shared" si="1"/>
        <v>-5333.6700999999994</v>
      </c>
      <c r="I58" t="str">
        <f t="shared" si="2"/>
        <v>Missed</v>
      </c>
    </row>
    <row r="59" spans="1:9" x14ac:dyDescent="0.3">
      <c r="A59" t="s">
        <v>524</v>
      </c>
      <c r="B59" t="s">
        <v>150</v>
      </c>
      <c r="C59">
        <v>50000</v>
      </c>
      <c r="D59">
        <f>SUMIFS(SalesData[Revenue], SalesData[Region], B59, SalesData[OrderDate], "&gt;="&amp;DATE(LEFT(A59,4),MID(A59,6,2),1), SalesData[OrderDate], "&lt;="&amp;EOMONTH(DATE(LEFT(A59,4),MID(A59,6,2),1),0))</f>
        <v>8800.7099999999991</v>
      </c>
      <c r="E59">
        <f t="shared" si="0"/>
        <v>-41199.29</v>
      </c>
      <c r="F59">
        <v>18000</v>
      </c>
      <c r="G59">
        <f>SUMIFS(SalesData[GrossProfit], SalesData[Region], B59, SalesData[OrderDate], "&gt;="&amp;DATE(LEFT(A59,4),MID(A59,6,2),1), SalesData[OrderDate], "&lt;="&amp;EOMONTH(DATE(LEFT(A59,4),MID(A59,6,2),1),0))</f>
        <v>3080.2485000000001</v>
      </c>
      <c r="H59">
        <f t="shared" si="1"/>
        <v>-14919.7515</v>
      </c>
      <c r="I59" t="str">
        <f t="shared" si="2"/>
        <v>Missed</v>
      </c>
    </row>
    <row r="60" spans="1:9" x14ac:dyDescent="0.3">
      <c r="A60" t="s">
        <v>524</v>
      </c>
      <c r="B60" t="s">
        <v>123</v>
      </c>
      <c r="C60">
        <v>50000</v>
      </c>
      <c r="D60">
        <f>SUMIFS(SalesData[Revenue], SalesData[Region], B60, SalesData[OrderDate], "&gt;="&amp;DATE(LEFT(A60,4),MID(A60,6,2),1), SalesData[OrderDate], "&lt;="&amp;EOMONTH(DATE(LEFT(A60,4),MID(A60,6,2),1),0))</f>
        <v>9960.6214999999993</v>
      </c>
      <c r="E60">
        <f t="shared" si="0"/>
        <v>-40039.378499999999</v>
      </c>
      <c r="F60">
        <v>18000</v>
      </c>
      <c r="G60">
        <f>SUMIFS(SalesData[GrossProfit], SalesData[Region], B60, SalesData[OrderDate], "&gt;="&amp;DATE(LEFT(A60,4),MID(A60,6,2),1), SalesData[OrderDate], "&lt;="&amp;EOMONTH(DATE(LEFT(A60,4),MID(A60,6,2),1),0))</f>
        <v>3486.217525</v>
      </c>
      <c r="H60">
        <f t="shared" si="1"/>
        <v>-14513.782475</v>
      </c>
      <c r="I60" t="str">
        <f t="shared" si="2"/>
        <v>Missed</v>
      </c>
    </row>
    <row r="61" spans="1:9" x14ac:dyDescent="0.3">
      <c r="A61" t="s">
        <v>524</v>
      </c>
      <c r="B61" t="s">
        <v>137</v>
      </c>
      <c r="C61">
        <v>50000</v>
      </c>
      <c r="D61">
        <f>SUMIFS(SalesData[Revenue], SalesData[Region], B61, SalesData[OrderDate], "&gt;="&amp;DATE(LEFT(A61,4),MID(A61,6,2),1), SalesData[OrderDate], "&lt;="&amp;EOMONTH(DATE(LEFT(A61,4),MID(A61,6,2),1),0))</f>
        <v>30842.252499999999</v>
      </c>
      <c r="E61">
        <f t="shared" si="0"/>
        <v>-19157.747500000001</v>
      </c>
      <c r="F61">
        <v>18000</v>
      </c>
      <c r="G61">
        <f>SUMIFS(SalesData[GrossProfit], SalesData[Region], B61, SalesData[OrderDate], "&gt;="&amp;DATE(LEFT(A61,4),MID(A61,6,2),1), SalesData[OrderDate], "&lt;="&amp;EOMONTH(DATE(LEFT(A61,4),MID(A61,6,2),1),0))</f>
        <v>10794.788375</v>
      </c>
      <c r="H61">
        <f t="shared" si="1"/>
        <v>-7205.2116249999999</v>
      </c>
      <c r="I61" t="str">
        <f t="shared" si="2"/>
        <v>Missed</v>
      </c>
    </row>
    <row r="62" spans="1:9" x14ac:dyDescent="0.3">
      <c r="A62" t="s">
        <v>525</v>
      </c>
      <c r="B62" t="s">
        <v>128</v>
      </c>
      <c r="C62">
        <v>50000</v>
      </c>
      <c r="D62">
        <f>SUMIFS(SalesData[Revenue], SalesData[Region], B62, SalesData[OrderDate], "&gt;="&amp;DATE(LEFT(A62,4),MID(A62,6,2),1), SalesData[OrderDate], "&lt;="&amp;EOMONTH(DATE(LEFT(A62,4),MID(A62,6,2),1),0))</f>
        <v>14274.824000000001</v>
      </c>
      <c r="E62">
        <f t="shared" si="0"/>
        <v>-35725.175999999999</v>
      </c>
      <c r="F62">
        <v>18000</v>
      </c>
      <c r="G62">
        <f>SUMIFS(SalesData[GrossProfit], SalesData[Region], B62, SalesData[OrderDate], "&gt;="&amp;DATE(LEFT(A62,4),MID(A62,6,2),1), SalesData[OrderDate], "&lt;="&amp;EOMONTH(DATE(LEFT(A62,4),MID(A62,6,2),1),0))</f>
        <v>4996.1884</v>
      </c>
      <c r="H62">
        <f t="shared" si="1"/>
        <v>-13003.811600000001</v>
      </c>
      <c r="I62" t="str">
        <f t="shared" si="2"/>
        <v>Missed</v>
      </c>
    </row>
    <row r="63" spans="1:9" x14ac:dyDescent="0.3">
      <c r="A63" t="s">
        <v>525</v>
      </c>
      <c r="B63" t="s">
        <v>150</v>
      </c>
      <c r="C63">
        <v>50000</v>
      </c>
      <c r="D63">
        <f>SUMIFS(SalesData[Revenue], SalesData[Region], B63, SalesData[OrderDate], "&gt;="&amp;DATE(LEFT(A63,4),MID(A63,6,2),1), SalesData[OrderDate], "&lt;="&amp;EOMONTH(DATE(LEFT(A63,4),MID(A63,6,2),1),0))</f>
        <v>102686.761</v>
      </c>
      <c r="E63">
        <f t="shared" si="0"/>
        <v>52686.760999999999</v>
      </c>
      <c r="F63">
        <v>18000</v>
      </c>
      <c r="G63">
        <f>SUMIFS(SalesData[GrossProfit], SalesData[Region], B63, SalesData[OrderDate], "&gt;="&amp;DATE(LEFT(A63,4),MID(A63,6,2),1), SalesData[OrderDate], "&lt;="&amp;EOMONTH(DATE(LEFT(A63,4),MID(A63,6,2),1),0))</f>
        <v>35940.366350000004</v>
      </c>
      <c r="H63">
        <f t="shared" si="1"/>
        <v>17940.366350000004</v>
      </c>
      <c r="I63" t="str">
        <f t="shared" si="2"/>
        <v>Met</v>
      </c>
    </row>
    <row r="64" spans="1:9" x14ac:dyDescent="0.3">
      <c r="A64" t="s">
        <v>525</v>
      </c>
      <c r="B64" t="s">
        <v>123</v>
      </c>
      <c r="C64">
        <v>50000</v>
      </c>
      <c r="D64">
        <f>SUMIFS(SalesData[Revenue], SalesData[Region], B64, SalesData[OrderDate], "&gt;="&amp;DATE(LEFT(A64,4),MID(A64,6,2),1), SalesData[OrderDate], "&lt;="&amp;EOMONTH(DATE(LEFT(A64,4),MID(A64,6,2),1),0))</f>
        <v>17033.560000000001</v>
      </c>
      <c r="E64">
        <f t="shared" si="0"/>
        <v>-32966.44</v>
      </c>
      <c r="F64">
        <v>18000</v>
      </c>
      <c r="G64">
        <f>SUMIFS(SalesData[GrossProfit], SalesData[Region], B64, SalesData[OrderDate], "&gt;="&amp;DATE(LEFT(A64,4),MID(A64,6,2),1), SalesData[OrderDate], "&lt;="&amp;EOMONTH(DATE(LEFT(A64,4),MID(A64,6,2),1),0))</f>
        <v>5961.7459999999992</v>
      </c>
      <c r="H64">
        <f t="shared" si="1"/>
        <v>-12038.254000000001</v>
      </c>
      <c r="I64" t="str">
        <f t="shared" si="2"/>
        <v>Missed</v>
      </c>
    </row>
    <row r="65" spans="1:9" x14ac:dyDescent="0.3">
      <c r="A65" t="s">
        <v>525</v>
      </c>
      <c r="B65" t="s">
        <v>137</v>
      </c>
      <c r="C65">
        <v>50000</v>
      </c>
      <c r="D65">
        <f>SUMIFS(SalesData[Revenue], SalesData[Region], B65, SalesData[OrderDate], "&gt;="&amp;DATE(LEFT(A65,4),MID(A65,6,2),1), SalesData[OrderDate], "&lt;="&amp;EOMONTH(DATE(LEFT(A65,4),MID(A65,6,2),1),0))</f>
        <v>21394.420000000002</v>
      </c>
      <c r="E65">
        <f t="shared" si="0"/>
        <v>-28605.579999999998</v>
      </c>
      <c r="F65">
        <v>18000</v>
      </c>
      <c r="G65">
        <f>SUMIFS(SalesData[GrossProfit], SalesData[Region], B65, SalesData[OrderDate], "&gt;="&amp;DATE(LEFT(A65,4),MID(A65,6,2),1), SalesData[OrderDate], "&lt;="&amp;EOMONTH(DATE(LEFT(A65,4),MID(A65,6,2),1),0))</f>
        <v>7488.0469999999996</v>
      </c>
      <c r="H65">
        <f t="shared" si="1"/>
        <v>-10511.953000000001</v>
      </c>
      <c r="I65" t="str">
        <f t="shared" si="2"/>
        <v>Missed</v>
      </c>
    </row>
    <row r="66" spans="1:9" x14ac:dyDescent="0.3">
      <c r="A66" t="s">
        <v>526</v>
      </c>
      <c r="B66" t="s">
        <v>128</v>
      </c>
      <c r="C66">
        <v>50000</v>
      </c>
      <c r="D66">
        <f>SUMIFS(SalesData[Revenue], SalesData[Region], B66, SalesData[OrderDate], "&gt;="&amp;DATE(LEFT(A66,4),MID(A66,6,2),1), SalesData[OrderDate], "&lt;="&amp;EOMONTH(DATE(LEFT(A66,4),MID(A66,6,2),1),0))</f>
        <v>13597.577000000001</v>
      </c>
      <c r="E66">
        <f t="shared" ref="E66:E73" si="3">D66-C66</f>
        <v>-36402.422999999995</v>
      </c>
      <c r="F66">
        <v>18000</v>
      </c>
      <c r="G66">
        <f>SUMIFS(SalesData[GrossProfit], SalesData[Region], B66, SalesData[OrderDate], "&gt;="&amp;DATE(LEFT(A66,4),MID(A66,6,2),1), SalesData[OrderDate], "&lt;="&amp;EOMONTH(DATE(LEFT(A66,4),MID(A66,6,2),1),0))</f>
        <v>4759.1519499999995</v>
      </c>
      <c r="H66">
        <f t="shared" ref="H66:H73" si="4">G66-F66</f>
        <v>-13240.848050000001</v>
      </c>
      <c r="I66" t="str">
        <f t="shared" ref="I66:I73" si="5">IF(D66&gt;=C66, "Met", "Missed")</f>
        <v>Missed</v>
      </c>
    </row>
    <row r="67" spans="1:9" x14ac:dyDescent="0.3">
      <c r="A67" t="s">
        <v>526</v>
      </c>
      <c r="B67" t="s">
        <v>150</v>
      </c>
      <c r="C67">
        <v>50000</v>
      </c>
      <c r="D67">
        <f>SUMIFS(SalesData[Revenue], SalesData[Region], B67, SalesData[OrderDate], "&gt;="&amp;DATE(LEFT(A67,4),MID(A67,6,2),1), SalesData[OrderDate], "&lt;="&amp;EOMONTH(DATE(LEFT(A67,4),MID(A67,6,2),1),0))</f>
        <v>1445.617</v>
      </c>
      <c r="E67">
        <f t="shared" si="3"/>
        <v>-48554.383000000002</v>
      </c>
      <c r="F67">
        <v>18000</v>
      </c>
      <c r="G67">
        <f>SUMIFS(SalesData[GrossProfit], SalesData[Region], B67, SalesData[OrderDate], "&gt;="&amp;DATE(LEFT(A67,4),MID(A67,6,2),1), SalesData[OrderDate], "&lt;="&amp;EOMONTH(DATE(LEFT(A67,4),MID(A67,6,2),1),0))</f>
        <v>505.96595000000002</v>
      </c>
      <c r="H67">
        <f t="shared" si="4"/>
        <v>-17494.034049999998</v>
      </c>
      <c r="I67" t="str">
        <f t="shared" si="5"/>
        <v>Missed</v>
      </c>
    </row>
    <row r="68" spans="1:9" x14ac:dyDescent="0.3">
      <c r="A68" t="s">
        <v>526</v>
      </c>
      <c r="B68" t="s">
        <v>123</v>
      </c>
      <c r="C68">
        <v>50000</v>
      </c>
      <c r="D68">
        <f>SUMIFS(SalesData[Revenue], SalesData[Region], B68, SalesData[OrderDate], "&gt;="&amp;DATE(LEFT(A68,4),MID(A68,6,2),1), SalesData[OrderDate], "&lt;="&amp;EOMONTH(DATE(LEFT(A68,4),MID(A68,6,2),1),0))</f>
        <v>38044.385000000002</v>
      </c>
      <c r="E68">
        <f t="shared" si="3"/>
        <v>-11955.614999999998</v>
      </c>
      <c r="F68">
        <v>18000</v>
      </c>
      <c r="G68">
        <f>SUMIFS(SalesData[GrossProfit], SalesData[Region], B68, SalesData[OrderDate], "&gt;="&amp;DATE(LEFT(A68,4),MID(A68,6,2),1), SalesData[OrderDate], "&lt;="&amp;EOMONTH(DATE(LEFT(A68,4),MID(A68,6,2),1),0))</f>
        <v>13315.534749999999</v>
      </c>
      <c r="H68">
        <f t="shared" si="4"/>
        <v>-4684.4652500000011</v>
      </c>
      <c r="I68" t="str">
        <f t="shared" si="5"/>
        <v>Missed</v>
      </c>
    </row>
    <row r="69" spans="1:9" x14ac:dyDescent="0.3">
      <c r="A69" t="s">
        <v>526</v>
      </c>
      <c r="B69" t="s">
        <v>137</v>
      </c>
      <c r="C69">
        <v>50000</v>
      </c>
      <c r="D69">
        <f>SUMIFS(SalesData[Revenue], SalesData[Region], B69, SalesData[OrderDate], "&gt;="&amp;DATE(LEFT(A69,4),MID(A69,6,2),1), SalesData[OrderDate], "&lt;="&amp;EOMONTH(DATE(LEFT(A69,4),MID(A69,6,2),1),0))</f>
        <v>21484.994999999999</v>
      </c>
      <c r="E69">
        <f t="shared" si="3"/>
        <v>-28515.005000000001</v>
      </c>
      <c r="F69">
        <v>18000</v>
      </c>
      <c r="G69">
        <f>SUMIFS(SalesData[GrossProfit], SalesData[Region], B69, SalesData[OrderDate], "&gt;="&amp;DATE(LEFT(A69,4),MID(A69,6,2),1), SalesData[OrderDate], "&lt;="&amp;EOMONTH(DATE(LEFT(A69,4),MID(A69,6,2),1),0))</f>
        <v>7519.7482499999987</v>
      </c>
      <c r="H69">
        <f t="shared" si="4"/>
        <v>-10480.251750000001</v>
      </c>
      <c r="I69" t="str">
        <f t="shared" si="5"/>
        <v>Missed</v>
      </c>
    </row>
    <row r="70" spans="1:9" x14ac:dyDescent="0.3">
      <c r="A70" t="s">
        <v>527</v>
      </c>
      <c r="B70" t="s">
        <v>128</v>
      </c>
      <c r="C70">
        <v>50000</v>
      </c>
      <c r="D70">
        <f>SUMIFS(SalesData[Revenue], SalesData[Region], B70, SalesData[OrderDate], "&gt;="&amp;DATE(LEFT(A70,4),MID(A70,6,2),1), SalesData[OrderDate], "&lt;="&amp;EOMONTH(DATE(LEFT(A70,4),MID(A70,6,2),1),0))</f>
        <v>3982.7325000000001</v>
      </c>
      <c r="E70">
        <f t="shared" si="3"/>
        <v>-46017.267500000002</v>
      </c>
      <c r="F70">
        <v>18000</v>
      </c>
      <c r="G70">
        <f>SUMIFS(SalesData[GrossProfit], SalesData[Region], B70, SalesData[OrderDate], "&gt;="&amp;DATE(LEFT(A70,4),MID(A70,6,2),1), SalesData[OrderDate], "&lt;="&amp;EOMONTH(DATE(LEFT(A70,4),MID(A70,6,2),1),0))</f>
        <v>1393.9563749999998</v>
      </c>
      <c r="H70">
        <f t="shared" si="4"/>
        <v>-16606.043624999998</v>
      </c>
      <c r="I70" t="str">
        <f t="shared" si="5"/>
        <v>Missed</v>
      </c>
    </row>
    <row r="71" spans="1:9" x14ac:dyDescent="0.3">
      <c r="A71" t="s">
        <v>527</v>
      </c>
      <c r="B71" t="s">
        <v>150</v>
      </c>
      <c r="C71">
        <v>50000</v>
      </c>
      <c r="D71">
        <f>SUMIFS(SalesData[Revenue], SalesData[Region], B71, SalesData[OrderDate], "&gt;="&amp;DATE(LEFT(A71,4),MID(A71,6,2),1), SalesData[OrderDate], "&lt;="&amp;EOMONTH(DATE(LEFT(A71,4),MID(A71,6,2),1),0))</f>
        <v>40788.7215</v>
      </c>
      <c r="E71">
        <f t="shared" si="3"/>
        <v>-9211.2785000000003</v>
      </c>
      <c r="F71">
        <v>18000</v>
      </c>
      <c r="G71">
        <f>SUMIFS(SalesData[GrossProfit], SalesData[Region], B71, SalesData[OrderDate], "&gt;="&amp;DATE(LEFT(A71,4),MID(A71,6,2),1), SalesData[OrderDate], "&lt;="&amp;EOMONTH(DATE(LEFT(A71,4),MID(A71,6,2),1),0))</f>
        <v>14276.052524999999</v>
      </c>
      <c r="H71">
        <f t="shared" si="4"/>
        <v>-3723.9474750000008</v>
      </c>
      <c r="I71" t="str">
        <f t="shared" si="5"/>
        <v>Missed</v>
      </c>
    </row>
    <row r="72" spans="1:9" x14ac:dyDescent="0.3">
      <c r="A72" t="s">
        <v>527</v>
      </c>
      <c r="B72" t="s">
        <v>123</v>
      </c>
      <c r="C72">
        <v>50000</v>
      </c>
      <c r="D72">
        <f>SUMIFS(SalesData[Revenue], SalesData[Region], B72, SalesData[OrderDate], "&gt;="&amp;DATE(LEFT(A72,4),MID(A72,6,2),1), SalesData[OrderDate], "&lt;="&amp;EOMONTH(DATE(LEFT(A72,4),MID(A72,6,2),1),0))</f>
        <v>14832.192499999999</v>
      </c>
      <c r="E72">
        <f t="shared" si="3"/>
        <v>-35167.807500000003</v>
      </c>
      <c r="F72">
        <v>18000</v>
      </c>
      <c r="G72">
        <f>SUMIFS(SalesData[GrossProfit], SalesData[Region], B72, SalesData[OrderDate], "&gt;="&amp;DATE(LEFT(A72,4),MID(A72,6,2),1), SalesData[OrderDate], "&lt;="&amp;EOMONTH(DATE(LEFT(A72,4),MID(A72,6,2),1),0))</f>
        <v>5191.2673749999985</v>
      </c>
      <c r="H72">
        <f t="shared" si="4"/>
        <v>-12808.732625000001</v>
      </c>
      <c r="I72" t="str">
        <f t="shared" si="5"/>
        <v>Missed</v>
      </c>
    </row>
    <row r="73" spans="1:9" x14ac:dyDescent="0.3">
      <c r="A73" t="s">
        <v>527</v>
      </c>
      <c r="B73" t="s">
        <v>137</v>
      </c>
      <c r="C73">
        <v>50000</v>
      </c>
      <c r="D73">
        <f>SUMIFS(SalesData[Revenue], SalesData[Region], B73, SalesData[OrderDate], "&gt;="&amp;DATE(LEFT(A73,4),MID(A73,6,2),1), SalesData[OrderDate], "&lt;="&amp;EOMONTH(DATE(LEFT(A73,4),MID(A73,6,2),1),0))</f>
        <v>26662.989500000003</v>
      </c>
      <c r="E73">
        <f t="shared" si="3"/>
        <v>-23337.010499999997</v>
      </c>
      <c r="F73">
        <v>18000</v>
      </c>
      <c r="G73">
        <f>SUMIFS(SalesData[GrossProfit], SalesData[Region], B73, SalesData[OrderDate], "&gt;="&amp;DATE(LEFT(A73,4),MID(A73,6,2),1), SalesData[OrderDate], "&lt;="&amp;EOMONTH(DATE(LEFT(A73,4),MID(A73,6,2),1),0))</f>
        <v>9332.0463249999993</v>
      </c>
      <c r="H73">
        <f t="shared" si="4"/>
        <v>-8667.9536750000007</v>
      </c>
      <c r="I73" t="str">
        <f t="shared" si="5"/>
        <v>Missed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sqref="A1:E22"/>
    </sheetView>
  </sheetViews>
  <sheetFormatPr defaultRowHeight="14.4" x14ac:dyDescent="0.3"/>
  <cols>
    <col min="1" max="1" width="27.77734375" bestFit="1" customWidth="1"/>
    <col min="2" max="2" width="15.33203125" bestFit="1" customWidth="1"/>
    <col min="3" max="3" width="15.44140625" bestFit="1" customWidth="1"/>
    <col min="4" max="4" width="12" bestFit="1" customWidth="1"/>
    <col min="5" max="5" width="17.88671875" bestFit="1" customWidth="1"/>
  </cols>
  <sheetData>
    <row r="1" spans="1:6" x14ac:dyDescent="0.3">
      <c r="A1" t="s">
        <v>528</v>
      </c>
    </row>
    <row r="3" spans="1:6" x14ac:dyDescent="0.3">
      <c r="A3" t="s">
        <v>529</v>
      </c>
      <c r="B3" t="s">
        <v>530</v>
      </c>
      <c r="C3" t="s">
        <v>531</v>
      </c>
      <c r="D3" t="s">
        <v>532</v>
      </c>
      <c r="E3" t="s">
        <v>533</v>
      </c>
      <c r="F3" t="s">
        <v>534</v>
      </c>
    </row>
    <row r="4" spans="1:6" x14ac:dyDescent="0.3">
      <c r="A4">
        <f>SUM(SalesData[Revenue])</f>
        <v>1788685.3075000008</v>
      </c>
      <c r="B4">
        <f>SUM(SalesData[GrossProfit])</f>
        <v>626803.01842500013</v>
      </c>
      <c r="C4">
        <f>B4/A4</f>
        <v>0.35042666018264917</v>
      </c>
      <c r="D4">
        <f>SUM(SalesData[UnitsSold])</f>
        <v>2840</v>
      </c>
      <c r="E4">
        <f>AVERAGE(SalesData[Revenue])</f>
        <v>5110.5294500000027</v>
      </c>
      <c r="F4">
        <f>COUNTIF(SalesData[OrderStatus], "Completed")</f>
        <v>182</v>
      </c>
    </row>
    <row r="7" spans="1:6" x14ac:dyDescent="0.3">
      <c r="A7" t="s">
        <v>535</v>
      </c>
    </row>
    <row r="8" spans="1:6" x14ac:dyDescent="0.3">
      <c r="A8" t="s">
        <v>110</v>
      </c>
      <c r="B8" t="s">
        <v>115</v>
      </c>
      <c r="C8" t="s">
        <v>536</v>
      </c>
      <c r="D8" t="s">
        <v>537</v>
      </c>
      <c r="E8" t="s">
        <v>538</v>
      </c>
    </row>
    <row r="9" spans="1:6" x14ac:dyDescent="0.3">
      <c r="A9" t="s">
        <v>128</v>
      </c>
      <c r="B9">
        <f>SUMIF(SalesData[Region], A9, SalesData[Revenue])</f>
        <v>392009.96749999991</v>
      </c>
      <c r="C9">
        <f>SUMIF(SalesData[Region], A9, SalesData[GrossProfit])</f>
        <v>137203.48862499997</v>
      </c>
      <c r="D9">
        <f>IFERROR(C9/B9, 0)</f>
        <v>0.35</v>
      </c>
      <c r="E9">
        <f>COUNTIF(SalesData[Region], A9)</f>
        <v>73</v>
      </c>
    </row>
    <row r="10" spans="1:6" x14ac:dyDescent="0.3">
      <c r="A10" t="s">
        <v>150</v>
      </c>
      <c r="B10">
        <f>SUMIF(SalesData[Region], A10, SalesData[Revenue])</f>
        <v>485650.14649999992</v>
      </c>
      <c r="C10">
        <f>SUMIF(SalesData[Region], A10, SalesData[GrossProfit])</f>
        <v>169977.55127499998</v>
      </c>
      <c r="D10">
        <f t="shared" ref="D10:D12" si="0">IFERROR(C10/B10, 0)</f>
        <v>0.35000000000000003</v>
      </c>
      <c r="E10">
        <f>COUNTIF(SalesData[Region], A10)</f>
        <v>92</v>
      </c>
    </row>
    <row r="11" spans="1:6" x14ac:dyDescent="0.3">
      <c r="A11" t="s">
        <v>123</v>
      </c>
      <c r="B11">
        <f>SUMIF(SalesData[Region], A11, SalesData[Revenue])</f>
        <v>354659.12599999981</v>
      </c>
      <c r="C11">
        <f>SUMIF(SalesData[Region], A11, SalesData[GrossProfit])</f>
        <v>124893.85489999998</v>
      </c>
      <c r="D11">
        <f t="shared" si="0"/>
        <v>0.35215181492326814</v>
      </c>
      <c r="E11">
        <f>COUNTIF(SalesData[Region], A11)</f>
        <v>79</v>
      </c>
    </row>
    <row r="12" spans="1:6" x14ac:dyDescent="0.3">
      <c r="A12" t="s">
        <v>137</v>
      </c>
      <c r="B12">
        <f>SUMIF(SalesData[Region], A12, SalesData[Revenue])</f>
        <v>556366.0675</v>
      </c>
      <c r="C12">
        <f>SUMIF(SalesData[Region], A12, SalesData[GrossProfit])</f>
        <v>194728.12362500001</v>
      </c>
      <c r="D12">
        <f t="shared" si="0"/>
        <v>0.35000000000000003</v>
      </c>
      <c r="E12">
        <f>COUNTIF(SalesData[Region], A12)</f>
        <v>106</v>
      </c>
    </row>
    <row r="15" spans="1:6" x14ac:dyDescent="0.3">
      <c r="A15" t="s">
        <v>539</v>
      </c>
    </row>
    <row r="16" spans="1:6" x14ac:dyDescent="0.3">
      <c r="A16" t="s">
        <v>2</v>
      </c>
      <c r="B16" t="s">
        <v>115</v>
      </c>
      <c r="C16" t="s">
        <v>536</v>
      </c>
      <c r="D16" t="s">
        <v>537</v>
      </c>
      <c r="E16" t="s">
        <v>532</v>
      </c>
    </row>
    <row r="17" spans="1:5" x14ac:dyDescent="0.3">
      <c r="A17" t="s">
        <v>23</v>
      </c>
      <c r="B17">
        <f>SUMIF(SalesData[Category], A17, SalesData[Revenue])</f>
        <v>37587.076500000003</v>
      </c>
      <c r="C17" t="s">
        <v>540</v>
      </c>
      <c r="D17">
        <f>IFERROR(C17/B17, 0)</f>
        <v>0</v>
      </c>
      <c r="E17">
        <f>SUMIF(SalesData[Category], A17, SalesData[UnitsSold])</f>
        <v>466</v>
      </c>
    </row>
    <row r="18" spans="1:5" x14ac:dyDescent="0.3">
      <c r="A18" t="s">
        <v>19</v>
      </c>
      <c r="B18">
        <f>SUMIF(SalesData[Category], A18, SalesData[Revenue])</f>
        <v>79912.276500000007</v>
      </c>
      <c r="C18">
        <f>SUMIF(SalesData[Category], A18, SalesData[GrossProfit])</f>
        <v>27969.296774999995</v>
      </c>
      <c r="D18">
        <f>IFERROR(C18/B18, 0)</f>
        <v>0.34999999999999992</v>
      </c>
      <c r="E18">
        <f>SUMIF(SalesData[Category], A18, SalesData[UnitsSold])</f>
        <v>542</v>
      </c>
    </row>
    <row r="19" spans="1:5" x14ac:dyDescent="0.3">
      <c r="A19" t="s">
        <v>31</v>
      </c>
      <c r="B19">
        <f>SUMIF(SalesData[Category], A19, SalesData[Revenue])</f>
        <v>163684.37400000004</v>
      </c>
      <c r="C19">
        <f>SUMIF(SalesData[Category], A19, SalesData[GrossProfit])</f>
        <v>57289.530899999998</v>
      </c>
      <c r="D19">
        <f>IFERROR(C19/B19, 0)</f>
        <v>0.34999999999999992</v>
      </c>
      <c r="E19">
        <f>SUMIF(SalesData[Category], A19, SalesData[UnitsSold])</f>
        <v>439</v>
      </c>
    </row>
    <row r="20" spans="1:5" x14ac:dyDescent="0.3">
      <c r="A20" t="s">
        <v>15</v>
      </c>
      <c r="B20">
        <f>SUMIF(SalesData[Category], A20, SalesData[Revenue])</f>
        <v>325112.54500000004</v>
      </c>
      <c r="C20">
        <f>SUMIF(SalesData[Category], A20, SalesData[GrossProfit])</f>
        <v>114552.55154999997</v>
      </c>
      <c r="D20">
        <f>IFERROR(C20/B20, 0)</f>
        <v>0.35234737419929446</v>
      </c>
      <c r="E20">
        <f>SUMIF(SalesData[Category], A20, SalesData[UnitsSold])</f>
        <v>543</v>
      </c>
    </row>
    <row r="21" spans="1:5" x14ac:dyDescent="0.3">
      <c r="A21" t="s">
        <v>27</v>
      </c>
      <c r="B21">
        <f>SUMIF(SalesData[Category], A21, SalesData[Revenue])</f>
        <v>399443.56349999987</v>
      </c>
      <c r="C21">
        <f>SUMIF(SalesData[Category], A21, SalesData[GrossProfit])</f>
        <v>139805.24722499997</v>
      </c>
      <c r="D21">
        <f>IFERROR(C21/B21, 0)</f>
        <v>0.35000000000000003</v>
      </c>
      <c r="E21">
        <f>SUMIF(SalesData[Category], A21, SalesData[UnitsSold])</f>
        <v>397</v>
      </c>
    </row>
    <row r="22" spans="1:5" x14ac:dyDescent="0.3">
      <c r="A22" t="s">
        <v>11</v>
      </c>
      <c r="B22">
        <f>SUMIF(SalesData[Category], A22, SalesData[Revenue])</f>
        <v>782945.47199999983</v>
      </c>
      <c r="C22">
        <f>SUMIF(SalesData[Category], A22, SalesData[GrossProfit])</f>
        <v>274030.91519999999</v>
      </c>
      <c r="D22">
        <f>IFERROR(C22/B22, 0)</f>
        <v>0.35000000000000003</v>
      </c>
      <c r="E22">
        <f>SUMIF(SalesData[Category], A22, SalesData[UnitsSold])</f>
        <v>453</v>
      </c>
    </row>
  </sheetData>
  <sortState ref="A17:E22">
    <sortCondition ref="C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F19"/>
    </sheetView>
  </sheetViews>
  <sheetFormatPr defaultRowHeight="14.4" x14ac:dyDescent="0.3"/>
  <cols>
    <col min="1" max="1" width="27.77734375" bestFit="1" customWidth="1"/>
    <col min="2" max="5" width="12" bestFit="1" customWidth="1"/>
    <col min="6" max="6" width="26" bestFit="1" customWidth="1"/>
  </cols>
  <sheetData>
    <row r="1" spans="1:6" x14ac:dyDescent="0.3">
      <c r="A1" t="s">
        <v>541</v>
      </c>
    </row>
    <row r="2" spans="1:6" x14ac:dyDescent="0.3">
      <c r="A2" t="s">
        <v>542</v>
      </c>
      <c r="B2" t="s">
        <v>115</v>
      </c>
      <c r="C2" t="s">
        <v>536</v>
      </c>
      <c r="D2" t="s">
        <v>537</v>
      </c>
      <c r="E2" t="s">
        <v>538</v>
      </c>
      <c r="F2" t="s">
        <v>533</v>
      </c>
    </row>
    <row r="3" spans="1:6" x14ac:dyDescent="0.3">
      <c r="A3" t="s">
        <v>127</v>
      </c>
      <c r="B3">
        <f>SUMIF(SalesData[CustomerSegment], A3, SalesData[Revenue])</f>
        <v>594405.01050000009</v>
      </c>
      <c r="C3">
        <f>SUMIF(SalesData[CustomerSegment], A3, SalesData[GrossProfit])</f>
        <v>208041.75367499999</v>
      </c>
      <c r="D3">
        <f>IFERROR(C3/B3, 0)</f>
        <v>0.34999999999999992</v>
      </c>
      <c r="E3">
        <f>COUNTIF(SalesData[CustomerSegment], A3)</f>
        <v>113</v>
      </c>
      <c r="F3">
        <f>AVERAGEIF(SalesData[CustomerSegment], A3, SalesData[Revenue])</f>
        <v>5260.2213318584081</v>
      </c>
    </row>
    <row r="4" spans="1:6" x14ac:dyDescent="0.3">
      <c r="A4" t="s">
        <v>131</v>
      </c>
      <c r="B4">
        <f>SUMIF(SalesData[CustomerSegment], A4, SalesData[Revenue])</f>
        <v>576544.46550000028</v>
      </c>
      <c r="C4">
        <f>SUMIF(SalesData[CustomerSegment], A4, SalesData[GrossProfit])</f>
        <v>201790.56292500003</v>
      </c>
      <c r="D4">
        <f t="shared" ref="D4:D5" si="0">IFERROR(C4/B4, 0)</f>
        <v>0.34999999999999987</v>
      </c>
      <c r="E4">
        <f>COUNTIF(SalesData[CustomerSegment], A4)</f>
        <v>112</v>
      </c>
      <c r="F4">
        <f>AVERAGEIF(SalesData[CustomerSegment], A4, SalesData[Revenue])</f>
        <v>5147.7184419642881</v>
      </c>
    </row>
    <row r="5" spans="1:6" x14ac:dyDescent="0.3">
      <c r="A5" t="s">
        <v>122</v>
      </c>
      <c r="B5">
        <f>SUMIF(SalesData[CustomerSegment], A5, SalesData[Revenue])</f>
        <v>617735.83149999997</v>
      </c>
      <c r="C5">
        <f>SUMIF(SalesData[CustomerSegment], A5, SalesData[GrossProfit])</f>
        <v>216970.701825</v>
      </c>
      <c r="D5">
        <f t="shared" si="0"/>
        <v>0.35123541611330344</v>
      </c>
      <c r="E5">
        <f>COUNTIF(SalesData[CustomerSegment], A5)</f>
        <v>125</v>
      </c>
      <c r="F5">
        <f>AVERAGEIF(SalesData[CustomerSegment], A5, SalesData[Revenue])</f>
        <v>4941.8866520000001</v>
      </c>
    </row>
    <row r="8" spans="1:6" x14ac:dyDescent="0.3">
      <c r="A8" t="s">
        <v>543</v>
      </c>
    </row>
    <row r="9" spans="1:6" x14ac:dyDescent="0.3">
      <c r="A9" t="s">
        <v>544</v>
      </c>
      <c r="B9" t="s">
        <v>545</v>
      </c>
      <c r="C9" t="s">
        <v>115</v>
      </c>
      <c r="D9" t="s">
        <v>536</v>
      </c>
      <c r="E9" t="s">
        <v>537</v>
      </c>
      <c r="F9" t="s">
        <v>546</v>
      </c>
    </row>
    <row r="10" spans="1:6" x14ac:dyDescent="0.3">
      <c r="A10" t="s">
        <v>121</v>
      </c>
      <c r="B10" t="s">
        <v>122</v>
      </c>
      <c r="C10">
        <f>SUMIF(SalesData[CustomerName], A10, SalesData[Revenue])</f>
        <v>82948.462500000009</v>
      </c>
      <c r="D10">
        <f>SUMIF(SalesData[CustomerName], A10, SalesData[GrossProfit])</f>
        <v>29795.122674999999</v>
      </c>
      <c r="E10">
        <f>IFERROR(D10/C10, 0)</f>
        <v>0.3592004212856868</v>
      </c>
      <c r="F10" t="str">
        <f>IF(AND(C10&gt;AVERAGE($C$10:$C$19), E10&lt;0.3), "Review / Flag", "Normal")</f>
        <v>Normal</v>
      </c>
    </row>
    <row r="11" spans="1:6" x14ac:dyDescent="0.3">
      <c r="A11" t="s">
        <v>157</v>
      </c>
      <c r="B11" t="s">
        <v>131</v>
      </c>
      <c r="C11">
        <f>SUMIF(SalesData[CustomerName], A11, SalesData[Revenue])</f>
        <v>144913.29750000004</v>
      </c>
      <c r="D11">
        <f>SUMIF(SalesData[CustomerName], A11, SalesData[GrossProfit])</f>
        <v>50719.654125000001</v>
      </c>
      <c r="E11">
        <f t="shared" ref="E11:E19" si="1">IFERROR(D11/C11, 0)</f>
        <v>0.34999999999999992</v>
      </c>
      <c r="F11" t="str">
        <f t="shared" ref="F11:F19" si="2">IF(AND(C11&gt;AVERAGE($C$10:$C$19), E11&lt;0.3), "Review / Flag", "Normal")</f>
        <v>Normal</v>
      </c>
    </row>
    <row r="12" spans="1:6" x14ac:dyDescent="0.3">
      <c r="A12" t="s">
        <v>245</v>
      </c>
      <c r="B12" t="s">
        <v>127</v>
      </c>
      <c r="C12">
        <f>SUMIF(SalesData[CustomerName], A12, SalesData[Revenue])</f>
        <v>144716.22699999998</v>
      </c>
      <c r="D12">
        <f>SUMIF(SalesData[CustomerName], A12, SalesData[GrossProfit])</f>
        <v>50650.679449999996</v>
      </c>
      <c r="E12">
        <f t="shared" si="1"/>
        <v>0.35000000000000003</v>
      </c>
      <c r="F12" t="str">
        <f t="shared" si="2"/>
        <v>Normal</v>
      </c>
    </row>
    <row r="13" spans="1:6" x14ac:dyDescent="0.3">
      <c r="A13" t="s">
        <v>130</v>
      </c>
      <c r="B13" t="s">
        <v>127</v>
      </c>
      <c r="C13">
        <f>SUMIF(SalesData[CustomerName], A13, SalesData[Revenue])</f>
        <v>84949.486499999985</v>
      </c>
      <c r="D13">
        <f>SUMIF(SalesData[CustomerName], A13, SalesData[GrossProfit])</f>
        <v>29732.320274999991</v>
      </c>
      <c r="E13">
        <f t="shared" si="1"/>
        <v>0.35</v>
      </c>
      <c r="F13" t="str">
        <f t="shared" si="2"/>
        <v>Normal</v>
      </c>
    </row>
    <row r="14" spans="1:6" x14ac:dyDescent="0.3">
      <c r="A14" t="s">
        <v>149</v>
      </c>
      <c r="B14" t="s">
        <v>122</v>
      </c>
      <c r="C14">
        <f>SUMIF(SalesData[CustomerName], A14, SalesData[Revenue])</f>
        <v>65140.212500000001</v>
      </c>
      <c r="D14">
        <f>SUMIF(SalesData[CustomerName], A14, SalesData[GrossProfit])</f>
        <v>22799.074374999997</v>
      </c>
      <c r="E14">
        <f t="shared" si="1"/>
        <v>0.34999999999999992</v>
      </c>
      <c r="F14" t="str">
        <f t="shared" si="2"/>
        <v>Normal</v>
      </c>
    </row>
    <row r="15" spans="1:6" x14ac:dyDescent="0.3">
      <c r="A15" t="s">
        <v>174</v>
      </c>
      <c r="B15" t="s">
        <v>131</v>
      </c>
      <c r="C15">
        <f>SUMIF(SalesData[CustomerName], A15, SalesData[Revenue])</f>
        <v>137127.848</v>
      </c>
      <c r="D15">
        <f>SUMIF(SalesData[CustomerName], A15, SalesData[GrossProfit])</f>
        <v>47994.746800000001</v>
      </c>
      <c r="E15">
        <f t="shared" si="1"/>
        <v>0.35000000000000003</v>
      </c>
      <c r="F15" t="str">
        <f t="shared" si="2"/>
        <v>Normal</v>
      </c>
    </row>
    <row r="16" spans="1:6" x14ac:dyDescent="0.3">
      <c r="A16" t="s">
        <v>142</v>
      </c>
      <c r="B16" t="s">
        <v>122</v>
      </c>
      <c r="C16">
        <f>SUMIF(SalesData[CustomerName], A16, SalesData[Revenue])</f>
        <v>175712.84350000002</v>
      </c>
      <c r="D16">
        <f>SUMIF(SalesData[CustomerName], A16, SalesData[GrossProfit])</f>
        <v>61499.495224999991</v>
      </c>
      <c r="E16">
        <f t="shared" si="1"/>
        <v>0.34999999999999992</v>
      </c>
      <c r="F16" t="str">
        <f t="shared" si="2"/>
        <v>Normal</v>
      </c>
    </row>
    <row r="17" spans="1:6" x14ac:dyDescent="0.3">
      <c r="A17" t="s">
        <v>164</v>
      </c>
      <c r="B17" t="s">
        <v>131</v>
      </c>
      <c r="C17">
        <f>SUMIF(SalesData[CustomerName], A17, SalesData[Revenue])</f>
        <v>54134.829999999994</v>
      </c>
      <c r="D17">
        <f>SUMIF(SalesData[CustomerName], A17, SalesData[GrossProfit])</f>
        <v>18947.190499999997</v>
      </c>
      <c r="E17">
        <f t="shared" si="1"/>
        <v>0.35</v>
      </c>
      <c r="F17" t="str">
        <f t="shared" si="2"/>
        <v>Normal</v>
      </c>
    </row>
    <row r="18" spans="1:6" x14ac:dyDescent="0.3">
      <c r="A18" t="s">
        <v>167</v>
      </c>
      <c r="B18" t="s">
        <v>127</v>
      </c>
      <c r="C18">
        <f>SUMIF(SalesData[CustomerName], A18, SalesData[Revenue])</f>
        <v>157932.19149999996</v>
      </c>
      <c r="D18">
        <f>SUMIF(SalesData[CustomerName], A18, SalesData[GrossProfit])</f>
        <v>55276.267024999994</v>
      </c>
      <c r="E18">
        <f t="shared" si="1"/>
        <v>0.35000000000000003</v>
      </c>
      <c r="F18" t="str">
        <f t="shared" si="2"/>
        <v>Normal</v>
      </c>
    </row>
    <row r="19" spans="1:6" x14ac:dyDescent="0.3">
      <c r="A19" t="s">
        <v>140</v>
      </c>
      <c r="B19" t="s">
        <v>131</v>
      </c>
      <c r="C19">
        <f>SUMIF(SalesData[CustomerName], A19, SalesData[Revenue])</f>
        <v>72743.825500000006</v>
      </c>
      <c r="D19">
        <f>SUMIF(SalesData[CustomerName], A19, SalesData[GrossProfit])</f>
        <v>25460.338925</v>
      </c>
      <c r="E19">
        <f t="shared" si="1"/>
        <v>0.35</v>
      </c>
      <c r="F19" t="str">
        <f t="shared" si="2"/>
        <v>Normal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sqref="A1:K41"/>
    </sheetView>
  </sheetViews>
  <sheetFormatPr defaultRowHeight="14.4" x14ac:dyDescent="0.3"/>
  <cols>
    <col min="1" max="1" width="9.109375" bestFit="1" customWidth="1"/>
    <col min="2" max="2" width="26" bestFit="1" customWidth="1"/>
    <col min="3" max="3" width="15.21875" bestFit="1" customWidth="1"/>
    <col min="4" max="4" width="12.77734375" bestFit="1" customWidth="1"/>
    <col min="5" max="5" width="11.88671875" bestFit="1" customWidth="1"/>
    <col min="6" max="6" width="12.21875" bestFit="1" customWidth="1"/>
    <col min="7" max="7" width="11.77734375" bestFit="1" customWidth="1"/>
    <col min="8" max="8" width="11.5546875" bestFit="1" customWidth="1"/>
    <col min="9" max="9" width="12.77734375" bestFit="1" customWidth="1"/>
    <col min="10" max="10" width="12.109375" bestFit="1" customWidth="1"/>
    <col min="11" max="11" width="2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547</v>
      </c>
      <c r="K1" t="s">
        <v>548</v>
      </c>
    </row>
    <row r="2" spans="1:11" x14ac:dyDescent="0.3">
      <c r="A2" t="str">
        <f>'Product Master'!A2</f>
        <v>P001</v>
      </c>
      <c r="B2" t="str">
        <f>'Product Master'!B2</f>
        <v>Laptop Pro 15</v>
      </c>
      <c r="C2" t="str">
        <f>'Product Master'!C2</f>
        <v>Laptops</v>
      </c>
      <c r="D2" t="str">
        <f>'Product Master'!D2</f>
        <v>TechGlobal</v>
      </c>
      <c r="E2">
        <f>'Product Master'!E2</f>
        <v>1200</v>
      </c>
      <c r="F2">
        <f>'Product Master'!F2</f>
        <v>1800</v>
      </c>
      <c r="G2">
        <f>'Product Master'!G2</f>
        <v>20</v>
      </c>
      <c r="H2">
        <f>'Product Master'!H2</f>
        <v>15</v>
      </c>
      <c r="I2">
        <f>'Product Master'!I2</f>
        <v>5</v>
      </c>
      <c r="J2" t="str">
        <f>IF(H2&lt;0.5*G2, "Critical", IF(H2&lt;G2, "Reorder Soon", "Healthy"))</f>
        <v>Reorder Soon</v>
      </c>
      <c r="K2">
        <f>IF(H2&lt;G2, (G2*2)-H2, 0)</f>
        <v>25</v>
      </c>
    </row>
    <row r="3" spans="1:11" x14ac:dyDescent="0.3">
      <c r="A3" t="str">
        <f>'Product Master'!A3</f>
        <v>P002</v>
      </c>
      <c r="B3" t="str">
        <f>'Product Master'!B3</f>
        <v>Smartphone X</v>
      </c>
      <c r="C3" t="str">
        <f>'Product Master'!C3</f>
        <v>Phones</v>
      </c>
      <c r="D3" t="str">
        <f>'Product Master'!D3</f>
        <v>MobileSource</v>
      </c>
      <c r="E3">
        <f>'Product Master'!E3</f>
        <v>600</v>
      </c>
      <c r="F3">
        <f>'Product Master'!F3</f>
        <v>900</v>
      </c>
      <c r="G3">
        <f>'Product Master'!G3</f>
        <v>50</v>
      </c>
      <c r="H3">
        <f>'Product Master'!H3</f>
        <v>40</v>
      </c>
      <c r="I3">
        <f>'Product Master'!I3</f>
        <v>3</v>
      </c>
      <c r="J3" t="str">
        <f t="shared" ref="J3:J41" si="0">IF(H3&lt;0.5*G3, "Critical", IF(H3&lt;G3, "Reorder Soon", "Healthy"))</f>
        <v>Reorder Soon</v>
      </c>
      <c r="K3">
        <f t="shared" ref="K3:K41" si="1">IF(H3&lt;G3, (G3*2)-H3, 0)</f>
        <v>60</v>
      </c>
    </row>
    <row r="4" spans="1:11" x14ac:dyDescent="0.3">
      <c r="A4" t="str">
        <f>'Product Master'!A4</f>
        <v>P003</v>
      </c>
      <c r="B4" t="str">
        <f>'Product Master'!B4</f>
        <v>Wireless Earbuds</v>
      </c>
      <c r="C4" t="str">
        <f>'Product Master'!C4</f>
        <v>Audio</v>
      </c>
      <c r="D4" t="str">
        <f>'Product Master'!D4</f>
        <v>SoundWave</v>
      </c>
      <c r="E4">
        <f>'Product Master'!E4</f>
        <v>80</v>
      </c>
      <c r="F4">
        <f>'Product Master'!F4</f>
        <v>120</v>
      </c>
      <c r="G4">
        <f>'Product Master'!G4</f>
        <v>100</v>
      </c>
      <c r="H4">
        <f>'Product Master'!H4</f>
        <v>120</v>
      </c>
      <c r="I4">
        <f>'Product Master'!I4</f>
        <v>2</v>
      </c>
      <c r="J4" t="str">
        <f t="shared" si="0"/>
        <v>Healthy</v>
      </c>
      <c r="K4">
        <f t="shared" si="1"/>
        <v>0</v>
      </c>
    </row>
    <row r="5" spans="1:11" x14ac:dyDescent="0.3">
      <c r="A5" t="str">
        <f>'Product Master'!A5</f>
        <v>P004</v>
      </c>
      <c r="B5" t="str">
        <f>'Product Master'!B5</f>
        <v>Mechanical Keyboard</v>
      </c>
      <c r="C5" t="str">
        <f>'Product Master'!C5</f>
        <v>Accessories</v>
      </c>
      <c r="D5" t="str">
        <f>'Product Master'!D5</f>
        <v>KeyMasters</v>
      </c>
      <c r="E5">
        <f>'Product Master'!E5</f>
        <v>100</v>
      </c>
      <c r="F5">
        <f>'Product Master'!F5</f>
        <v>150</v>
      </c>
      <c r="G5">
        <f>'Product Master'!G5</f>
        <v>30</v>
      </c>
      <c r="H5">
        <f>'Product Master'!H5</f>
        <v>25</v>
      </c>
      <c r="I5">
        <f>'Product Master'!I5</f>
        <v>4</v>
      </c>
      <c r="J5" t="str">
        <f t="shared" si="0"/>
        <v>Reorder Soon</v>
      </c>
      <c r="K5">
        <f t="shared" si="1"/>
        <v>35</v>
      </c>
    </row>
    <row r="6" spans="1:11" x14ac:dyDescent="0.3">
      <c r="A6" t="str">
        <f>'Product Master'!A6</f>
        <v>P005</v>
      </c>
      <c r="B6" t="str">
        <f>'Product Master'!B6</f>
        <v>All-in-One PC</v>
      </c>
      <c r="C6" t="str">
        <f>'Product Master'!C6</f>
        <v>Office Equipment</v>
      </c>
      <c r="D6" t="str">
        <f>'Product Master'!D6</f>
        <v>OfficeTech</v>
      </c>
      <c r="E6">
        <f>'Product Master'!E6</f>
        <v>900</v>
      </c>
      <c r="F6">
        <f>'Product Master'!F6</f>
        <v>1350</v>
      </c>
      <c r="G6">
        <f>'Product Master'!G6</f>
        <v>15</v>
      </c>
      <c r="H6">
        <f>'Product Master'!H6</f>
        <v>10</v>
      </c>
      <c r="I6">
        <f>'Product Master'!I6</f>
        <v>7</v>
      </c>
      <c r="J6" t="str">
        <f t="shared" si="0"/>
        <v>Reorder Soon</v>
      </c>
      <c r="K6">
        <f t="shared" si="1"/>
        <v>20</v>
      </c>
    </row>
    <row r="7" spans="1:11" x14ac:dyDescent="0.3">
      <c r="A7" t="str">
        <f>'Product Master'!A7</f>
        <v>P006</v>
      </c>
      <c r="B7" t="str">
        <f>'Product Master'!B7</f>
        <v>Gaming Console Gen 5</v>
      </c>
      <c r="C7" t="str">
        <f>'Product Master'!C7</f>
        <v>Gaming</v>
      </c>
      <c r="D7" t="str">
        <f>'Product Master'!D7</f>
        <v>GameWorld</v>
      </c>
      <c r="E7">
        <f>'Product Master'!E7</f>
        <v>400</v>
      </c>
      <c r="F7">
        <f>'Product Master'!F7</f>
        <v>600</v>
      </c>
      <c r="G7">
        <f>'Product Master'!G7</f>
        <v>25</v>
      </c>
      <c r="H7">
        <f>'Product Master'!H7</f>
        <v>30</v>
      </c>
      <c r="I7">
        <f>'Product Master'!I7</f>
        <v>6</v>
      </c>
      <c r="J7" t="str">
        <f t="shared" si="0"/>
        <v>Healthy</v>
      </c>
      <c r="K7">
        <f t="shared" si="1"/>
        <v>0</v>
      </c>
    </row>
    <row r="8" spans="1:11" x14ac:dyDescent="0.3">
      <c r="A8" t="str">
        <f>'Product Master'!A8</f>
        <v>P007</v>
      </c>
      <c r="B8" t="str">
        <f>'Product Master'!B8</f>
        <v>Laptop Air 13</v>
      </c>
      <c r="C8" t="str">
        <f>'Product Master'!C8</f>
        <v>Laptops</v>
      </c>
      <c r="D8" t="str">
        <f>'Product Master'!D8</f>
        <v>TechGlobal</v>
      </c>
      <c r="E8">
        <f>'Product Master'!E8</f>
        <v>1000</v>
      </c>
      <c r="F8">
        <f>'Product Master'!F8</f>
        <v>1500</v>
      </c>
      <c r="G8">
        <f>'Product Master'!G8</f>
        <v>25</v>
      </c>
      <c r="H8">
        <f>'Product Master'!H8</f>
        <v>20</v>
      </c>
      <c r="I8">
        <f>'Product Master'!I8</f>
        <v>5</v>
      </c>
      <c r="J8" t="str">
        <f t="shared" si="0"/>
        <v>Reorder Soon</v>
      </c>
      <c r="K8">
        <f t="shared" si="1"/>
        <v>30</v>
      </c>
    </row>
    <row r="9" spans="1:11" x14ac:dyDescent="0.3">
      <c r="A9" t="str">
        <f>'Product Master'!A9</f>
        <v>P008</v>
      </c>
      <c r="B9" t="str">
        <f>'Product Master'!B9</f>
        <v>Smartphone Lite</v>
      </c>
      <c r="C9" t="str">
        <f>'Product Master'!C9</f>
        <v>Phones</v>
      </c>
      <c r="D9" t="str">
        <f>'Product Master'!D9</f>
        <v>MobileSource</v>
      </c>
      <c r="E9">
        <f>'Product Master'!E9</f>
        <v>300</v>
      </c>
      <c r="F9">
        <f>'Product Master'!F9</f>
        <v>450</v>
      </c>
      <c r="G9">
        <f>'Product Master'!G9</f>
        <v>60</v>
      </c>
      <c r="H9">
        <f>'Product Master'!H9</f>
        <v>70</v>
      </c>
      <c r="I9">
        <f>'Product Master'!I9</f>
        <v>3</v>
      </c>
      <c r="J9" t="str">
        <f t="shared" si="0"/>
        <v>Healthy</v>
      </c>
      <c r="K9">
        <f t="shared" si="1"/>
        <v>0</v>
      </c>
    </row>
    <row r="10" spans="1:11" x14ac:dyDescent="0.3">
      <c r="A10" t="str">
        <f>'Product Master'!A10</f>
        <v>P009</v>
      </c>
      <c r="B10" t="str">
        <f>'Product Master'!B10</f>
        <v>Bluetooth Speaker</v>
      </c>
      <c r="C10" t="str">
        <f>'Product Master'!C10</f>
        <v>Audio</v>
      </c>
      <c r="D10" t="str">
        <f>'Product Master'!D10</f>
        <v>SoundWave</v>
      </c>
      <c r="E10">
        <f>'Product Master'!E10</f>
        <v>50</v>
      </c>
      <c r="F10">
        <f>'Product Master'!F10</f>
        <v>75</v>
      </c>
      <c r="G10">
        <f>'Product Master'!G10</f>
        <v>150</v>
      </c>
      <c r="H10">
        <f>'Product Master'!H10</f>
        <v>180</v>
      </c>
      <c r="I10">
        <f>'Product Master'!I10</f>
        <v>2</v>
      </c>
      <c r="J10" t="str">
        <f t="shared" si="0"/>
        <v>Healthy</v>
      </c>
      <c r="K10">
        <f t="shared" si="1"/>
        <v>0</v>
      </c>
    </row>
    <row r="11" spans="1:11" x14ac:dyDescent="0.3">
      <c r="A11" t="str">
        <f>'Product Master'!A11</f>
        <v>P010</v>
      </c>
      <c r="B11" t="str">
        <f>'Product Master'!B11</f>
        <v>Ergonomic Mouse</v>
      </c>
      <c r="C11" t="str">
        <f>'Product Master'!C11</f>
        <v>Accessories</v>
      </c>
      <c r="D11" t="str">
        <f>'Product Master'!D11</f>
        <v>KeyMasters</v>
      </c>
      <c r="E11">
        <f>'Product Master'!E11</f>
        <v>40</v>
      </c>
      <c r="F11">
        <f>'Product Master'!F11</f>
        <v>60</v>
      </c>
      <c r="G11">
        <f>'Product Master'!G11</f>
        <v>50</v>
      </c>
      <c r="H11">
        <f>'Product Master'!H11</f>
        <v>60</v>
      </c>
      <c r="I11">
        <f>'Product Master'!I11</f>
        <v>2</v>
      </c>
      <c r="J11" t="str">
        <f t="shared" si="0"/>
        <v>Healthy</v>
      </c>
      <c r="K11">
        <f t="shared" si="1"/>
        <v>0</v>
      </c>
    </row>
    <row r="12" spans="1:11" x14ac:dyDescent="0.3">
      <c r="A12" t="str">
        <f>'Product Master'!A12</f>
        <v>P011</v>
      </c>
      <c r="B12" t="str">
        <f>'Product Master'!B12</f>
        <v>Office Monitor 27"</v>
      </c>
      <c r="C12" t="str">
        <f>'Product Master'!C12</f>
        <v>Office Equipment</v>
      </c>
      <c r="D12" t="str">
        <f>'Product Master'!D12</f>
        <v>OfficeTech</v>
      </c>
      <c r="E12">
        <f>'Product Master'!E12</f>
        <v>250</v>
      </c>
      <c r="F12">
        <f>'Product Master'!F12</f>
        <v>375</v>
      </c>
      <c r="G12">
        <f>'Product Master'!G12</f>
        <v>20</v>
      </c>
      <c r="H12">
        <f>'Product Master'!H12</f>
        <v>22</v>
      </c>
      <c r="I12">
        <f>'Product Master'!I12</f>
        <v>4</v>
      </c>
      <c r="J12" t="str">
        <f t="shared" si="0"/>
        <v>Healthy</v>
      </c>
      <c r="K12">
        <f t="shared" si="1"/>
        <v>0</v>
      </c>
    </row>
    <row r="13" spans="1:11" x14ac:dyDescent="0.3">
      <c r="A13" t="str">
        <f>'Product Master'!A13</f>
        <v>P012</v>
      </c>
      <c r="B13" t="str">
        <f>'Product Master'!B13</f>
        <v>Gaming Keyboard RGB</v>
      </c>
      <c r="C13" t="str">
        <f>'Product Master'!C13</f>
        <v>Gaming</v>
      </c>
      <c r="D13" t="str">
        <f>'Product Master'!D13</f>
        <v>GameWorld</v>
      </c>
      <c r="E13">
        <f>'Product Master'!E13</f>
        <v>120</v>
      </c>
      <c r="F13">
        <f>'Product Master'!F13</f>
        <v>180</v>
      </c>
      <c r="G13">
        <f>'Product Master'!G13</f>
        <v>35</v>
      </c>
      <c r="H13">
        <f>'Product Master'!H13</f>
        <v>40</v>
      </c>
      <c r="I13">
        <f>'Product Master'!I13</f>
        <v>3</v>
      </c>
      <c r="J13" t="str">
        <f t="shared" si="0"/>
        <v>Healthy</v>
      </c>
      <c r="K13">
        <f t="shared" si="1"/>
        <v>0</v>
      </c>
    </row>
    <row r="14" spans="1:11" x14ac:dyDescent="0.3">
      <c r="A14" t="str">
        <f>'Product Master'!A14</f>
        <v>P013</v>
      </c>
      <c r="B14" t="str">
        <f>'Product Master'!B14</f>
        <v>Laptop Workstation</v>
      </c>
      <c r="C14" t="str">
        <f>'Product Master'!C14</f>
        <v>Laptops</v>
      </c>
      <c r="D14" t="str">
        <f>'Product Master'!D14</f>
        <v>TechGlobal</v>
      </c>
      <c r="E14">
        <f>'Product Master'!E14</f>
        <v>1500</v>
      </c>
      <c r="F14">
        <f>'Product Master'!F14</f>
        <v>2250</v>
      </c>
      <c r="G14">
        <f>'Product Master'!G14</f>
        <v>10</v>
      </c>
      <c r="H14">
        <f>'Product Master'!H14</f>
        <v>8</v>
      </c>
      <c r="I14">
        <f>'Product Master'!I14</f>
        <v>8</v>
      </c>
      <c r="J14" t="str">
        <f t="shared" si="0"/>
        <v>Reorder Soon</v>
      </c>
      <c r="K14">
        <f t="shared" si="1"/>
        <v>12</v>
      </c>
    </row>
    <row r="15" spans="1:11" x14ac:dyDescent="0.3">
      <c r="A15" t="str">
        <f>'Product Master'!A15</f>
        <v>P014</v>
      </c>
      <c r="B15" t="str">
        <f>'Product Master'!B15</f>
        <v>Smartphone Pro Max</v>
      </c>
      <c r="C15" t="str">
        <f>'Product Master'!C15</f>
        <v>Phones</v>
      </c>
      <c r="D15" t="str">
        <f>'Product Master'!D15</f>
        <v>MobileSource</v>
      </c>
      <c r="E15">
        <f>'Product Master'!E15</f>
        <v>800</v>
      </c>
      <c r="F15">
        <f>'Product Master'!F15</f>
        <v>1200</v>
      </c>
      <c r="G15">
        <f>'Product Master'!G15</f>
        <v>40</v>
      </c>
      <c r="H15">
        <f>'Product Master'!H15</f>
        <v>35</v>
      </c>
      <c r="I15">
        <f>'Product Master'!I15</f>
        <v>4</v>
      </c>
      <c r="J15" t="str">
        <f t="shared" si="0"/>
        <v>Reorder Soon</v>
      </c>
      <c r="K15">
        <f t="shared" si="1"/>
        <v>45</v>
      </c>
    </row>
    <row r="16" spans="1:11" x14ac:dyDescent="0.3">
      <c r="A16" t="str">
        <f>'Product Master'!A16</f>
        <v>P015</v>
      </c>
      <c r="B16" t="str">
        <f>'Product Master'!B16</f>
        <v>Noise Cancelling Headphones</v>
      </c>
      <c r="C16" t="str">
        <f>'Product Master'!C16</f>
        <v>Audio</v>
      </c>
      <c r="D16" t="str">
        <f>'Product Master'!D16</f>
        <v>SoundWave</v>
      </c>
      <c r="E16">
        <f>'Product Master'!E16</f>
        <v>150</v>
      </c>
      <c r="F16">
        <f>'Product Master'!F16</f>
        <v>225</v>
      </c>
      <c r="G16">
        <f>'Product Master'!G16</f>
        <v>80</v>
      </c>
      <c r="H16">
        <f>'Product Master'!H16</f>
        <v>90</v>
      </c>
      <c r="I16">
        <f>'Product Master'!I16</f>
        <v>3</v>
      </c>
      <c r="J16" t="str">
        <f t="shared" si="0"/>
        <v>Healthy</v>
      </c>
      <c r="K16">
        <f t="shared" si="1"/>
        <v>0</v>
      </c>
    </row>
    <row r="17" spans="1:11" x14ac:dyDescent="0.3">
      <c r="A17" t="str">
        <f>'Product Master'!A17</f>
        <v>P016</v>
      </c>
      <c r="B17" t="str">
        <f>'Product Master'!B17</f>
        <v>Wireless Charger Pad</v>
      </c>
      <c r="C17" t="str">
        <f>'Product Master'!C17</f>
        <v>Accessories</v>
      </c>
      <c r="D17" t="str">
        <f>'Product Master'!D17</f>
        <v>PowerUp</v>
      </c>
      <c r="E17">
        <f>'Product Master'!E17</f>
        <v>30</v>
      </c>
      <c r="F17">
        <f>'Product Master'!F17</f>
        <v>50</v>
      </c>
      <c r="G17">
        <f>'Product Master'!G17</f>
        <v>200</v>
      </c>
      <c r="H17">
        <f>'Product Master'!H17</f>
        <v>250</v>
      </c>
      <c r="I17">
        <f>'Product Master'!I17</f>
        <v>1</v>
      </c>
      <c r="J17" t="str">
        <f t="shared" si="0"/>
        <v>Healthy</v>
      </c>
      <c r="K17">
        <f t="shared" si="1"/>
        <v>0</v>
      </c>
    </row>
    <row r="18" spans="1:11" x14ac:dyDescent="0.3">
      <c r="A18" t="str">
        <f>'Product Master'!A18</f>
        <v>P017</v>
      </c>
      <c r="B18" t="str">
        <f>'Product Master'!B18</f>
        <v>Business Projector</v>
      </c>
      <c r="C18" t="str">
        <f>'Product Master'!C18</f>
        <v>Office Equipment</v>
      </c>
      <c r="D18" t="str">
        <f>'Product Master'!D18</f>
        <v>OfficeTech</v>
      </c>
      <c r="E18">
        <f>'Product Master'!E18</f>
        <v>700</v>
      </c>
      <c r="F18">
        <f>'Product Master'!F18</f>
        <v>1050</v>
      </c>
      <c r="G18">
        <f>'Product Master'!G18</f>
        <v>15</v>
      </c>
      <c r="H18">
        <f>'Product Master'!H18</f>
        <v>12</v>
      </c>
      <c r="I18">
        <f>'Product Master'!I18</f>
        <v>6</v>
      </c>
      <c r="J18" t="str">
        <f t="shared" si="0"/>
        <v>Reorder Soon</v>
      </c>
      <c r="K18">
        <f t="shared" si="1"/>
        <v>18</v>
      </c>
    </row>
    <row r="19" spans="1:11" x14ac:dyDescent="0.3">
      <c r="A19" t="str">
        <f>'Product Master'!A19</f>
        <v>P018</v>
      </c>
      <c r="B19" t="str">
        <f>'Product Master'!B19</f>
        <v>VR Headset</v>
      </c>
      <c r="C19" t="str">
        <f>'Product Master'!C19</f>
        <v>Gaming</v>
      </c>
      <c r="D19" t="str">
        <f>'Product Master'!D19</f>
        <v>GameWorld</v>
      </c>
      <c r="E19">
        <f>'Product Master'!E19</f>
        <v>350</v>
      </c>
      <c r="F19">
        <f>'Product Master'!F19</f>
        <v>525</v>
      </c>
      <c r="G19">
        <f>'Product Master'!G19</f>
        <v>30</v>
      </c>
      <c r="H19">
        <f>'Product Master'!H19</f>
        <v>35</v>
      </c>
      <c r="I19">
        <f>'Product Master'!I19</f>
        <v>5</v>
      </c>
      <c r="J19" t="str">
        <f t="shared" si="0"/>
        <v>Healthy</v>
      </c>
      <c r="K19">
        <f t="shared" si="1"/>
        <v>0</v>
      </c>
    </row>
    <row r="20" spans="1:11" x14ac:dyDescent="0.3">
      <c r="A20" t="str">
        <f>'Product Master'!A20</f>
        <v>P019</v>
      </c>
      <c r="B20" t="str">
        <f>'Product Master'!B20</f>
        <v>Ultrabook 14"</v>
      </c>
      <c r="C20" t="str">
        <f>'Product Master'!C20</f>
        <v>Laptops</v>
      </c>
      <c r="D20" t="str">
        <f>'Product Master'!D20</f>
        <v>TechGlobal</v>
      </c>
      <c r="E20">
        <f>'Product Master'!E20</f>
        <v>1100</v>
      </c>
      <c r="F20">
        <f>'Product Master'!F20</f>
        <v>1650</v>
      </c>
      <c r="G20">
        <f>'Product Master'!G20</f>
        <v>20</v>
      </c>
      <c r="H20">
        <f>'Product Master'!H20</f>
        <v>18</v>
      </c>
      <c r="I20">
        <f>'Product Master'!I20</f>
        <v>5</v>
      </c>
      <c r="J20" t="str">
        <f t="shared" si="0"/>
        <v>Reorder Soon</v>
      </c>
      <c r="K20">
        <f t="shared" si="1"/>
        <v>22</v>
      </c>
    </row>
    <row r="21" spans="1:11" x14ac:dyDescent="0.3">
      <c r="A21" t="str">
        <f>'Product Master'!A21</f>
        <v>P020</v>
      </c>
      <c r="B21" t="str">
        <f>'Product Master'!B21</f>
        <v>Budget Smartphone</v>
      </c>
      <c r="C21" t="str">
        <f>'Product Master'!C21</f>
        <v>Phones</v>
      </c>
      <c r="D21" t="str">
        <f>'Product Master'!D21</f>
        <v>MobileSource</v>
      </c>
      <c r="E21">
        <f>'Product Master'!E21</f>
        <v>150</v>
      </c>
      <c r="F21">
        <f>'Product Master'!F21</f>
        <v>225</v>
      </c>
      <c r="G21">
        <f>'Product Master'!G21</f>
        <v>70</v>
      </c>
      <c r="H21">
        <f>'Product Master'!H21</f>
        <v>80</v>
      </c>
      <c r="I21">
        <f>'Product Master'!I21</f>
        <v>3</v>
      </c>
      <c r="J21" t="str">
        <f t="shared" si="0"/>
        <v>Healthy</v>
      </c>
      <c r="K21">
        <f t="shared" si="1"/>
        <v>0</v>
      </c>
    </row>
    <row r="22" spans="1:11" x14ac:dyDescent="0.3">
      <c r="A22" t="str">
        <f>'Product Master'!A22</f>
        <v>P021</v>
      </c>
      <c r="B22" t="str">
        <f>'Product Master'!B22</f>
        <v>Portable Speaker</v>
      </c>
      <c r="C22" t="str">
        <f>'Product Master'!C22</f>
        <v>Audio</v>
      </c>
      <c r="D22" t="str">
        <f>'Product Master'!D22</f>
        <v>SoundWave</v>
      </c>
      <c r="E22">
        <f>'Product Master'!E22</f>
        <v>40</v>
      </c>
      <c r="F22">
        <f>'Product Master'!F22</f>
        <v>60</v>
      </c>
      <c r="G22">
        <f>'Product Master'!G22</f>
        <v>100</v>
      </c>
      <c r="H22">
        <f>'Product Master'!H22</f>
        <v>110</v>
      </c>
      <c r="I22">
        <f>'Product Master'!I22</f>
        <v>2</v>
      </c>
      <c r="J22" t="str">
        <f t="shared" si="0"/>
        <v>Healthy</v>
      </c>
      <c r="K22">
        <f t="shared" si="1"/>
        <v>0</v>
      </c>
    </row>
    <row r="23" spans="1:11" x14ac:dyDescent="0.3">
      <c r="A23" t="str">
        <f>'Product Master'!A23</f>
        <v>P022</v>
      </c>
      <c r="B23" t="str">
        <f>'Product Master'!B23</f>
        <v>Gaming Mousepad</v>
      </c>
      <c r="C23" t="str">
        <f>'Product Master'!C23</f>
        <v>Accessories</v>
      </c>
      <c r="D23" t="str">
        <f>'Product Master'!D23</f>
        <v>GameWorld</v>
      </c>
      <c r="E23">
        <f>'Product Master'!E23</f>
        <v>20</v>
      </c>
      <c r="F23">
        <f>'Product Master'!F23</f>
        <v>30</v>
      </c>
      <c r="G23">
        <f>'Product Master'!G23</f>
        <v>100</v>
      </c>
      <c r="H23">
        <f>'Product Master'!H23</f>
        <v>120</v>
      </c>
      <c r="I23">
        <f>'Product Master'!I23</f>
        <v>1</v>
      </c>
      <c r="J23" t="str">
        <f t="shared" si="0"/>
        <v>Healthy</v>
      </c>
      <c r="K23">
        <f t="shared" si="1"/>
        <v>0</v>
      </c>
    </row>
    <row r="24" spans="1:11" x14ac:dyDescent="0.3">
      <c r="A24" t="str">
        <f>'Product Master'!A24</f>
        <v>P023</v>
      </c>
      <c r="B24" t="str">
        <f>'Product Master'!B24</f>
        <v>4K Monitor 32"</v>
      </c>
      <c r="C24" t="str">
        <f>'Product Master'!C24</f>
        <v>Office Equipment</v>
      </c>
      <c r="D24" t="str">
        <f>'Product Master'!D24</f>
        <v>OfficeTech</v>
      </c>
      <c r="E24">
        <f>'Product Master'!E24</f>
        <v>400</v>
      </c>
      <c r="F24">
        <f>'Product Master'!F24</f>
        <v>600</v>
      </c>
      <c r="G24">
        <f>'Product Master'!G24</f>
        <v>15</v>
      </c>
      <c r="H24">
        <f>'Product Master'!H24</f>
        <v>14</v>
      </c>
      <c r="I24">
        <f>'Product Master'!I24</f>
        <v>5</v>
      </c>
      <c r="J24" t="str">
        <f t="shared" si="0"/>
        <v>Reorder Soon</v>
      </c>
      <c r="K24">
        <f t="shared" si="1"/>
        <v>16</v>
      </c>
    </row>
    <row r="25" spans="1:11" x14ac:dyDescent="0.3">
      <c r="A25" t="str">
        <f>'Product Master'!A25</f>
        <v>P024</v>
      </c>
      <c r="B25" t="str">
        <f>'Product Master'!B25</f>
        <v>Wireless Gaming Mouse</v>
      </c>
      <c r="C25" t="str">
        <f>'Product Master'!C25</f>
        <v>Gaming</v>
      </c>
      <c r="D25" t="str">
        <f>'Product Master'!D25</f>
        <v>GameWorld</v>
      </c>
      <c r="E25">
        <f>'Product Master'!E25</f>
        <v>70</v>
      </c>
      <c r="F25">
        <f>'Product Master'!F25</f>
        <v>105</v>
      </c>
      <c r="G25">
        <f>'Product Master'!G25</f>
        <v>40</v>
      </c>
      <c r="H25">
        <f>'Product Master'!H25</f>
        <v>50</v>
      </c>
      <c r="I25">
        <f>'Product Master'!I25</f>
        <v>3</v>
      </c>
      <c r="J25" t="str">
        <f t="shared" si="0"/>
        <v>Healthy</v>
      </c>
      <c r="K25">
        <f t="shared" si="1"/>
        <v>0</v>
      </c>
    </row>
    <row r="26" spans="1:11" x14ac:dyDescent="0.3">
      <c r="A26" t="str">
        <f>'Product Master'!A26</f>
        <v>P025</v>
      </c>
      <c r="B26" t="str">
        <f>'Product Master'!B26</f>
        <v>Chromebook 11"</v>
      </c>
      <c r="C26" t="str">
        <f>'Product Master'!C26</f>
        <v>Laptops</v>
      </c>
      <c r="D26" t="str">
        <f>'Product Master'!D26</f>
        <v>TechGlobal</v>
      </c>
      <c r="E26">
        <f>'Product Master'!E26</f>
        <v>300</v>
      </c>
      <c r="F26">
        <f>'Product Master'!F26</f>
        <v>450</v>
      </c>
      <c r="G26">
        <f>'Product Master'!G26</f>
        <v>40</v>
      </c>
      <c r="H26">
        <f>'Product Master'!H26</f>
        <v>45</v>
      </c>
      <c r="I26">
        <f>'Product Master'!I26</f>
        <v>4</v>
      </c>
      <c r="J26" t="str">
        <f t="shared" si="0"/>
        <v>Healthy</v>
      </c>
      <c r="K26">
        <f t="shared" si="1"/>
        <v>0</v>
      </c>
    </row>
    <row r="27" spans="1:11" x14ac:dyDescent="0.3">
      <c r="A27" t="str">
        <f>'Product Master'!A27</f>
        <v>P026</v>
      </c>
      <c r="B27" t="str">
        <f>'Product Master'!B27</f>
        <v>Smartphone SE</v>
      </c>
      <c r="C27" t="str">
        <f>'Product Master'!C27</f>
        <v>Phones</v>
      </c>
      <c r="D27" t="str">
        <f>'Product Master'!D27</f>
        <v>MobileSource</v>
      </c>
      <c r="E27">
        <f>'Product Master'!E27</f>
        <v>200</v>
      </c>
      <c r="F27">
        <f>'Product Master'!F27</f>
        <v>300</v>
      </c>
      <c r="G27">
        <f>'Product Master'!G27</f>
        <v>50</v>
      </c>
      <c r="H27">
        <f>'Product Master'!H27</f>
        <v>55</v>
      </c>
      <c r="I27">
        <f>'Product Master'!I27</f>
        <v>3</v>
      </c>
      <c r="J27" t="str">
        <f t="shared" si="0"/>
        <v>Healthy</v>
      </c>
      <c r="K27">
        <f t="shared" si="1"/>
        <v>0</v>
      </c>
    </row>
    <row r="28" spans="1:11" x14ac:dyDescent="0.3">
      <c r="A28" t="str">
        <f>'Product Master'!A28</f>
        <v>P027</v>
      </c>
      <c r="B28" t="str">
        <f>'Product Master'!B28</f>
        <v>Soundbar 2.1</v>
      </c>
      <c r="C28" t="str">
        <f>'Product Master'!C28</f>
        <v>Audio</v>
      </c>
      <c r="D28" t="str">
        <f>'Product Master'!D28</f>
        <v>SoundWave</v>
      </c>
      <c r="E28">
        <f>'Product Master'!E28</f>
        <v>200</v>
      </c>
      <c r="F28">
        <f>'Product Master'!F28</f>
        <v>300</v>
      </c>
      <c r="G28">
        <f>'Product Master'!G28</f>
        <v>60</v>
      </c>
      <c r="H28">
        <f>'Product Master'!H28</f>
        <v>70</v>
      </c>
      <c r="I28">
        <f>'Product Master'!I28</f>
        <v>3</v>
      </c>
      <c r="J28" t="str">
        <f t="shared" si="0"/>
        <v>Healthy</v>
      </c>
      <c r="K28">
        <f t="shared" si="1"/>
        <v>0</v>
      </c>
    </row>
    <row r="29" spans="1:11" x14ac:dyDescent="0.3">
      <c r="A29" t="str">
        <f>'Product Master'!A29</f>
        <v>P028</v>
      </c>
      <c r="B29" t="str">
        <f>'Product Master'!B29</f>
        <v>USB-C Hub</v>
      </c>
      <c r="C29" t="str">
        <f>'Product Master'!C29</f>
        <v>Accessories</v>
      </c>
      <c r="D29" t="str">
        <f>'Product Master'!D29</f>
        <v>ConnectIt</v>
      </c>
      <c r="E29">
        <f>'Product Master'!E29</f>
        <v>35</v>
      </c>
      <c r="F29">
        <f>'Product Master'!F29</f>
        <v>55</v>
      </c>
      <c r="G29">
        <f>'Product Master'!G29</f>
        <v>180</v>
      </c>
      <c r="H29">
        <f>'Product Master'!H29</f>
        <v>200</v>
      </c>
      <c r="I29">
        <f>'Product Master'!I29</f>
        <v>2</v>
      </c>
      <c r="J29" t="str">
        <f t="shared" si="0"/>
        <v>Healthy</v>
      </c>
      <c r="K29">
        <f t="shared" si="1"/>
        <v>0</v>
      </c>
    </row>
    <row r="30" spans="1:11" x14ac:dyDescent="0.3">
      <c r="A30" t="str">
        <f>'Product Master'!A30</f>
        <v>P029</v>
      </c>
      <c r="B30" t="str">
        <f>'Product Master'!B30</f>
        <v>Webcam HD</v>
      </c>
      <c r="C30" t="str">
        <f>'Product Master'!C30</f>
        <v>Office Equipment</v>
      </c>
      <c r="D30" t="str">
        <f>'Product Master'!D30</f>
        <v>VideoPro</v>
      </c>
      <c r="E30">
        <f>'Product Master'!E30</f>
        <v>60</v>
      </c>
      <c r="F30">
        <f>'Product Master'!F30</f>
        <v>90</v>
      </c>
      <c r="G30">
        <f>'Product Master'!G30</f>
        <v>50</v>
      </c>
      <c r="H30">
        <f>'Product Master'!H30</f>
        <v>55</v>
      </c>
      <c r="I30">
        <f>'Product Master'!I30</f>
        <v>2</v>
      </c>
      <c r="J30" t="str">
        <f t="shared" si="0"/>
        <v>Healthy</v>
      </c>
      <c r="K30">
        <f t="shared" si="1"/>
        <v>0</v>
      </c>
    </row>
    <row r="31" spans="1:11" x14ac:dyDescent="0.3">
      <c r="A31" t="str">
        <f>'Product Master'!A31</f>
        <v>P030</v>
      </c>
      <c r="B31" t="str">
        <f>'Product Master'!B31</f>
        <v>Gaming Headset</v>
      </c>
      <c r="C31" t="str">
        <f>'Product Master'!C31</f>
        <v>Gaming</v>
      </c>
      <c r="D31" t="str">
        <f>'Product Master'!D31</f>
        <v>GameWorld</v>
      </c>
      <c r="E31">
        <f>'Product Master'!E31</f>
        <v>90</v>
      </c>
      <c r="F31">
        <f>'Product Master'!F31</f>
        <v>135</v>
      </c>
      <c r="G31">
        <f>'Product Master'!G31</f>
        <v>40</v>
      </c>
      <c r="H31">
        <f>'Product Master'!H31</f>
        <v>45</v>
      </c>
      <c r="I31">
        <f>'Product Master'!I31</f>
        <v>3</v>
      </c>
      <c r="J31" t="str">
        <f t="shared" si="0"/>
        <v>Healthy</v>
      </c>
      <c r="K31">
        <f t="shared" si="1"/>
        <v>0</v>
      </c>
    </row>
    <row r="32" spans="1:11" x14ac:dyDescent="0.3">
      <c r="A32" t="str">
        <f>'Product Master'!A32</f>
        <v>P031</v>
      </c>
      <c r="B32" t="str">
        <f>'Product Master'!B32</f>
        <v>2-in-1 Laptop</v>
      </c>
      <c r="C32" t="str">
        <f>'Product Master'!C32</f>
        <v>Laptops</v>
      </c>
      <c r="D32" t="str">
        <f>'Product Master'!D32</f>
        <v>TechGlobal</v>
      </c>
      <c r="E32">
        <f>'Product Master'!E32</f>
        <v>1300</v>
      </c>
      <c r="F32">
        <f>'Product Master'!F32</f>
        <v>1950</v>
      </c>
      <c r="G32">
        <f>'Product Master'!G32</f>
        <v>15</v>
      </c>
      <c r="H32">
        <f>'Product Master'!H32</f>
        <v>12</v>
      </c>
      <c r="I32">
        <f>'Product Master'!I32</f>
        <v>7</v>
      </c>
      <c r="J32" t="str">
        <f t="shared" si="0"/>
        <v>Reorder Soon</v>
      </c>
      <c r="K32">
        <f t="shared" si="1"/>
        <v>18</v>
      </c>
    </row>
    <row r="33" spans="1:11" x14ac:dyDescent="0.3">
      <c r="A33" t="str">
        <f>'Product Master'!A33</f>
        <v>P032</v>
      </c>
      <c r="B33" t="str">
        <f>'Product Master'!B33</f>
        <v>Rugged Smartphone</v>
      </c>
      <c r="C33" t="str">
        <f>'Product Master'!C33</f>
        <v>Phones</v>
      </c>
      <c r="D33" t="str">
        <f>'Product Master'!D33</f>
        <v>MobileSource</v>
      </c>
      <c r="E33">
        <f>'Product Master'!E33</f>
        <v>500</v>
      </c>
      <c r="F33">
        <f>'Product Master'!F33</f>
        <v>750</v>
      </c>
      <c r="G33">
        <f>'Product Master'!G33</f>
        <v>50</v>
      </c>
      <c r="H33">
        <f>'Product Master'!H33</f>
        <v>40</v>
      </c>
      <c r="I33">
        <f>'Product Master'!I33</f>
        <v>4</v>
      </c>
      <c r="J33" t="str">
        <f t="shared" si="0"/>
        <v>Reorder Soon</v>
      </c>
      <c r="K33">
        <f t="shared" si="1"/>
        <v>60</v>
      </c>
    </row>
    <row r="34" spans="1:11" x14ac:dyDescent="0.3">
      <c r="A34" t="str">
        <f>'Product Master'!A34</f>
        <v>P033</v>
      </c>
      <c r="B34" t="str">
        <f>'Product Master'!B34</f>
        <v>Waterproof Speaker</v>
      </c>
      <c r="C34" t="str">
        <f>'Product Master'!C34</f>
        <v>Audio</v>
      </c>
      <c r="D34" t="str">
        <f>'Product Master'!D34</f>
        <v>SoundWave</v>
      </c>
      <c r="E34">
        <f>'Product Master'!E34</f>
        <v>70</v>
      </c>
      <c r="F34">
        <f>'Product Master'!F34</f>
        <v>105</v>
      </c>
      <c r="G34">
        <f>'Product Master'!G34</f>
        <v>120</v>
      </c>
      <c r="H34">
        <f>'Product Master'!H34</f>
        <v>130</v>
      </c>
      <c r="I34">
        <f>'Product Master'!I34</f>
        <v>2</v>
      </c>
      <c r="J34" t="str">
        <f t="shared" si="0"/>
        <v>Healthy</v>
      </c>
      <c r="K34">
        <f t="shared" si="1"/>
        <v>0</v>
      </c>
    </row>
    <row r="35" spans="1:11" x14ac:dyDescent="0.3">
      <c r="A35" t="str">
        <f>'Product Master'!A35</f>
        <v>P034</v>
      </c>
      <c r="B35" t="str">
        <f>'Product Master'!B35</f>
        <v>External SSD 1TB</v>
      </c>
      <c r="C35" t="str">
        <f>'Product Master'!C35</f>
        <v>Accessories</v>
      </c>
      <c r="D35" t="str">
        <f>'Product Master'!D35</f>
        <v>DataDrive</v>
      </c>
      <c r="E35">
        <f>'Product Master'!E35</f>
        <v>100</v>
      </c>
      <c r="F35">
        <f>'Product Master'!F35</f>
        <v>150</v>
      </c>
      <c r="G35">
        <f>'Product Master'!G35</f>
        <v>75</v>
      </c>
      <c r="H35">
        <f>'Product Master'!H35</f>
        <v>80</v>
      </c>
      <c r="I35">
        <f>'Product Master'!I35</f>
        <v>3</v>
      </c>
      <c r="J35" t="str">
        <f t="shared" si="0"/>
        <v>Healthy</v>
      </c>
      <c r="K35">
        <f t="shared" si="1"/>
        <v>0</v>
      </c>
    </row>
    <row r="36" spans="1:11" x14ac:dyDescent="0.3">
      <c r="A36" t="str">
        <f>'Product Master'!A36</f>
        <v>P035</v>
      </c>
      <c r="B36" t="str">
        <f>'Product Master'!B36</f>
        <v>Conference Speakerphone</v>
      </c>
      <c r="C36" t="str">
        <f>'Product Master'!C36</f>
        <v>Office Equipment</v>
      </c>
      <c r="D36" t="str">
        <f>'Product Master'!D36</f>
        <v>OfficeTech</v>
      </c>
      <c r="E36">
        <f>'Product Master'!E36</f>
        <v>120</v>
      </c>
      <c r="F36">
        <f>'Product Master'!F36</f>
        <v>180</v>
      </c>
      <c r="G36">
        <f>'Product Master'!G36</f>
        <v>25</v>
      </c>
      <c r="H36">
        <f>'Product Master'!H36</f>
        <v>20</v>
      </c>
      <c r="I36">
        <f>'Product Master'!I36</f>
        <v>4</v>
      </c>
      <c r="J36" t="str">
        <f t="shared" si="0"/>
        <v>Reorder Soon</v>
      </c>
      <c r="K36">
        <f t="shared" si="1"/>
        <v>30</v>
      </c>
    </row>
    <row r="37" spans="1:11" x14ac:dyDescent="0.3">
      <c r="A37" t="str">
        <f>'Product Master'!A37</f>
        <v>P036</v>
      </c>
      <c r="B37" t="str">
        <f>'Product Master'!B37</f>
        <v>Racing Wheel</v>
      </c>
      <c r="C37" t="str">
        <f>'Product Master'!C37</f>
        <v>Gaming</v>
      </c>
      <c r="D37" t="str">
        <f>'Product Master'!D37</f>
        <v>GameWorld</v>
      </c>
      <c r="E37">
        <f>'Product Master'!E37</f>
        <v>250</v>
      </c>
      <c r="F37">
        <f>'Product Master'!F37</f>
        <v>375</v>
      </c>
      <c r="G37">
        <f>'Product Master'!G37</f>
        <v>30</v>
      </c>
      <c r="H37">
        <f>'Product Master'!H37</f>
        <v>35</v>
      </c>
      <c r="I37">
        <f>'Product Master'!I37</f>
        <v>5</v>
      </c>
      <c r="J37" t="str">
        <f t="shared" si="0"/>
        <v>Healthy</v>
      </c>
      <c r="K37">
        <f t="shared" si="1"/>
        <v>0</v>
      </c>
    </row>
    <row r="38" spans="1:11" x14ac:dyDescent="0.3">
      <c r="A38" t="str">
        <f>'Product Master'!A38</f>
        <v>P037</v>
      </c>
      <c r="B38" t="str">
        <f>'Product Master'!B38</f>
        <v>Workstation Laptop</v>
      </c>
      <c r="C38" t="str">
        <f>'Product Master'!C38</f>
        <v>Laptops</v>
      </c>
      <c r="D38" t="str">
        <f>'Product Master'!D38</f>
        <v>TechGlobal</v>
      </c>
      <c r="E38">
        <f>'Product Master'!E38</f>
        <v>1600</v>
      </c>
      <c r="F38">
        <f>'Product Master'!F38</f>
        <v>2400</v>
      </c>
      <c r="G38">
        <f>'Product Master'!G38</f>
        <v>10</v>
      </c>
      <c r="H38">
        <f>'Product Master'!H38</f>
        <v>9</v>
      </c>
      <c r="I38">
        <f>'Product Master'!I38</f>
        <v>8</v>
      </c>
      <c r="J38" t="str">
        <f t="shared" si="0"/>
        <v>Reorder Soon</v>
      </c>
      <c r="K38">
        <f t="shared" si="1"/>
        <v>11</v>
      </c>
    </row>
    <row r="39" spans="1:11" x14ac:dyDescent="0.3">
      <c r="A39" t="str">
        <f>'Product Master'!A39</f>
        <v>P038</v>
      </c>
      <c r="B39" t="str">
        <f>'Product Master'!B39</f>
        <v>Foldable Phone</v>
      </c>
      <c r="C39" t="str">
        <f>'Product Master'!C39</f>
        <v>Phones</v>
      </c>
      <c r="D39" t="str">
        <f>'Product Master'!D39</f>
        <v>MobileSource</v>
      </c>
      <c r="E39">
        <f>'Product Master'!E39</f>
        <v>1000</v>
      </c>
      <c r="F39">
        <f>'Product Master'!F39</f>
        <v>1500</v>
      </c>
      <c r="G39">
        <f>'Product Master'!G39</f>
        <v>30</v>
      </c>
      <c r="H39">
        <f>'Product Master'!H39</f>
        <v>25</v>
      </c>
      <c r="I39">
        <f>'Product Master'!I39</f>
        <v>5</v>
      </c>
      <c r="J39" t="str">
        <f t="shared" si="0"/>
        <v>Reorder Soon</v>
      </c>
      <c r="K39">
        <f t="shared" si="1"/>
        <v>35</v>
      </c>
    </row>
    <row r="40" spans="1:11" x14ac:dyDescent="0.3">
      <c r="A40" t="str">
        <f>'Product Master'!A40</f>
        <v>P039</v>
      </c>
      <c r="B40" t="str">
        <f>'Product Master'!B40</f>
        <v>Bone Conduction Headphones</v>
      </c>
      <c r="C40" t="str">
        <f>'Product Master'!C40</f>
        <v>Audio</v>
      </c>
      <c r="D40" t="str">
        <f>'Product Master'!D40</f>
        <v>SoundWave</v>
      </c>
      <c r="E40">
        <f>'Product Master'!E40</f>
        <v>100</v>
      </c>
      <c r="F40">
        <f>'Product Master'!F40</f>
        <v>150</v>
      </c>
      <c r="G40">
        <f>'Product Master'!G40</f>
        <v>90</v>
      </c>
      <c r="H40">
        <f>'Product Master'!H40</f>
        <v>100</v>
      </c>
      <c r="I40">
        <f>'Product Master'!I40</f>
        <v>3</v>
      </c>
      <c r="J40" t="str">
        <f t="shared" si="0"/>
        <v>Healthy</v>
      </c>
      <c r="K40">
        <f t="shared" si="1"/>
        <v>0</v>
      </c>
    </row>
    <row r="41" spans="1:11" x14ac:dyDescent="0.3">
      <c r="A41" t="str">
        <f>'Product Master'!A41</f>
        <v>P040</v>
      </c>
      <c r="B41" t="str">
        <f>'Product Master'!B41</f>
        <v>Smartwatch</v>
      </c>
      <c r="C41" t="str">
        <f>'Product Master'!C41</f>
        <v>Accessories</v>
      </c>
      <c r="D41" t="str">
        <f>'Product Master'!D41</f>
        <v>WearableTech</v>
      </c>
      <c r="E41">
        <f>'Product Master'!E41</f>
        <v>200</v>
      </c>
      <c r="F41">
        <f>'Product Master'!F41</f>
        <v>300</v>
      </c>
      <c r="G41">
        <f>'Product Master'!G41</f>
        <v>60</v>
      </c>
      <c r="H41">
        <f>'Product Master'!H41</f>
        <v>70</v>
      </c>
      <c r="I41">
        <f>'Product Master'!I41</f>
        <v>2</v>
      </c>
      <c r="J41" t="str">
        <f t="shared" si="0"/>
        <v>Healthy</v>
      </c>
      <c r="K41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C4" sqref="C4"/>
    </sheetView>
  </sheetViews>
  <sheetFormatPr defaultRowHeight="14.4" x14ac:dyDescent="0.3"/>
  <sheetData>
    <row r="1" spans="1:11" x14ac:dyDescent="0.3">
      <c r="A1" t="s">
        <v>549</v>
      </c>
    </row>
    <row r="3" spans="1:11" x14ac:dyDescent="0.3">
      <c r="A3" t="s">
        <v>529</v>
      </c>
      <c r="C3" t="s">
        <v>530</v>
      </c>
      <c r="E3" t="s">
        <v>531</v>
      </c>
      <c r="G3" t="s">
        <v>532</v>
      </c>
      <c r="I3" t="s">
        <v>533</v>
      </c>
      <c r="K3" t="s">
        <v>534</v>
      </c>
    </row>
    <row r="4" spans="1:11" x14ac:dyDescent="0.3">
      <c r="A4">
        <f>'Sales Summary'!A4</f>
        <v>1788685.3075000008</v>
      </c>
      <c r="C4">
        <f>'Sales Summary'!B4</f>
        <v>626803.01842500013</v>
      </c>
      <c r="E4">
        <f>'Sales Summary'!C4</f>
        <v>0.35042666018264917</v>
      </c>
      <c r="G4">
        <f>'Sales Summary'!D4</f>
        <v>2840</v>
      </c>
    </row>
    <row r="7" spans="1:11" x14ac:dyDescent="0.3">
      <c r="A7" t="s">
        <v>535</v>
      </c>
      <c r="D7" t="s">
        <v>550</v>
      </c>
      <c r="G7" t="s">
        <v>551</v>
      </c>
    </row>
    <row r="8" spans="1:11" x14ac:dyDescent="0.3">
      <c r="A8" t="s">
        <v>110</v>
      </c>
      <c r="B8" t="s">
        <v>115</v>
      </c>
      <c r="D8" t="s">
        <v>2</v>
      </c>
      <c r="E8" t="s">
        <v>536</v>
      </c>
      <c r="G8" t="s">
        <v>545</v>
      </c>
      <c r="H8" t="s">
        <v>115</v>
      </c>
    </row>
    <row r="9" spans="1:11" x14ac:dyDescent="0.3">
      <c r="A9" t="s">
        <v>128</v>
      </c>
      <c r="D9" t="s">
        <v>11</v>
      </c>
      <c r="G9" t="s">
        <v>127</v>
      </c>
    </row>
    <row r="10" spans="1:11" x14ac:dyDescent="0.3">
      <c r="A10" t="s">
        <v>150</v>
      </c>
      <c r="D10" t="s">
        <v>15</v>
      </c>
      <c r="G10" t="s">
        <v>131</v>
      </c>
    </row>
    <row r="11" spans="1:11" x14ac:dyDescent="0.3">
      <c r="A11" t="s">
        <v>123</v>
      </c>
      <c r="D11" t="s">
        <v>19</v>
      </c>
      <c r="G11" t="s">
        <v>122</v>
      </c>
    </row>
    <row r="12" spans="1:11" x14ac:dyDescent="0.3">
      <c r="A12" t="s">
        <v>137</v>
      </c>
      <c r="D12" t="s">
        <v>23</v>
      </c>
    </row>
    <row r="13" spans="1:11" x14ac:dyDescent="0.3">
      <c r="D13" t="s">
        <v>27</v>
      </c>
    </row>
    <row r="14" spans="1:11" x14ac:dyDescent="0.3">
      <c r="D14" t="s">
        <v>31</v>
      </c>
    </row>
    <row r="22" spans="1:1" x14ac:dyDescent="0.3">
      <c r="A22" t="s">
        <v>552</v>
      </c>
    </row>
    <row r="23" spans="1:1" x14ac:dyDescent="0.3">
      <c r="A23" t="s">
        <v>553</v>
      </c>
    </row>
    <row r="24" spans="1:1" x14ac:dyDescent="0.3">
      <c r="A24" t="s">
        <v>554</v>
      </c>
    </row>
    <row r="25" spans="1:1" x14ac:dyDescent="0.3">
      <c r="A25" t="s">
        <v>555</v>
      </c>
    </row>
    <row r="26" spans="1:1" x14ac:dyDescent="0.3">
      <c r="A26" t="s">
        <v>556</v>
      </c>
    </row>
    <row r="27" spans="1:1" x14ac:dyDescent="0.3">
      <c r="A27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Master</vt:lpstr>
      <vt:lpstr>Sales Data</vt:lpstr>
      <vt:lpstr>Monthly Budget</vt:lpstr>
      <vt:lpstr>Sales Summary</vt:lpstr>
      <vt:lpstr>Customer Analysis</vt:lpstr>
      <vt:lpstr>Inventory &amp; Reorder Analysis</vt:lpstr>
      <vt:lpstr>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2026-09-07T17:31:42Z</dcterms:created>
  <dcterms:modified xsi:type="dcterms:W3CDTF">2026-09-07T18:42:36Z</dcterms:modified>
</cp:coreProperties>
</file>