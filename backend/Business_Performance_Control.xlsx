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xelora-integrated\xelora-merged\backend\"/>
    </mc:Choice>
  </mc:AlternateContent>
  <bookViews>
    <workbookView xWindow="0" yWindow="0" windowWidth="7476" windowHeight="4884" firstSheet="2" activeTab="5"/>
  </bookViews>
  <sheets>
    <sheet name="Customer Analysis" sheetId="6" r:id="rId1"/>
    <sheet name="Sales Summary" sheetId="5" r:id="rId2"/>
    <sheet name="Monthly Budget" sheetId="4" r:id="rId3"/>
    <sheet name="Sales Data" sheetId="3" r:id="rId4"/>
    <sheet name="Executive Dashboard" sheetId="8" r:id="rId5"/>
    <sheet name="Inventory &amp; Reorder Analysis" sheetId="7" r:id="rId6"/>
    <sheet name="Product Master" sheetId="2" r:id="rId7"/>
    <sheet name="Sheet1" sheetId="1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8" l="1"/>
  <c r="E4" i="8"/>
  <c r="C4" i="8"/>
  <c r="A4" i="8"/>
</calcChain>
</file>

<file path=xl/sharedStrings.xml><?xml version="1.0" encoding="utf-8"?>
<sst xmlns="http://schemas.openxmlformats.org/spreadsheetml/2006/main" count="1439" uniqueCount="327">
  <si>
    <t>ProductID</t>
  </si>
  <si>
    <t>ProductName</t>
  </si>
  <si>
    <t>Category</t>
  </si>
  <si>
    <t>Supplier</t>
  </si>
  <si>
    <t>StandardCost</t>
  </si>
  <si>
    <t>StandardPrice</t>
  </si>
  <si>
    <t>ReorderLevel</t>
  </si>
  <si>
    <t>CurrentStock</t>
  </si>
  <si>
    <t>LeadTimeDays</t>
  </si>
  <si>
    <t>PRD-001</t>
  </si>
  <si>
    <t>ZenBook Pro 15</t>
  </si>
  <si>
    <t>Laptops</t>
  </si>
  <si>
    <t>Apex Tech</t>
  </si>
  <si>
    <t>PRD-002</t>
  </si>
  <si>
    <t>EliteBook 840</t>
  </si>
  <si>
    <t>InnoSys</t>
  </si>
  <si>
    <t>PRD-003</t>
  </si>
  <si>
    <t>MacBook Air M2</t>
  </si>
  <si>
    <t>Apple Inc</t>
  </si>
  <si>
    <t>PRD-004</t>
  </si>
  <si>
    <t>ThinkPad X1 Carbon</t>
  </si>
  <si>
    <t>Lenovo Direct</t>
  </si>
  <si>
    <t>PRD-005</t>
  </si>
  <si>
    <t>Pavilion Aero 13</t>
  </si>
  <si>
    <t>HP Global</t>
  </si>
  <si>
    <t>PRD-006</t>
  </si>
  <si>
    <t>ROG Strix G15</t>
  </si>
  <si>
    <t>PRD-007</t>
  </si>
  <si>
    <t>Inspiron 15</t>
  </si>
  <si>
    <t>Dell Corp</t>
  </si>
  <si>
    <t>PRD-008</t>
  </si>
  <si>
    <t>Swift 3</t>
  </si>
  <si>
    <t>Acer Dist</t>
  </si>
  <si>
    <t>PRD-009</t>
  </si>
  <si>
    <t>Galaxy S24 Ultra</t>
  </si>
  <si>
    <t>Phones</t>
  </si>
  <si>
    <t>Samsung Corp</t>
  </si>
  <si>
    <t>PRD-010</t>
  </si>
  <si>
    <t>iPhone 15 Pro</t>
  </si>
  <si>
    <t>PRD-011</t>
  </si>
  <si>
    <t>Pixel 8 Pro</t>
  </si>
  <si>
    <t>Google Direct</t>
  </si>
  <si>
    <t>PRD-012</t>
  </si>
  <si>
    <t>OnePlus 12</t>
  </si>
  <si>
    <t>OnePlus Tech</t>
  </si>
  <si>
    <t>PRD-013</t>
  </si>
  <si>
    <t>Xperia 1 VI</t>
  </si>
  <si>
    <t>Sony Global</t>
  </si>
  <si>
    <t>PRD-014</t>
  </si>
  <si>
    <t>Galaxy A55</t>
  </si>
  <si>
    <t>PRD-015</t>
  </si>
  <si>
    <t>Moto Edge 50</t>
  </si>
  <si>
    <t>Motorola</t>
  </si>
  <si>
    <t>PRD-016</t>
  </si>
  <si>
    <t>Redmi Note 13</t>
  </si>
  <si>
    <t>Xiaomi Corp</t>
  </si>
  <si>
    <t>PRD-017</t>
  </si>
  <si>
    <t>WH-1000XM5</t>
  </si>
  <si>
    <t>Audio</t>
  </si>
  <si>
    <t>PRD-018</t>
  </si>
  <si>
    <t>AirPods Pro 2</t>
  </si>
  <si>
    <t>PRD-019</t>
  </si>
  <si>
    <t>QuietComfort Ultra</t>
  </si>
  <si>
    <t>Bose Corp</t>
  </si>
  <si>
    <t>PRD-020</t>
  </si>
  <si>
    <t>Momentum 4</t>
  </si>
  <si>
    <t>Sennheiser</t>
  </si>
  <si>
    <t>PRD-021</t>
  </si>
  <si>
    <t>Flip 6 Speaker</t>
  </si>
  <si>
    <t>JBL Audio</t>
  </si>
  <si>
    <t>PRD-022</t>
  </si>
  <si>
    <t>Pulse 3D Wireless</t>
  </si>
  <si>
    <t>PRD-023</t>
  </si>
  <si>
    <t>Galaxy Buds2 Pro</t>
  </si>
  <si>
    <t>PRD-024</t>
  </si>
  <si>
    <t>Marshall Stanmore</t>
  </si>
  <si>
    <t>Marshall</t>
  </si>
  <si>
    <t>PRD-025</t>
  </si>
  <si>
    <t>MX Master 3S</t>
  </si>
  <si>
    <t>Accessories</t>
  </si>
  <si>
    <t>Logitech</t>
  </si>
  <si>
    <t>PRD-026</t>
  </si>
  <si>
    <t>K95 RGB Keyboard</t>
  </si>
  <si>
    <t>Corsair</t>
  </si>
  <si>
    <t>PRD-027</t>
  </si>
  <si>
    <t>Thunderbolt 4 Dock</t>
  </si>
  <si>
    <t>Anker Direct</t>
  </si>
  <si>
    <t>PRD-028</t>
  </si>
  <si>
    <t>UltraWide Monitor 34</t>
  </si>
  <si>
    <t>LG Electronics</t>
  </si>
  <si>
    <t>PRD-029</t>
  </si>
  <si>
    <t>Portable SSD 2TB</t>
  </si>
  <si>
    <t>SanDisk</t>
  </si>
  <si>
    <t>PRD-030</t>
  </si>
  <si>
    <t>MagSafe Charger</t>
  </si>
  <si>
    <t>PRD-031</t>
  </si>
  <si>
    <t>Ergonomic Desk Mat</t>
  </si>
  <si>
    <t>PRD-032</t>
  </si>
  <si>
    <t>Webcam 4K Pro</t>
  </si>
  <si>
    <t>PRD-033</t>
  </si>
  <si>
    <t>LaserJet Pro M404n</t>
  </si>
  <si>
    <t>Office Equipment</t>
  </si>
  <si>
    <t>PRD-034</t>
  </si>
  <si>
    <t>EcoTank L3250</t>
  </si>
  <si>
    <t>Epson</t>
  </si>
  <si>
    <t>PRD-035</t>
  </si>
  <si>
    <t>Document Scanner Pro</t>
  </si>
  <si>
    <t>Fujitsu</t>
  </si>
  <si>
    <t>PRD-036</t>
  </si>
  <si>
    <t>Paper Shredder 12C</t>
  </si>
  <si>
    <t>Fellowes</t>
  </si>
  <si>
    <t>PRD-037</t>
  </si>
  <si>
    <t>Smart Whiteboard 65</t>
  </si>
  <si>
    <t>ViewSonic</t>
  </si>
  <si>
    <t>PRD-038</t>
  </si>
  <si>
    <t>Laminator Pro</t>
  </si>
  <si>
    <t>PRD-039</t>
  </si>
  <si>
    <t>Currency Counter</t>
  </si>
  <si>
    <t>AccuBanker</t>
  </si>
  <si>
    <t>PRD-040</t>
  </si>
  <si>
    <t>LabelWriter 450</t>
  </si>
  <si>
    <t>DYMO</t>
  </si>
  <si>
    <t>PRD-041</t>
  </si>
  <si>
    <t>PlayStation 5 Console</t>
  </si>
  <si>
    <t>Gaming</t>
  </si>
  <si>
    <t>PRD-042</t>
  </si>
  <si>
    <t>Xbox Series X</t>
  </si>
  <si>
    <t>Microsoft</t>
  </si>
  <si>
    <t>PRD-043</t>
  </si>
  <si>
    <t>Nintendo Switch OLED</t>
  </si>
  <si>
    <t>Nintendo</t>
  </si>
  <si>
    <t>PRD-044</t>
  </si>
  <si>
    <t>Steam Deck 512GB</t>
  </si>
  <si>
    <t>Valve Corp</t>
  </si>
  <si>
    <t>PRD-045</t>
  </si>
  <si>
    <t>VR Headset Quest 3</t>
  </si>
  <si>
    <t>Meta</t>
  </si>
  <si>
    <t>PRD-046</t>
  </si>
  <si>
    <t>Racing Wheel T300</t>
  </si>
  <si>
    <t>Thrustmaster</t>
  </si>
  <si>
    <t>PRD-047</t>
  </si>
  <si>
    <t>Gaming Chair Pro</t>
  </si>
  <si>
    <t>Secretlab</t>
  </si>
  <si>
    <t>PRD-048</t>
  </si>
  <si>
    <t>Astro A50 Headset</t>
  </si>
  <si>
    <t>OrderID</t>
  </si>
  <si>
    <t>OrderDate</t>
  </si>
  <si>
    <t>CustomerName</t>
  </si>
  <si>
    <t>CustomerSegment</t>
  </si>
  <si>
    <t>Region</t>
  </si>
  <si>
    <t>Salesperson</t>
  </si>
  <si>
    <t>UnitsSold</t>
  </si>
  <si>
    <t>UnitPrice</t>
  </si>
  <si>
    <t>DiscountPercent</t>
  </si>
  <si>
    <t>Revenue</t>
  </si>
  <si>
    <t>Cost</t>
  </si>
  <si>
    <t>GrossProfit</t>
  </si>
  <si>
    <t>GrossMargin</t>
  </si>
  <si>
    <t>OrderStatus</t>
  </si>
  <si>
    <t>ORD-0001</t>
  </si>
  <si>
    <t>John Doe</t>
  </si>
  <si>
    <t>Consumer</t>
  </si>
  <si>
    <t>North</t>
  </si>
  <si>
    <t>Diana Evans</t>
  </si>
  <si>
    <t>Completed</t>
  </si>
  <si>
    <t>ORD-0002</t>
  </si>
  <si>
    <t>Delta Markets</t>
  </si>
  <si>
    <t>SMB</t>
  </si>
  <si>
    <t>West</t>
  </si>
  <si>
    <t>Shipped</t>
  </si>
  <si>
    <t>ORD-0003</t>
  </si>
  <si>
    <t>Jane Smith</t>
  </si>
  <si>
    <t>East</t>
  </si>
  <si>
    <t>Alice Smith</t>
  </si>
  <si>
    <t>Pending</t>
  </si>
  <si>
    <t>ORD-0004</t>
  </si>
  <si>
    <t>Nexus Corp</t>
  </si>
  <si>
    <t>Enterprise</t>
  </si>
  <si>
    <t>ORD-0005</t>
  </si>
  <si>
    <t>Bob Jones</t>
  </si>
  <si>
    <t>ORD-0006</t>
  </si>
  <si>
    <t>Alice Brown</t>
  </si>
  <si>
    <t>ORD-0007</t>
  </si>
  <si>
    <t>Bob Johnson</t>
  </si>
  <si>
    <t>South</t>
  </si>
  <si>
    <t>ORD-0008</t>
  </si>
  <si>
    <t>Charlie Davis</t>
  </si>
  <si>
    <t>ORD-0009</t>
  </si>
  <si>
    <t>ORD-0010</t>
  </si>
  <si>
    <t>Beta Stores</t>
  </si>
  <si>
    <t>ORD-0011</t>
  </si>
  <si>
    <t>Alpha Retail</t>
  </si>
  <si>
    <t>ORD-0012</t>
  </si>
  <si>
    <t>ORD-0013</t>
  </si>
  <si>
    <t>Vanguard Tech</t>
  </si>
  <si>
    <t>ORD-0014</t>
  </si>
  <si>
    <t>ORD-0015</t>
  </si>
  <si>
    <t>ORD-0016</t>
  </si>
  <si>
    <t>ORD-0017</t>
  </si>
  <si>
    <t>ORD-0018</t>
  </si>
  <si>
    <t>ORD-0019</t>
  </si>
  <si>
    <t>Summit Group</t>
  </si>
  <si>
    <t>ORD-0020</t>
  </si>
  <si>
    <t>ORD-0021</t>
  </si>
  <si>
    <t>ORD-0022</t>
  </si>
  <si>
    <t>ORD-0023</t>
  </si>
  <si>
    <t>ORD-0024</t>
  </si>
  <si>
    <t>Apex Global</t>
  </si>
  <si>
    <t>ORD-0025</t>
  </si>
  <si>
    <t>ORD-0026</t>
  </si>
  <si>
    <t>ORD-0027</t>
  </si>
  <si>
    <t>ORD-0028</t>
  </si>
  <si>
    <t>ORD-0029</t>
  </si>
  <si>
    <t>ORD-0030</t>
  </si>
  <si>
    <t>ORD-0031</t>
  </si>
  <si>
    <t>Gamma Shop</t>
  </si>
  <si>
    <t>ORD-0032</t>
  </si>
  <si>
    <t>ORD-0033</t>
  </si>
  <si>
    <t>ORD-0034</t>
  </si>
  <si>
    <t>ORD-0035</t>
  </si>
  <si>
    <t>ORD-0036</t>
  </si>
  <si>
    <t>ORD-0037</t>
  </si>
  <si>
    <t>ORD-0038</t>
  </si>
  <si>
    <t>ORD-0039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</si>
  <si>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</si>
  <si>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</si>
  <si>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</si>
  <si>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</si>
  <si>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</si>
  <si>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</si>
  <si>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</si>
  <si>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</si>
  <si>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</si>
  <si>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</si>
  <si>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</si>
  <si>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</si>
  <si>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</si>
  <si>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</si>
  <si>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</si>
  <si>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</si>
  <si>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</si>
  <si>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</si>
  <si>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</si>
  <si>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</si>
  <si>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</si>
  <si>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</si>
  <si>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</si>
  <si>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</si>
  <si>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</si>
  <si>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</si>
  <si>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</si>
  <si>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</si>
  <si>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</si>
  <si>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</si>
  <si>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</si>
  <si>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</si>
  <si>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</si>
  <si>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</si>
  <si>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</si>
  <si>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</si>
  <si>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</si>
  <si>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</si>
  <si>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</si>
  <si>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</si>
  <si>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</si>
  <si>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</si>
  <si>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</si>
  <si>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</si>
  <si>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</si>
  <si>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</si>
  <si>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</si>
  <si>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</si>
  <si>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</si>
  <si>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</si>
  <si>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</si>
  <si>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</si>
  <si>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</si>
  <si>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</si>
  <si>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</si>
  <si>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</si>
  <si>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</si>
  <si>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</si>
  <si>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</si>
  <si>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</si>
  <si>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</si>
  <si>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Month</t>
  </si>
  <si>
    <t>RevenueTarget</t>
  </si>
  <si>
    <t>ActualRevenue</t>
  </si>
  <si>
    <t>RevenueVariance</t>
  </si>
  <si>
    <t>GrossProfitTarget</t>
  </si>
  <si>
    <t>ActualGrossProfit</t>
  </si>
  <si>
    <t>GrossProfitVariance</t>
  </si>
  <si>
    <t>TargetStatus</t>
  </si>
  <si>
    <t>2024-01</t>
  </si>
  <si>
    <t>Met</t>
  </si>
  <si>
    <t>2024-02</t>
  </si>
  <si>
    <t>2024-03</t>
  </si>
  <si>
    <t>2024-04</t>
  </si>
  <si>
    <t>2024-05</t>
  </si>
  <si>
    <t>2024-06</t>
  </si>
  <si>
    <t>EXECUTIVE SALES SUMMARY &amp; KPIS</t>
  </si>
  <si>
    <t>Total Revenue</t>
  </si>
  <si>
    <t>Total Gross Profit</t>
  </si>
  <si>
    <t>Gross Margin %</t>
  </si>
  <si>
    <t>Units Sold</t>
  </si>
  <si>
    <t>Average Order Value</t>
  </si>
  <si>
    <t>Completed Orders</t>
  </si>
  <si>
    <t>CUSTOMER SEGMENT PERFORMANCE</t>
  </si>
  <si>
    <t>OrderCount</t>
  </si>
  <si>
    <t>AverageOrderValue</t>
  </si>
  <si>
    <t>INVENTORY &amp; REORDER CONTROL</t>
  </si>
  <si>
    <t>StockStatus</t>
  </si>
  <si>
    <t>EstimatedReorderQty</t>
  </si>
  <si>
    <t>Healthy</t>
  </si>
  <si>
    <t>Reorder Soon</t>
  </si>
  <si>
    <t>Critical</t>
  </si>
  <si>
    <t>EXECUTIVE MANAGEMENT DASHBOARD - CONSUMER ELECTRONICS</t>
  </si>
  <si>
    <t>TOTAL REVENUE</t>
  </si>
  <si>
    <t>GROSS PROFIT</t>
  </si>
  <si>
    <t>GROSS MARGIN</t>
  </si>
  <si>
    <t>UNITS SOLD</t>
  </si>
  <si>
    <t>Management Insights &amp; Strategic Takeaways:</t>
  </si>
  <si>
    <t>1. Laptops and Gaming categories continue to drive over 55% of total enterprise and consumer gross revenue.</t>
  </si>
  <si>
    <t>2. Enterprise segment yields the highest average order value, while Consumer segment maintains steady high volume.</t>
  </si>
  <si>
    <t>3. Region North achieved highest revenue performance, consistently meeting or exceeding monthly budget targets.</t>
  </si>
  <si>
    <t>4. Inventory reorder controls have successfully flagged critical stock items, reducing potential stockouts by 22%.</t>
  </si>
  <si>
    <t>5. Discounting above 10% correlates with lower gross margins; discount caps recommended for SMB segment.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</si>
</sst>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\-mm\-dd"/>
    <numFmt numFmtId="165" formatCode="&quot;$&quot;#,##0.00"/>
    <numFmt numFmtId="166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166" fontId="0" fillId="0" borderId="0" xfId="0" applyNumberFormat="1"/>
    <xf numFmtId="0" fontId="1" fillId="0" borderId="0" xfId="0" applyFont="1"/>
    <xf numFmtId="3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topLeftCell="F1" workbookViewId="0"/>
  </sheetViews>
  <sheetFormatPr defaultRowHeight="14.4" x14ac:dyDescent="0.3"/>
  <cols>
    <col min="1" max="1" width="33.44140625" bestFit="1" customWidth="1"/>
    <col min="2" max="2" width="11" bestFit="1" customWidth="1"/>
    <col min="3" max="3" width="10.109375" bestFit="1" customWidth="1"/>
    <col min="4" max="4" width="11.21875" bestFit="1" customWidth="1"/>
    <col min="5" max="5" width="10.5546875" bestFit="1" customWidth="1"/>
    <col min="6" max="6" width="16.88671875" bestFit="1" customWidth="1"/>
  </cols>
  <sheetData>
    <row r="1" spans="1:6" x14ac:dyDescent="0.3">
      <c r="A1" s="5" t="s">
        <v>307</v>
      </c>
    </row>
    <row r="3" spans="1:6" x14ac:dyDescent="0.3">
      <c r="A3" t="s">
        <v>148</v>
      </c>
      <c r="B3" t="s">
        <v>154</v>
      </c>
      <c r="C3" t="s">
        <v>156</v>
      </c>
      <c r="D3" t="s">
        <v>157</v>
      </c>
      <c r="E3" t="s">
        <v>308</v>
      </c>
      <c r="F3" t="s">
        <v>309</v>
      </c>
    </row>
    <row r="4" spans="1:6" x14ac:dyDescent="0.3">
      <c r="A4" t="s">
        <v>161</v>
      </c>
      <c r="B4" s="2">
        <v>150000</v>
      </c>
      <c r="C4" s="2">
        <v>58500</v>
      </c>
      <c r="D4" s="4">
        <v>0.39</v>
      </c>
      <c r="E4">
        <v>40</v>
      </c>
      <c r="F4" s="2">
        <v>3750</v>
      </c>
    </row>
    <row r="5" spans="1:6" x14ac:dyDescent="0.3">
      <c r="A5" t="s">
        <v>167</v>
      </c>
      <c r="B5" s="2">
        <v>180000</v>
      </c>
      <c r="C5" s="2">
        <v>70200</v>
      </c>
      <c r="D5" s="4">
        <v>0.39</v>
      </c>
      <c r="E5">
        <v>35</v>
      </c>
      <c r="F5" s="2">
        <v>5142</v>
      </c>
    </row>
    <row r="6" spans="1:6" x14ac:dyDescent="0.3">
      <c r="A6" t="s">
        <v>177</v>
      </c>
      <c r="B6" s="2">
        <v>190000</v>
      </c>
      <c r="C6" s="2">
        <v>74100</v>
      </c>
      <c r="D6" s="4">
        <v>0.39</v>
      </c>
      <c r="E6">
        <v>25</v>
      </c>
      <c r="F6" s="2">
        <v>7600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/>
  </sheetViews>
  <sheetFormatPr defaultRowHeight="14.4" x14ac:dyDescent="0.3"/>
  <cols>
    <col min="1" max="1" width="32.21875" bestFit="1" customWidth="1"/>
    <col min="2" max="2" width="15.33203125" bestFit="1" customWidth="1"/>
    <col min="3" max="3" width="13.6640625" bestFit="1" customWidth="1"/>
    <col min="4" max="4" width="9.109375" bestFit="1" customWidth="1"/>
    <col min="5" max="5" width="17.88671875" bestFit="1" customWidth="1"/>
    <col min="6" max="6" width="15.88671875" bestFit="1" customWidth="1"/>
  </cols>
  <sheetData>
    <row r="1" spans="1:6" x14ac:dyDescent="0.3">
      <c r="A1" s="5" t="s">
        <v>300</v>
      </c>
    </row>
    <row r="3" spans="1:6" x14ac:dyDescent="0.3">
      <c r="A3" t="s">
        <v>301</v>
      </c>
      <c r="B3" t="s">
        <v>302</v>
      </c>
      <c r="C3" t="s">
        <v>303</v>
      </c>
      <c r="D3" t="s">
        <v>304</v>
      </c>
      <c r="E3" t="s">
        <v>305</v>
      </c>
      <c r="F3" t="s">
        <v>306</v>
      </c>
    </row>
    <row r="4" spans="1:6" x14ac:dyDescent="0.3">
      <c r="A4" s="2">
        <v>520000</v>
      </c>
      <c r="B4" s="2">
        <v>202800</v>
      </c>
      <c r="C4" s="4">
        <v>0.39</v>
      </c>
      <c r="D4" s="6">
        <v>450</v>
      </c>
      <c r="E4" s="2">
        <v>5200</v>
      </c>
      <c r="F4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/>
  </sheetViews>
  <sheetFormatPr defaultRowHeight="14.4" x14ac:dyDescent="0.3"/>
  <cols>
    <col min="1" max="1" width="7.6640625" bestFit="1" customWidth="1"/>
    <col min="2" max="2" width="6.5546875" bestFit="1" customWidth="1"/>
    <col min="3" max="3" width="13.33203125" bestFit="1" customWidth="1"/>
    <col min="4" max="4" width="13.21875" bestFit="1" customWidth="1"/>
    <col min="5" max="5" width="15.21875" bestFit="1" customWidth="1"/>
    <col min="6" max="6" width="15.44140625" bestFit="1" customWidth="1"/>
    <col min="7" max="7" width="15.33203125" bestFit="1" customWidth="1"/>
    <col min="8" max="8" width="17.44140625" bestFit="1" customWidth="1"/>
    <col min="9" max="9" width="11.21875" bestFit="1" customWidth="1"/>
  </cols>
  <sheetData>
    <row r="1" spans="1:9" x14ac:dyDescent="0.3">
      <c r="A1" t="s">
        <v>285</v>
      </c>
      <c r="B1" t="s">
        <v>149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</row>
    <row r="2" spans="1:9" x14ac:dyDescent="0.3">
      <c r="A2" t="s">
        <v>293</v>
      </c>
      <c r="B2" t="s">
        <v>162</v>
      </c>
      <c r="C2" s="2">
        <v>60000</v>
      </c>
      <c r="D2" s="2">
        <v>65000</v>
      </c>
      <c r="E2" s="2">
        <v>5000</v>
      </c>
      <c r="F2" s="2">
        <v>24000</v>
      </c>
      <c r="G2" s="2">
        <v>26000</v>
      </c>
      <c r="H2" s="2">
        <v>2000</v>
      </c>
      <c r="I2" t="s">
        <v>294</v>
      </c>
    </row>
    <row r="3" spans="1:9" x14ac:dyDescent="0.3">
      <c r="A3" t="s">
        <v>293</v>
      </c>
      <c r="B3" t="s">
        <v>184</v>
      </c>
      <c r="C3" s="2">
        <v>60000</v>
      </c>
      <c r="D3" s="2">
        <v>65000</v>
      </c>
      <c r="E3" s="2">
        <v>5000</v>
      </c>
      <c r="F3" s="2">
        <v>24000</v>
      </c>
      <c r="G3" s="2">
        <v>26000</v>
      </c>
      <c r="H3" s="2">
        <v>2000</v>
      </c>
      <c r="I3" t="s">
        <v>294</v>
      </c>
    </row>
    <row r="4" spans="1:9" x14ac:dyDescent="0.3">
      <c r="A4" t="s">
        <v>293</v>
      </c>
      <c r="B4" t="s">
        <v>172</v>
      </c>
      <c r="C4" s="2">
        <v>60000</v>
      </c>
      <c r="D4" s="2">
        <v>65000</v>
      </c>
      <c r="E4" s="2">
        <v>5000</v>
      </c>
      <c r="F4" s="2">
        <v>24000</v>
      </c>
      <c r="G4" s="2">
        <v>26000</v>
      </c>
      <c r="H4" s="2">
        <v>2000</v>
      </c>
      <c r="I4" t="s">
        <v>294</v>
      </c>
    </row>
    <row r="5" spans="1:9" x14ac:dyDescent="0.3">
      <c r="A5" t="s">
        <v>293</v>
      </c>
      <c r="B5" t="s">
        <v>168</v>
      </c>
      <c r="C5" s="2">
        <v>60000</v>
      </c>
      <c r="D5" s="2">
        <v>65000</v>
      </c>
      <c r="E5" s="2">
        <v>5000</v>
      </c>
      <c r="F5" s="2">
        <v>24000</v>
      </c>
      <c r="G5" s="2">
        <v>26000</v>
      </c>
      <c r="H5" s="2">
        <v>2000</v>
      </c>
      <c r="I5" t="s">
        <v>294</v>
      </c>
    </row>
    <row r="6" spans="1:9" x14ac:dyDescent="0.3">
      <c r="A6" t="s">
        <v>295</v>
      </c>
      <c r="B6" t="s">
        <v>162</v>
      </c>
      <c r="C6" s="2">
        <v>60000</v>
      </c>
      <c r="D6" s="2">
        <v>65000</v>
      </c>
      <c r="E6" s="2">
        <v>5000</v>
      </c>
      <c r="F6" s="2">
        <v>24000</v>
      </c>
      <c r="G6" s="2">
        <v>26000</v>
      </c>
      <c r="H6" s="2">
        <v>2000</v>
      </c>
      <c r="I6" t="s">
        <v>294</v>
      </c>
    </row>
    <row r="7" spans="1:9" x14ac:dyDescent="0.3">
      <c r="A7" t="s">
        <v>295</v>
      </c>
      <c r="B7" t="s">
        <v>184</v>
      </c>
      <c r="C7" s="2">
        <v>60000</v>
      </c>
      <c r="D7" s="2">
        <v>65000</v>
      </c>
      <c r="E7" s="2">
        <v>5000</v>
      </c>
      <c r="F7" s="2">
        <v>24000</v>
      </c>
      <c r="G7" s="2">
        <v>26000</v>
      </c>
      <c r="H7" s="2">
        <v>2000</v>
      </c>
      <c r="I7" t="s">
        <v>294</v>
      </c>
    </row>
    <row r="8" spans="1:9" x14ac:dyDescent="0.3">
      <c r="A8" t="s">
        <v>295</v>
      </c>
      <c r="B8" t="s">
        <v>172</v>
      </c>
      <c r="C8" s="2">
        <v>60000</v>
      </c>
      <c r="D8" s="2">
        <v>65000</v>
      </c>
      <c r="E8" s="2">
        <v>5000</v>
      </c>
      <c r="F8" s="2">
        <v>24000</v>
      </c>
      <c r="G8" s="2">
        <v>26000</v>
      </c>
      <c r="H8" s="2">
        <v>2000</v>
      </c>
      <c r="I8" t="s">
        <v>294</v>
      </c>
    </row>
    <row r="9" spans="1:9" x14ac:dyDescent="0.3">
      <c r="A9" t="s">
        <v>295</v>
      </c>
      <c r="B9" t="s">
        <v>168</v>
      </c>
      <c r="C9" s="2">
        <v>60000</v>
      </c>
      <c r="D9" s="2">
        <v>65000</v>
      </c>
      <c r="E9" s="2">
        <v>5000</v>
      </c>
      <c r="F9" s="2">
        <v>24000</v>
      </c>
      <c r="G9" s="2">
        <v>26000</v>
      </c>
      <c r="H9" s="2">
        <v>2000</v>
      </c>
      <c r="I9" t="s">
        <v>294</v>
      </c>
    </row>
    <row r="10" spans="1:9" x14ac:dyDescent="0.3">
      <c r="A10" t="s">
        <v>296</v>
      </c>
      <c r="B10" t="s">
        <v>162</v>
      </c>
      <c r="C10" s="2">
        <v>60000</v>
      </c>
      <c r="D10" s="2">
        <v>65000</v>
      </c>
      <c r="E10" s="2">
        <v>5000</v>
      </c>
      <c r="F10" s="2">
        <v>24000</v>
      </c>
      <c r="G10" s="2">
        <v>26000</v>
      </c>
      <c r="H10" s="2">
        <v>2000</v>
      </c>
      <c r="I10" t="s">
        <v>294</v>
      </c>
    </row>
    <row r="11" spans="1:9" x14ac:dyDescent="0.3">
      <c r="A11" t="s">
        <v>296</v>
      </c>
      <c r="B11" t="s">
        <v>184</v>
      </c>
      <c r="C11" s="2">
        <v>60000</v>
      </c>
      <c r="D11" s="2">
        <v>65000</v>
      </c>
      <c r="E11" s="2">
        <v>5000</v>
      </c>
      <c r="F11" s="2">
        <v>24000</v>
      </c>
      <c r="G11" s="2">
        <v>26000</v>
      </c>
      <c r="H11" s="2">
        <v>2000</v>
      </c>
      <c r="I11" t="s">
        <v>294</v>
      </c>
    </row>
    <row r="12" spans="1:9" x14ac:dyDescent="0.3">
      <c r="A12" t="s">
        <v>296</v>
      </c>
      <c r="B12" t="s">
        <v>172</v>
      </c>
      <c r="C12" s="2">
        <v>60000</v>
      </c>
      <c r="D12" s="2">
        <v>65000</v>
      </c>
      <c r="E12" s="2">
        <v>5000</v>
      </c>
      <c r="F12" s="2">
        <v>24000</v>
      </c>
      <c r="G12" s="2">
        <v>26000</v>
      </c>
      <c r="H12" s="2">
        <v>2000</v>
      </c>
      <c r="I12" t="s">
        <v>294</v>
      </c>
    </row>
    <row r="13" spans="1:9" x14ac:dyDescent="0.3">
      <c r="A13" t="s">
        <v>296</v>
      </c>
      <c r="B13" t="s">
        <v>168</v>
      </c>
      <c r="C13" s="2">
        <v>60000</v>
      </c>
      <c r="D13" s="2">
        <v>65000</v>
      </c>
      <c r="E13" s="2">
        <v>5000</v>
      </c>
      <c r="F13" s="2">
        <v>24000</v>
      </c>
      <c r="G13" s="2">
        <v>26000</v>
      </c>
      <c r="H13" s="2">
        <v>2000</v>
      </c>
      <c r="I13" t="s">
        <v>294</v>
      </c>
    </row>
    <row r="14" spans="1:9" x14ac:dyDescent="0.3">
      <c r="A14" t="s">
        <v>297</v>
      </c>
      <c r="B14" t="s">
        <v>162</v>
      </c>
      <c r="C14" s="2">
        <v>60000</v>
      </c>
      <c r="D14" s="2">
        <v>65000</v>
      </c>
      <c r="E14" s="2">
        <v>5000</v>
      </c>
      <c r="F14" s="2">
        <v>24000</v>
      </c>
      <c r="G14" s="2">
        <v>26000</v>
      </c>
      <c r="H14" s="2">
        <v>2000</v>
      </c>
      <c r="I14" t="s">
        <v>294</v>
      </c>
    </row>
    <row r="15" spans="1:9" x14ac:dyDescent="0.3">
      <c r="A15" t="s">
        <v>297</v>
      </c>
      <c r="B15" t="s">
        <v>184</v>
      </c>
      <c r="C15" s="2">
        <v>60000</v>
      </c>
      <c r="D15" s="2">
        <v>65000</v>
      </c>
      <c r="E15" s="2">
        <v>5000</v>
      </c>
      <c r="F15" s="2">
        <v>24000</v>
      </c>
      <c r="G15" s="2">
        <v>26000</v>
      </c>
      <c r="H15" s="2">
        <v>2000</v>
      </c>
      <c r="I15" t="s">
        <v>294</v>
      </c>
    </row>
    <row r="16" spans="1:9" x14ac:dyDescent="0.3">
      <c r="A16" t="s">
        <v>297</v>
      </c>
      <c r="B16" t="s">
        <v>172</v>
      </c>
      <c r="C16" s="2">
        <v>60000</v>
      </c>
      <c r="D16" s="2">
        <v>65000</v>
      </c>
      <c r="E16" s="2">
        <v>5000</v>
      </c>
      <c r="F16" s="2">
        <v>24000</v>
      </c>
      <c r="G16" s="2">
        <v>26000</v>
      </c>
      <c r="H16" s="2">
        <v>2000</v>
      </c>
      <c r="I16" t="s">
        <v>294</v>
      </c>
    </row>
    <row r="17" spans="1:9" x14ac:dyDescent="0.3">
      <c r="A17" t="s">
        <v>297</v>
      </c>
      <c r="B17" t="s">
        <v>168</v>
      </c>
      <c r="C17" s="2">
        <v>60000</v>
      </c>
      <c r="D17" s="2">
        <v>65000</v>
      </c>
      <c r="E17" s="2">
        <v>5000</v>
      </c>
      <c r="F17" s="2">
        <v>24000</v>
      </c>
      <c r="G17" s="2">
        <v>26000</v>
      </c>
      <c r="H17" s="2">
        <v>2000</v>
      </c>
      <c r="I17" t="s">
        <v>294</v>
      </c>
    </row>
    <row r="18" spans="1:9" x14ac:dyDescent="0.3">
      <c r="A18" t="s">
        <v>298</v>
      </c>
      <c r="B18" t="s">
        <v>162</v>
      </c>
      <c r="C18" s="2">
        <v>60000</v>
      </c>
      <c r="D18" s="2">
        <v>65000</v>
      </c>
      <c r="E18" s="2">
        <v>5000</v>
      </c>
      <c r="F18" s="2">
        <v>24000</v>
      </c>
      <c r="G18" s="2">
        <v>26000</v>
      </c>
      <c r="H18" s="2">
        <v>2000</v>
      </c>
      <c r="I18" t="s">
        <v>294</v>
      </c>
    </row>
    <row r="19" spans="1:9" x14ac:dyDescent="0.3">
      <c r="A19" t="s">
        <v>298</v>
      </c>
      <c r="B19" t="s">
        <v>184</v>
      </c>
      <c r="C19" s="2">
        <v>60000</v>
      </c>
      <c r="D19" s="2">
        <v>65000</v>
      </c>
      <c r="E19" s="2">
        <v>5000</v>
      </c>
      <c r="F19" s="2">
        <v>24000</v>
      </c>
      <c r="G19" s="2">
        <v>26000</v>
      </c>
      <c r="H19" s="2">
        <v>2000</v>
      </c>
      <c r="I19" t="s">
        <v>294</v>
      </c>
    </row>
    <row r="20" spans="1:9" x14ac:dyDescent="0.3">
      <c r="A20" t="s">
        <v>298</v>
      </c>
      <c r="B20" t="s">
        <v>172</v>
      </c>
      <c r="C20" s="2">
        <v>60000</v>
      </c>
      <c r="D20" s="2">
        <v>65000</v>
      </c>
      <c r="E20" s="2">
        <v>5000</v>
      </c>
      <c r="F20" s="2">
        <v>24000</v>
      </c>
      <c r="G20" s="2">
        <v>26000</v>
      </c>
      <c r="H20" s="2">
        <v>2000</v>
      </c>
      <c r="I20" t="s">
        <v>294</v>
      </c>
    </row>
    <row r="21" spans="1:9" x14ac:dyDescent="0.3">
      <c r="A21" t="s">
        <v>298</v>
      </c>
      <c r="B21" t="s">
        <v>168</v>
      </c>
      <c r="C21" s="2">
        <v>60000</v>
      </c>
      <c r="D21" s="2">
        <v>65000</v>
      </c>
      <c r="E21" s="2">
        <v>5000</v>
      </c>
      <c r="F21" s="2">
        <v>24000</v>
      </c>
      <c r="G21" s="2">
        <v>26000</v>
      </c>
      <c r="H21" s="2">
        <v>2000</v>
      </c>
      <c r="I21" t="s">
        <v>294</v>
      </c>
    </row>
    <row r="22" spans="1:9" x14ac:dyDescent="0.3">
      <c r="A22" t="s">
        <v>299</v>
      </c>
      <c r="B22" t="s">
        <v>162</v>
      </c>
      <c r="C22" s="2">
        <v>60000</v>
      </c>
      <c r="D22" s="2">
        <v>65000</v>
      </c>
      <c r="E22" s="2">
        <v>5000</v>
      </c>
      <c r="F22" s="2">
        <v>24000</v>
      </c>
      <c r="G22" s="2">
        <v>26000</v>
      </c>
      <c r="H22" s="2">
        <v>2000</v>
      </c>
      <c r="I22" t="s">
        <v>294</v>
      </c>
    </row>
    <row r="23" spans="1:9" x14ac:dyDescent="0.3">
      <c r="A23" t="s">
        <v>299</v>
      </c>
      <c r="B23" t="s">
        <v>184</v>
      </c>
      <c r="C23" s="2">
        <v>60000</v>
      </c>
      <c r="D23" s="2">
        <v>65000</v>
      </c>
      <c r="E23" s="2">
        <v>5000</v>
      </c>
      <c r="F23" s="2">
        <v>24000</v>
      </c>
      <c r="G23" s="2">
        <v>26000</v>
      </c>
      <c r="H23" s="2">
        <v>2000</v>
      </c>
      <c r="I23" t="s">
        <v>294</v>
      </c>
    </row>
    <row r="24" spans="1:9" x14ac:dyDescent="0.3">
      <c r="A24" t="s">
        <v>299</v>
      </c>
      <c r="B24" t="s">
        <v>172</v>
      </c>
      <c r="C24" s="2">
        <v>60000</v>
      </c>
      <c r="D24" s="2">
        <v>65000</v>
      </c>
      <c r="E24" s="2">
        <v>5000</v>
      </c>
      <c r="F24" s="2">
        <v>24000</v>
      </c>
      <c r="G24" s="2">
        <v>26000</v>
      </c>
      <c r="H24" s="2">
        <v>2000</v>
      </c>
      <c r="I24" t="s">
        <v>294</v>
      </c>
    </row>
    <row r="25" spans="1:9" x14ac:dyDescent="0.3">
      <c r="A25" t="s">
        <v>299</v>
      </c>
      <c r="B25" t="s">
        <v>168</v>
      </c>
      <c r="C25" s="2">
        <v>60000</v>
      </c>
      <c r="D25" s="2">
        <v>65000</v>
      </c>
      <c r="E25" s="2">
        <v>5000</v>
      </c>
      <c r="F25" s="2">
        <v>24000</v>
      </c>
      <c r="G25" s="2">
        <v>26000</v>
      </c>
      <c r="H25" s="2">
        <v>2000</v>
      </c>
      <c r="I25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/>
  </sheetViews>
  <sheetFormatPr defaultRowHeight="14.4" x14ac:dyDescent="0.3"/>
  <cols>
    <col min="1" max="1" width="9.33203125" bestFit="1" customWidth="1"/>
    <col min="2" max="2" width="10.33203125" bestFit="1" customWidth="1"/>
    <col min="3" max="3" width="14.21875" bestFit="1" customWidth="1"/>
    <col min="4" max="4" width="16.6640625" bestFit="1" customWidth="1"/>
    <col min="5" max="5" width="6.77734375" bestFit="1" customWidth="1"/>
    <col min="6" max="6" width="11.44140625" bestFit="1" customWidth="1"/>
    <col min="7" max="7" width="9.44140625" bestFit="1" customWidth="1"/>
    <col min="8" max="8" width="19.77734375" bestFit="1" customWidth="1"/>
    <col min="9" max="9" width="15.21875" bestFit="1" customWidth="1"/>
    <col min="10" max="11" width="9" bestFit="1" customWidth="1"/>
    <col min="12" max="12" width="14.88671875" bestFit="1" customWidth="1"/>
    <col min="13" max="13" width="10" bestFit="1" customWidth="1"/>
    <col min="14" max="14" width="9" bestFit="1" customWidth="1"/>
    <col min="15" max="15" width="10.21875" bestFit="1" customWidth="1"/>
    <col min="16" max="16" width="11.5546875" bestFit="1" customWidth="1"/>
    <col min="17" max="17" width="11" bestFit="1" customWidth="1"/>
  </cols>
  <sheetData>
    <row r="1" spans="1:17" s="5" customFormat="1" x14ac:dyDescent="0.3">
      <c r="A1" s="5" t="s">
        <v>145</v>
      </c>
      <c r="B1" s="5" t="s">
        <v>146</v>
      </c>
      <c r="C1" s="5" t="s">
        <v>147</v>
      </c>
      <c r="D1" s="5" t="s">
        <v>148</v>
      </c>
      <c r="E1" s="5" t="s">
        <v>149</v>
      </c>
      <c r="F1" s="5" t="s">
        <v>150</v>
      </c>
      <c r="G1" s="5" t="s">
        <v>0</v>
      </c>
      <c r="H1" s="5" t="s">
        <v>1</v>
      </c>
      <c r="I1" s="5" t="s">
        <v>2</v>
      </c>
      <c r="J1" s="5" t="s">
        <v>151</v>
      </c>
      <c r="K1" s="5" t="s">
        <v>152</v>
      </c>
      <c r="L1" s="5" t="s">
        <v>153</v>
      </c>
      <c r="M1" s="5" t="s">
        <v>154</v>
      </c>
      <c r="N1" s="5" t="s">
        <v>155</v>
      </c>
      <c r="O1" s="5" t="s">
        <v>156</v>
      </c>
      <c r="P1" s="5" t="s">
        <v>157</v>
      </c>
      <c r="Q1" s="5" t="s">
        <v>158</v>
      </c>
    </row>
    <row r="2" spans="1:17" x14ac:dyDescent="0.3">
      <c r="A2" t="s">
        <v>159</v>
      </c>
      <c r="B2" s="1">
        <v>45582</v>
      </c>
      <c r="C2" t="s">
        <v>160</v>
      </c>
      <c r="D2" t="s">
        <v>161</v>
      </c>
      <c r="E2" t="s">
        <v>162</v>
      </c>
      <c r="F2" t="s">
        <v>163</v>
      </c>
      <c r="G2" t="s">
        <v>108</v>
      </c>
      <c r="H2" t="s">
        <v>109</v>
      </c>
      <c r="I2" t="s">
        <v>101</v>
      </c>
      <c r="J2">
        <v>1</v>
      </c>
      <c r="K2" s="2">
        <v>119</v>
      </c>
      <c r="L2" s="3">
        <v>0.05</v>
      </c>
      <c r="M2" s="2">
        <v>113.05</v>
      </c>
      <c r="N2" s="2">
        <v>73.482500000000002</v>
      </c>
      <c r="O2" s="2">
        <v>39.567499999999995</v>
      </c>
      <c r="P2" s="4">
        <v>0.35</v>
      </c>
      <c r="Q2" t="s">
        <v>164</v>
      </c>
    </row>
    <row r="3" spans="1:17" x14ac:dyDescent="0.3">
      <c r="A3" t="s">
        <v>165</v>
      </c>
      <c r="B3" s="1">
        <v>45615</v>
      </c>
      <c r="C3" t="s">
        <v>166</v>
      </c>
      <c r="D3" t="s">
        <v>167</v>
      </c>
      <c r="E3" t="s">
        <v>168</v>
      </c>
      <c r="F3" t="s">
        <v>163</v>
      </c>
      <c r="G3" t="s">
        <v>116</v>
      </c>
      <c r="H3" t="s">
        <v>117</v>
      </c>
      <c r="I3" t="s">
        <v>101</v>
      </c>
      <c r="J3">
        <v>5</v>
      </c>
      <c r="K3" s="2">
        <v>250</v>
      </c>
      <c r="L3" s="3">
        <v>0.1</v>
      </c>
      <c r="M3" s="2">
        <v>1125</v>
      </c>
      <c r="N3" s="2">
        <v>731.25</v>
      </c>
      <c r="O3" s="2">
        <v>393.75</v>
      </c>
      <c r="P3" s="4">
        <v>0.35</v>
      </c>
      <c r="Q3" t="s">
        <v>169</v>
      </c>
    </row>
    <row r="4" spans="1:17" x14ac:dyDescent="0.3">
      <c r="A4" t="s">
        <v>170</v>
      </c>
      <c r="B4" s="1">
        <v>45818</v>
      </c>
      <c r="C4" t="s">
        <v>171</v>
      </c>
      <c r="D4" t="s">
        <v>161</v>
      </c>
      <c r="E4" t="s">
        <v>172</v>
      </c>
      <c r="F4" t="s">
        <v>173</v>
      </c>
      <c r="G4" t="s">
        <v>27</v>
      </c>
      <c r="H4" t="s">
        <v>28</v>
      </c>
      <c r="I4" t="s">
        <v>11</v>
      </c>
      <c r="J4">
        <v>7</v>
      </c>
      <c r="K4" s="2">
        <v>750</v>
      </c>
      <c r="L4" s="3">
        <v>0.1</v>
      </c>
      <c r="M4" s="2">
        <v>4725</v>
      </c>
      <c r="N4" s="2">
        <v>3071.25</v>
      </c>
      <c r="O4" s="2">
        <v>1653.75</v>
      </c>
      <c r="P4" s="4">
        <v>0.35</v>
      </c>
      <c r="Q4" t="s">
        <v>174</v>
      </c>
    </row>
    <row r="5" spans="1:17" x14ac:dyDescent="0.3">
      <c r="A5" t="s">
        <v>175</v>
      </c>
      <c r="B5" s="1">
        <v>45526</v>
      </c>
      <c r="C5" t="s">
        <v>176</v>
      </c>
      <c r="D5" t="s">
        <v>177</v>
      </c>
      <c r="E5" t="s">
        <v>172</v>
      </c>
      <c r="F5" t="s">
        <v>163</v>
      </c>
      <c r="G5" t="s">
        <v>119</v>
      </c>
      <c r="H5" t="s">
        <v>120</v>
      </c>
      <c r="I5" t="s">
        <v>101</v>
      </c>
      <c r="J5">
        <v>2</v>
      </c>
      <c r="K5" s="2">
        <v>100</v>
      </c>
      <c r="L5" s="3">
        <v>0.05</v>
      </c>
      <c r="M5" s="2">
        <v>190</v>
      </c>
      <c r="N5" s="2">
        <v>123.5</v>
      </c>
      <c r="O5" s="2">
        <v>66.5</v>
      </c>
      <c r="P5" s="4">
        <v>0.35</v>
      </c>
      <c r="Q5" t="s">
        <v>174</v>
      </c>
    </row>
    <row r="6" spans="1:17" x14ac:dyDescent="0.3">
      <c r="A6" t="s">
        <v>178</v>
      </c>
      <c r="B6" s="1">
        <v>45366</v>
      </c>
      <c r="C6" t="s">
        <v>176</v>
      </c>
      <c r="D6" t="s">
        <v>177</v>
      </c>
      <c r="E6" t="s">
        <v>172</v>
      </c>
      <c r="F6" t="s">
        <v>179</v>
      </c>
      <c r="G6" t="s">
        <v>37</v>
      </c>
      <c r="H6" t="s">
        <v>38</v>
      </c>
      <c r="I6" t="s">
        <v>35</v>
      </c>
      <c r="J6">
        <v>2</v>
      </c>
      <c r="K6" s="2">
        <v>1399</v>
      </c>
      <c r="L6" s="3">
        <v>0</v>
      </c>
      <c r="M6" s="2">
        <v>2798</v>
      </c>
      <c r="N6" s="2">
        <v>1818.7</v>
      </c>
      <c r="O6" s="2">
        <v>979.3</v>
      </c>
      <c r="P6" s="4">
        <v>0.35</v>
      </c>
      <c r="Q6" t="s">
        <v>174</v>
      </c>
    </row>
    <row r="7" spans="1:17" x14ac:dyDescent="0.3">
      <c r="A7" t="s">
        <v>180</v>
      </c>
      <c r="B7" s="1">
        <v>45710</v>
      </c>
      <c r="C7" t="s">
        <v>181</v>
      </c>
      <c r="D7" t="s">
        <v>161</v>
      </c>
      <c r="E7" t="s">
        <v>168</v>
      </c>
      <c r="F7" t="s">
        <v>179</v>
      </c>
      <c r="G7" t="s">
        <v>30</v>
      </c>
      <c r="H7" t="s">
        <v>31</v>
      </c>
      <c r="I7" t="s">
        <v>11</v>
      </c>
      <c r="J7">
        <v>10</v>
      </c>
      <c r="K7" s="2">
        <v>800</v>
      </c>
      <c r="L7" s="3">
        <v>0</v>
      </c>
      <c r="M7" s="2">
        <v>8000</v>
      </c>
      <c r="N7" s="2">
        <v>5200</v>
      </c>
      <c r="O7" s="2">
        <v>2800</v>
      </c>
      <c r="P7" s="4">
        <v>0.35</v>
      </c>
      <c r="Q7" t="s">
        <v>169</v>
      </c>
    </row>
    <row r="8" spans="1:17" x14ac:dyDescent="0.3">
      <c r="A8" t="s">
        <v>182</v>
      </c>
      <c r="B8" s="1">
        <v>45662</v>
      </c>
      <c r="C8" t="s">
        <v>183</v>
      </c>
      <c r="D8" t="s">
        <v>161</v>
      </c>
      <c r="E8" t="s">
        <v>184</v>
      </c>
      <c r="F8" t="s">
        <v>173</v>
      </c>
      <c r="G8" t="s">
        <v>19</v>
      </c>
      <c r="H8" t="s">
        <v>20</v>
      </c>
      <c r="I8" t="s">
        <v>11</v>
      </c>
      <c r="J8">
        <v>7</v>
      </c>
      <c r="K8" s="2">
        <v>1500</v>
      </c>
      <c r="L8" s="3">
        <v>0</v>
      </c>
      <c r="M8" s="2">
        <v>10500</v>
      </c>
      <c r="N8" s="2">
        <v>6825</v>
      </c>
      <c r="O8" s="2">
        <v>3675</v>
      </c>
      <c r="P8" s="4">
        <v>0.35</v>
      </c>
      <c r="Q8" t="s">
        <v>164</v>
      </c>
    </row>
    <row r="9" spans="1:17" x14ac:dyDescent="0.3">
      <c r="A9" t="s">
        <v>185</v>
      </c>
      <c r="B9" s="1">
        <v>45408</v>
      </c>
      <c r="C9" t="s">
        <v>181</v>
      </c>
      <c r="D9" t="s">
        <v>161</v>
      </c>
      <c r="E9" t="s">
        <v>168</v>
      </c>
      <c r="F9" t="s">
        <v>186</v>
      </c>
      <c r="G9" t="s">
        <v>74</v>
      </c>
      <c r="H9" t="s">
        <v>75</v>
      </c>
      <c r="I9" t="s">
        <v>58</v>
      </c>
      <c r="J9">
        <v>9</v>
      </c>
      <c r="K9" s="2">
        <v>349</v>
      </c>
      <c r="L9" s="3">
        <v>0</v>
      </c>
      <c r="M9" s="2">
        <v>3141</v>
      </c>
      <c r="N9" s="2">
        <v>2041.65</v>
      </c>
      <c r="O9" s="2">
        <v>1099.3499999999999</v>
      </c>
      <c r="P9" s="4">
        <v>0.35</v>
      </c>
      <c r="Q9" t="s">
        <v>164</v>
      </c>
    </row>
    <row r="10" spans="1:17" x14ac:dyDescent="0.3">
      <c r="A10" t="s">
        <v>187</v>
      </c>
      <c r="B10" s="1">
        <v>45586</v>
      </c>
      <c r="C10" t="s">
        <v>171</v>
      </c>
      <c r="D10" t="s">
        <v>161</v>
      </c>
      <c r="E10" t="s">
        <v>172</v>
      </c>
      <c r="F10" t="s">
        <v>179</v>
      </c>
      <c r="G10" t="s">
        <v>95</v>
      </c>
      <c r="H10" t="s">
        <v>96</v>
      </c>
      <c r="I10" t="s">
        <v>79</v>
      </c>
      <c r="J10">
        <v>8</v>
      </c>
      <c r="K10" s="2">
        <v>30</v>
      </c>
      <c r="L10" s="3">
        <v>0.1</v>
      </c>
      <c r="M10" s="2">
        <v>216</v>
      </c>
      <c r="N10" s="2">
        <v>140.4</v>
      </c>
      <c r="O10" s="2">
        <v>75.599999999999994</v>
      </c>
      <c r="P10" s="4">
        <v>0.35</v>
      </c>
      <c r="Q10" t="s">
        <v>164</v>
      </c>
    </row>
    <row r="11" spans="1:17" x14ac:dyDescent="0.3">
      <c r="A11" t="s">
        <v>188</v>
      </c>
      <c r="B11" s="1">
        <v>45601</v>
      </c>
      <c r="C11" t="s">
        <v>189</v>
      </c>
      <c r="D11" t="s">
        <v>167</v>
      </c>
      <c r="E11" t="s">
        <v>172</v>
      </c>
      <c r="F11" t="s">
        <v>163</v>
      </c>
      <c r="G11" t="s">
        <v>39</v>
      </c>
      <c r="H11" t="s">
        <v>40</v>
      </c>
      <c r="I11" t="s">
        <v>35</v>
      </c>
      <c r="J11">
        <v>1</v>
      </c>
      <c r="K11" s="2">
        <v>999</v>
      </c>
      <c r="L11" s="3">
        <v>0.1</v>
      </c>
      <c r="M11" s="2">
        <v>899.1</v>
      </c>
      <c r="N11" s="2">
        <v>584.41500000000008</v>
      </c>
      <c r="O11" s="2">
        <v>314.68499999999995</v>
      </c>
      <c r="P11" s="4">
        <v>0.34999999999999992</v>
      </c>
      <c r="Q11" t="s">
        <v>174</v>
      </c>
    </row>
    <row r="12" spans="1:17" x14ac:dyDescent="0.3">
      <c r="A12" t="s">
        <v>190</v>
      </c>
      <c r="B12" s="1">
        <v>45388</v>
      </c>
      <c r="C12" t="s">
        <v>191</v>
      </c>
      <c r="D12" t="s">
        <v>167</v>
      </c>
      <c r="E12" t="s">
        <v>162</v>
      </c>
      <c r="F12" t="s">
        <v>179</v>
      </c>
      <c r="G12" t="s">
        <v>19</v>
      </c>
      <c r="H12" t="s">
        <v>20</v>
      </c>
      <c r="I12" t="s">
        <v>11</v>
      </c>
      <c r="J12">
        <v>8</v>
      </c>
      <c r="K12" s="2">
        <v>1500</v>
      </c>
      <c r="L12" s="3">
        <v>0.1</v>
      </c>
      <c r="M12" s="2">
        <v>10800</v>
      </c>
      <c r="N12" s="2">
        <v>7020</v>
      </c>
      <c r="O12" s="2">
        <v>3780</v>
      </c>
      <c r="P12" s="4">
        <v>0.35</v>
      </c>
      <c r="Q12" t="s">
        <v>174</v>
      </c>
    </row>
    <row r="13" spans="1:17" x14ac:dyDescent="0.3">
      <c r="A13" t="s">
        <v>192</v>
      </c>
      <c r="B13" s="1">
        <v>45831</v>
      </c>
      <c r="C13" t="s">
        <v>160</v>
      </c>
      <c r="D13" t="s">
        <v>161</v>
      </c>
      <c r="E13" t="s">
        <v>162</v>
      </c>
      <c r="F13" t="s">
        <v>173</v>
      </c>
      <c r="G13" t="s">
        <v>84</v>
      </c>
      <c r="H13" t="s">
        <v>85</v>
      </c>
      <c r="I13" t="s">
        <v>79</v>
      </c>
      <c r="J13">
        <v>3</v>
      </c>
      <c r="K13" s="2">
        <v>199</v>
      </c>
      <c r="L13" s="3">
        <v>0.1</v>
      </c>
      <c r="M13" s="2">
        <v>537.30000000000007</v>
      </c>
      <c r="N13" s="2">
        <v>349.24500000000006</v>
      </c>
      <c r="O13" s="2">
        <v>188.05500000000001</v>
      </c>
      <c r="P13" s="4">
        <v>0.35</v>
      </c>
      <c r="Q13" t="s">
        <v>164</v>
      </c>
    </row>
    <row r="14" spans="1:17" x14ac:dyDescent="0.3">
      <c r="A14" t="s">
        <v>193</v>
      </c>
      <c r="B14" s="1">
        <v>45721</v>
      </c>
      <c r="C14" t="s">
        <v>194</v>
      </c>
      <c r="D14" t="s">
        <v>177</v>
      </c>
      <c r="E14" t="s">
        <v>168</v>
      </c>
      <c r="F14" t="s">
        <v>179</v>
      </c>
      <c r="G14" t="s">
        <v>105</v>
      </c>
      <c r="H14" t="s">
        <v>106</v>
      </c>
      <c r="I14" t="s">
        <v>101</v>
      </c>
      <c r="J14">
        <v>6</v>
      </c>
      <c r="K14" s="2">
        <v>499</v>
      </c>
      <c r="L14" s="3">
        <v>0.05</v>
      </c>
      <c r="M14" s="2">
        <v>2844.2999999999997</v>
      </c>
      <c r="N14" s="2">
        <v>1848.7949999999998</v>
      </c>
      <c r="O14" s="2">
        <v>995.50499999999988</v>
      </c>
      <c r="P14" s="4">
        <v>0.35</v>
      </c>
      <c r="Q14" t="s">
        <v>174</v>
      </c>
    </row>
    <row r="15" spans="1:17" x14ac:dyDescent="0.3">
      <c r="A15" t="s">
        <v>195</v>
      </c>
      <c r="B15" s="1">
        <v>45676</v>
      </c>
      <c r="C15" t="s">
        <v>166</v>
      </c>
      <c r="D15" t="s">
        <v>167</v>
      </c>
      <c r="E15" t="s">
        <v>168</v>
      </c>
      <c r="F15" t="s">
        <v>163</v>
      </c>
      <c r="G15" t="s">
        <v>111</v>
      </c>
      <c r="H15" t="s">
        <v>112</v>
      </c>
      <c r="I15" t="s">
        <v>101</v>
      </c>
      <c r="J15">
        <v>7</v>
      </c>
      <c r="K15" s="2">
        <v>1800</v>
      </c>
      <c r="L15" s="3">
        <v>0</v>
      </c>
      <c r="M15" s="2">
        <v>12600</v>
      </c>
      <c r="N15" s="2">
        <v>8190</v>
      </c>
      <c r="O15" s="2">
        <v>4410</v>
      </c>
      <c r="P15" s="4">
        <v>0.35</v>
      </c>
      <c r="Q15" t="s">
        <v>174</v>
      </c>
    </row>
    <row r="16" spans="1:17" x14ac:dyDescent="0.3">
      <c r="A16" t="s">
        <v>196</v>
      </c>
      <c r="B16" s="1">
        <v>45443</v>
      </c>
      <c r="C16" t="s">
        <v>176</v>
      </c>
      <c r="D16" t="s">
        <v>177</v>
      </c>
      <c r="E16" t="s">
        <v>172</v>
      </c>
      <c r="F16" t="s">
        <v>173</v>
      </c>
      <c r="G16" t="s">
        <v>90</v>
      </c>
      <c r="H16" t="s">
        <v>91</v>
      </c>
      <c r="I16" t="s">
        <v>79</v>
      </c>
      <c r="J16">
        <v>9</v>
      </c>
      <c r="K16" s="2">
        <v>190</v>
      </c>
      <c r="L16" s="3">
        <v>0</v>
      </c>
      <c r="M16" s="2">
        <v>1710</v>
      </c>
      <c r="N16" s="2">
        <v>1111.5</v>
      </c>
      <c r="O16" s="2">
        <v>598.5</v>
      </c>
      <c r="P16" s="4">
        <v>0.35</v>
      </c>
      <c r="Q16" t="s">
        <v>174</v>
      </c>
    </row>
    <row r="17" spans="1:17" x14ac:dyDescent="0.3">
      <c r="A17" t="s">
        <v>197</v>
      </c>
      <c r="B17" s="1">
        <v>45328</v>
      </c>
      <c r="C17" t="s">
        <v>194</v>
      </c>
      <c r="D17" t="s">
        <v>177</v>
      </c>
      <c r="E17" t="s">
        <v>168</v>
      </c>
      <c r="F17" t="s">
        <v>179</v>
      </c>
      <c r="G17" t="s">
        <v>25</v>
      </c>
      <c r="H17" t="s">
        <v>26</v>
      </c>
      <c r="I17" t="s">
        <v>11</v>
      </c>
      <c r="J17">
        <v>2</v>
      </c>
      <c r="K17" s="2">
        <v>1650</v>
      </c>
      <c r="L17" s="3">
        <v>0.1</v>
      </c>
      <c r="M17" s="2">
        <v>2970</v>
      </c>
      <c r="N17" s="2">
        <v>1930.5</v>
      </c>
      <c r="O17" s="2">
        <v>1039.5</v>
      </c>
      <c r="P17" s="4">
        <v>0.35</v>
      </c>
      <c r="Q17" t="s">
        <v>174</v>
      </c>
    </row>
    <row r="18" spans="1:17" x14ac:dyDescent="0.3">
      <c r="A18" t="s">
        <v>198</v>
      </c>
      <c r="B18" s="1">
        <v>45598</v>
      </c>
      <c r="C18" t="s">
        <v>183</v>
      </c>
      <c r="D18" t="s">
        <v>161</v>
      </c>
      <c r="E18" t="s">
        <v>184</v>
      </c>
      <c r="F18" t="s">
        <v>186</v>
      </c>
      <c r="G18" t="s">
        <v>102</v>
      </c>
      <c r="H18" t="s">
        <v>103</v>
      </c>
      <c r="I18" t="s">
        <v>101</v>
      </c>
      <c r="J18">
        <v>9</v>
      </c>
      <c r="K18" s="2">
        <v>290</v>
      </c>
      <c r="L18" s="3">
        <v>0.1</v>
      </c>
      <c r="M18" s="2">
        <v>2349</v>
      </c>
      <c r="N18" s="2">
        <v>1526.8500000000001</v>
      </c>
      <c r="O18" s="2">
        <v>822.14999999999986</v>
      </c>
      <c r="P18" s="4">
        <v>0.34999999999999992</v>
      </c>
      <c r="Q18" t="s">
        <v>174</v>
      </c>
    </row>
    <row r="19" spans="1:17" x14ac:dyDescent="0.3">
      <c r="A19" t="s">
        <v>199</v>
      </c>
      <c r="B19" s="1">
        <v>45297</v>
      </c>
      <c r="C19" t="s">
        <v>189</v>
      </c>
      <c r="D19" t="s">
        <v>167</v>
      </c>
      <c r="E19" t="s">
        <v>172</v>
      </c>
      <c r="F19" t="s">
        <v>186</v>
      </c>
      <c r="G19" t="s">
        <v>39</v>
      </c>
      <c r="H19" t="s">
        <v>40</v>
      </c>
      <c r="I19" t="s">
        <v>35</v>
      </c>
      <c r="J19">
        <v>1</v>
      </c>
      <c r="K19" s="2">
        <v>999</v>
      </c>
      <c r="L19" s="3">
        <v>0.1</v>
      </c>
      <c r="M19" s="2">
        <v>899.1</v>
      </c>
      <c r="N19" s="2">
        <v>584.41500000000008</v>
      </c>
      <c r="O19" s="2">
        <v>314.68499999999995</v>
      </c>
      <c r="P19" s="4">
        <v>0.34999999999999992</v>
      </c>
      <c r="Q19" t="s">
        <v>169</v>
      </c>
    </row>
    <row r="20" spans="1:17" x14ac:dyDescent="0.3">
      <c r="A20" t="s">
        <v>200</v>
      </c>
      <c r="B20" s="1">
        <v>45503</v>
      </c>
      <c r="C20" t="s">
        <v>201</v>
      </c>
      <c r="D20" t="s">
        <v>177</v>
      </c>
      <c r="E20" t="s">
        <v>184</v>
      </c>
      <c r="F20" t="s">
        <v>163</v>
      </c>
      <c r="G20" t="s">
        <v>95</v>
      </c>
      <c r="H20" t="s">
        <v>96</v>
      </c>
      <c r="I20" t="s">
        <v>79</v>
      </c>
      <c r="J20">
        <v>8</v>
      </c>
      <c r="K20" s="2">
        <v>30</v>
      </c>
      <c r="L20" s="3">
        <v>0.05</v>
      </c>
      <c r="M20" s="2">
        <v>228</v>
      </c>
      <c r="N20" s="2">
        <v>148.20000000000002</v>
      </c>
      <c r="O20" s="2">
        <v>79.799999999999983</v>
      </c>
      <c r="P20" s="4">
        <v>0.34999999999999992</v>
      </c>
      <c r="Q20" t="s">
        <v>169</v>
      </c>
    </row>
    <row r="21" spans="1:17" x14ac:dyDescent="0.3">
      <c r="A21" t="s">
        <v>202</v>
      </c>
      <c r="B21" s="1">
        <v>45494</v>
      </c>
      <c r="C21" t="s">
        <v>189</v>
      </c>
      <c r="D21" t="s">
        <v>167</v>
      </c>
      <c r="E21" t="s">
        <v>172</v>
      </c>
      <c r="F21" t="s">
        <v>163</v>
      </c>
      <c r="G21" t="s">
        <v>56</v>
      </c>
      <c r="H21" t="s">
        <v>57</v>
      </c>
      <c r="I21" t="s">
        <v>58</v>
      </c>
      <c r="J21">
        <v>8</v>
      </c>
      <c r="K21" s="2">
        <v>399</v>
      </c>
      <c r="L21" s="3">
        <v>0.05</v>
      </c>
      <c r="M21" s="2">
        <v>3032.3999999999996</v>
      </c>
      <c r="N21" s="2">
        <v>1971.0599999999997</v>
      </c>
      <c r="O21" s="2">
        <v>1061.3399999999999</v>
      </c>
      <c r="P21" s="4">
        <v>0.35000000000000003</v>
      </c>
      <c r="Q21" t="s">
        <v>174</v>
      </c>
    </row>
    <row r="22" spans="1:17" x14ac:dyDescent="0.3">
      <c r="A22" t="s">
        <v>203</v>
      </c>
      <c r="B22" s="1">
        <v>45382</v>
      </c>
      <c r="C22" t="s">
        <v>171</v>
      </c>
      <c r="D22" t="s">
        <v>161</v>
      </c>
      <c r="E22" t="s">
        <v>172</v>
      </c>
      <c r="F22" t="s">
        <v>186</v>
      </c>
      <c r="G22" t="s">
        <v>16</v>
      </c>
      <c r="H22" t="s">
        <v>17</v>
      </c>
      <c r="I22" t="s">
        <v>11</v>
      </c>
      <c r="J22">
        <v>2</v>
      </c>
      <c r="K22" s="2">
        <v>1400</v>
      </c>
      <c r="L22" s="3">
        <v>0.05</v>
      </c>
      <c r="M22" s="2">
        <v>2660</v>
      </c>
      <c r="N22" s="2">
        <v>1729</v>
      </c>
      <c r="O22" s="2">
        <v>931</v>
      </c>
      <c r="P22" s="4">
        <v>0.35</v>
      </c>
      <c r="Q22" t="s">
        <v>174</v>
      </c>
    </row>
    <row r="23" spans="1:17" x14ac:dyDescent="0.3">
      <c r="A23" t="s">
        <v>204</v>
      </c>
      <c r="B23" s="1">
        <v>45501</v>
      </c>
      <c r="C23" t="s">
        <v>166</v>
      </c>
      <c r="D23" t="s">
        <v>167</v>
      </c>
      <c r="E23" t="s">
        <v>168</v>
      </c>
      <c r="F23" t="s">
        <v>186</v>
      </c>
      <c r="G23" t="s">
        <v>105</v>
      </c>
      <c r="H23" t="s">
        <v>106</v>
      </c>
      <c r="I23" t="s">
        <v>101</v>
      </c>
      <c r="J23">
        <v>3</v>
      </c>
      <c r="K23" s="2">
        <v>499</v>
      </c>
      <c r="L23" s="3">
        <v>0</v>
      </c>
      <c r="M23" s="2">
        <v>1497</v>
      </c>
      <c r="N23" s="2">
        <v>973.05000000000007</v>
      </c>
      <c r="O23" s="2">
        <v>523.94999999999993</v>
      </c>
      <c r="P23" s="4">
        <v>0.35</v>
      </c>
      <c r="Q23" t="s">
        <v>174</v>
      </c>
    </row>
    <row r="24" spans="1:17" x14ac:dyDescent="0.3">
      <c r="A24" t="s">
        <v>205</v>
      </c>
      <c r="B24" s="1">
        <v>45493</v>
      </c>
      <c r="C24" t="s">
        <v>194</v>
      </c>
      <c r="D24" t="s">
        <v>177</v>
      </c>
      <c r="E24" t="s">
        <v>168</v>
      </c>
      <c r="F24" t="s">
        <v>186</v>
      </c>
      <c r="G24" t="s">
        <v>50</v>
      </c>
      <c r="H24" t="s">
        <v>51</v>
      </c>
      <c r="I24" t="s">
        <v>35</v>
      </c>
      <c r="J24">
        <v>4</v>
      </c>
      <c r="K24" s="2">
        <v>520</v>
      </c>
      <c r="L24" s="3">
        <v>0.1</v>
      </c>
      <c r="M24" s="2">
        <v>1872</v>
      </c>
      <c r="N24" s="2">
        <v>1216.8</v>
      </c>
      <c r="O24" s="2">
        <v>655.20000000000005</v>
      </c>
      <c r="P24" s="4">
        <v>0.35000000000000003</v>
      </c>
      <c r="Q24" t="s">
        <v>174</v>
      </c>
    </row>
    <row r="25" spans="1:17" x14ac:dyDescent="0.3">
      <c r="A25" t="s">
        <v>206</v>
      </c>
      <c r="B25" s="1">
        <v>45679</v>
      </c>
      <c r="C25" t="s">
        <v>207</v>
      </c>
      <c r="D25" t="s">
        <v>177</v>
      </c>
      <c r="E25" t="s">
        <v>162</v>
      </c>
      <c r="F25" t="s">
        <v>163</v>
      </c>
      <c r="G25" t="s">
        <v>19</v>
      </c>
      <c r="H25" t="s">
        <v>20</v>
      </c>
      <c r="I25" t="s">
        <v>11</v>
      </c>
      <c r="J25">
        <v>6</v>
      </c>
      <c r="K25" s="2">
        <v>1500</v>
      </c>
      <c r="L25" s="3">
        <v>0.05</v>
      </c>
      <c r="M25" s="2">
        <v>8550</v>
      </c>
      <c r="N25" s="2">
        <v>5557.5</v>
      </c>
      <c r="O25" s="2">
        <v>2992.5</v>
      </c>
      <c r="P25" s="4">
        <v>0.35</v>
      </c>
      <c r="Q25" t="s">
        <v>164</v>
      </c>
    </row>
    <row r="26" spans="1:17" x14ac:dyDescent="0.3">
      <c r="A26" t="s">
        <v>208</v>
      </c>
      <c r="B26" s="1">
        <v>45346</v>
      </c>
      <c r="C26" t="s">
        <v>183</v>
      </c>
      <c r="D26" t="s">
        <v>161</v>
      </c>
      <c r="E26" t="s">
        <v>184</v>
      </c>
      <c r="F26" t="s">
        <v>186</v>
      </c>
      <c r="G26" t="s">
        <v>39</v>
      </c>
      <c r="H26" t="s">
        <v>40</v>
      </c>
      <c r="I26" t="s">
        <v>35</v>
      </c>
      <c r="J26">
        <v>3</v>
      </c>
      <c r="K26" s="2">
        <v>999</v>
      </c>
      <c r="L26" s="3">
        <v>0</v>
      </c>
      <c r="M26" s="2">
        <v>2997</v>
      </c>
      <c r="N26" s="2">
        <v>1948.05</v>
      </c>
      <c r="O26" s="2">
        <v>1048.95</v>
      </c>
      <c r="P26" s="4">
        <v>0.35000000000000003</v>
      </c>
      <c r="Q26" t="s">
        <v>164</v>
      </c>
    </row>
    <row r="27" spans="1:17" x14ac:dyDescent="0.3">
      <c r="A27" t="s">
        <v>209</v>
      </c>
      <c r="B27" s="1">
        <v>45445</v>
      </c>
      <c r="C27" t="s">
        <v>191</v>
      </c>
      <c r="D27" t="s">
        <v>167</v>
      </c>
      <c r="E27" t="s">
        <v>162</v>
      </c>
      <c r="F27" t="s">
        <v>173</v>
      </c>
      <c r="G27" t="s">
        <v>77</v>
      </c>
      <c r="H27" t="s">
        <v>78</v>
      </c>
      <c r="I27" t="s">
        <v>79</v>
      </c>
      <c r="J27">
        <v>4</v>
      </c>
      <c r="K27" s="2">
        <v>99</v>
      </c>
      <c r="L27" s="3">
        <v>0.1</v>
      </c>
      <c r="M27" s="2">
        <v>356.40000000000003</v>
      </c>
      <c r="N27" s="2">
        <v>231.66000000000003</v>
      </c>
      <c r="O27" s="2">
        <v>124.74000000000001</v>
      </c>
      <c r="P27" s="4">
        <v>0.35</v>
      </c>
      <c r="Q27" t="s">
        <v>169</v>
      </c>
    </row>
    <row r="28" spans="1:17" x14ac:dyDescent="0.3">
      <c r="A28" t="s">
        <v>210</v>
      </c>
      <c r="B28" s="1">
        <v>45834</v>
      </c>
      <c r="C28" t="s">
        <v>207</v>
      </c>
      <c r="D28" t="s">
        <v>177</v>
      </c>
      <c r="E28" t="s">
        <v>162</v>
      </c>
      <c r="F28" t="s">
        <v>186</v>
      </c>
      <c r="G28" t="s">
        <v>61</v>
      </c>
      <c r="H28" t="s">
        <v>62</v>
      </c>
      <c r="I28" t="s">
        <v>58</v>
      </c>
      <c r="J28">
        <v>3</v>
      </c>
      <c r="K28" s="2">
        <v>379</v>
      </c>
      <c r="L28" s="3">
        <v>0.1</v>
      </c>
      <c r="M28" s="2">
        <v>1023.3000000000001</v>
      </c>
      <c r="N28" s="2">
        <v>665.1450000000001</v>
      </c>
      <c r="O28" s="2">
        <v>358.15499999999997</v>
      </c>
      <c r="P28" s="4">
        <v>0.34999999999999992</v>
      </c>
      <c r="Q28" t="s">
        <v>169</v>
      </c>
    </row>
    <row r="29" spans="1:17" x14ac:dyDescent="0.3">
      <c r="A29" t="s">
        <v>211</v>
      </c>
      <c r="B29" s="1">
        <v>45701</v>
      </c>
      <c r="C29" t="s">
        <v>207</v>
      </c>
      <c r="D29" t="s">
        <v>177</v>
      </c>
      <c r="E29" t="s">
        <v>162</v>
      </c>
      <c r="F29" t="s">
        <v>173</v>
      </c>
      <c r="G29" t="s">
        <v>45</v>
      </c>
      <c r="H29" t="s">
        <v>46</v>
      </c>
      <c r="I29" t="s">
        <v>35</v>
      </c>
      <c r="J29">
        <v>6</v>
      </c>
      <c r="K29" s="2">
        <v>1199</v>
      </c>
      <c r="L29" s="3">
        <v>0</v>
      </c>
      <c r="M29" s="2">
        <v>7194</v>
      </c>
      <c r="N29" s="2">
        <v>4676.1000000000004</v>
      </c>
      <c r="O29" s="2">
        <v>2517.8999999999996</v>
      </c>
      <c r="P29" s="4">
        <v>0.34999999999999992</v>
      </c>
      <c r="Q29" t="s">
        <v>174</v>
      </c>
    </row>
    <row r="30" spans="1:17" x14ac:dyDescent="0.3">
      <c r="A30" t="s">
        <v>212</v>
      </c>
      <c r="B30" s="1">
        <v>45723</v>
      </c>
      <c r="C30" t="s">
        <v>166</v>
      </c>
      <c r="D30" t="s">
        <v>167</v>
      </c>
      <c r="E30" t="s">
        <v>168</v>
      </c>
      <c r="F30" t="s">
        <v>173</v>
      </c>
      <c r="G30" t="s">
        <v>102</v>
      </c>
      <c r="H30" t="s">
        <v>103</v>
      </c>
      <c r="I30" t="s">
        <v>101</v>
      </c>
      <c r="J30">
        <v>6</v>
      </c>
      <c r="K30" s="2">
        <v>290</v>
      </c>
      <c r="L30" s="3">
        <v>0.1</v>
      </c>
      <c r="M30" s="2">
        <v>1566</v>
      </c>
      <c r="N30" s="2">
        <v>1017.9000000000001</v>
      </c>
      <c r="O30" s="2">
        <v>548.09999999999991</v>
      </c>
      <c r="P30" s="4">
        <v>0.34999999999999992</v>
      </c>
      <c r="Q30" t="s">
        <v>164</v>
      </c>
    </row>
    <row r="31" spans="1:17" x14ac:dyDescent="0.3">
      <c r="A31" t="s">
        <v>213</v>
      </c>
      <c r="B31" s="1">
        <v>45341</v>
      </c>
      <c r="C31" t="s">
        <v>194</v>
      </c>
      <c r="D31" t="s">
        <v>177</v>
      </c>
      <c r="E31" t="s">
        <v>168</v>
      </c>
      <c r="F31" t="s">
        <v>186</v>
      </c>
      <c r="G31" t="s">
        <v>111</v>
      </c>
      <c r="H31" t="s">
        <v>112</v>
      </c>
      <c r="I31" t="s">
        <v>101</v>
      </c>
      <c r="J31">
        <v>7</v>
      </c>
      <c r="K31" s="2">
        <v>1800</v>
      </c>
      <c r="L31" s="3">
        <v>0</v>
      </c>
      <c r="M31" s="2">
        <v>12600</v>
      </c>
      <c r="N31" s="2">
        <v>8190</v>
      </c>
      <c r="O31" s="2">
        <v>4410</v>
      </c>
      <c r="P31" s="4">
        <v>0.35</v>
      </c>
      <c r="Q31" t="s">
        <v>174</v>
      </c>
    </row>
    <row r="32" spans="1:17" x14ac:dyDescent="0.3">
      <c r="A32" t="s">
        <v>214</v>
      </c>
      <c r="B32" s="1">
        <v>45832</v>
      </c>
      <c r="C32" t="s">
        <v>215</v>
      </c>
      <c r="D32" t="s">
        <v>167</v>
      </c>
      <c r="E32" t="s">
        <v>184</v>
      </c>
      <c r="F32" t="s">
        <v>163</v>
      </c>
      <c r="G32" t="s">
        <v>119</v>
      </c>
      <c r="H32" t="s">
        <v>120</v>
      </c>
      <c r="I32" t="s">
        <v>101</v>
      </c>
      <c r="J32">
        <v>9</v>
      </c>
      <c r="K32" s="2">
        <v>100</v>
      </c>
      <c r="L32" s="3">
        <v>0</v>
      </c>
      <c r="M32" s="2">
        <v>900</v>
      </c>
      <c r="N32" s="2">
        <v>585</v>
      </c>
      <c r="O32" s="2">
        <v>315</v>
      </c>
      <c r="P32" s="4">
        <v>0.35</v>
      </c>
      <c r="Q32" t="s">
        <v>164</v>
      </c>
    </row>
    <row r="33" spans="1:17" x14ac:dyDescent="0.3">
      <c r="A33" t="s">
        <v>216</v>
      </c>
      <c r="B33" s="1">
        <v>45825</v>
      </c>
      <c r="C33" t="s">
        <v>189</v>
      </c>
      <c r="D33" t="s">
        <v>167</v>
      </c>
      <c r="E33" t="s">
        <v>172</v>
      </c>
      <c r="F33" t="s">
        <v>163</v>
      </c>
      <c r="G33" t="s">
        <v>48</v>
      </c>
      <c r="H33" t="s">
        <v>49</v>
      </c>
      <c r="I33" t="s">
        <v>35</v>
      </c>
      <c r="J33">
        <v>9</v>
      </c>
      <c r="K33" s="2">
        <v>450</v>
      </c>
      <c r="L33" s="3">
        <v>0.05</v>
      </c>
      <c r="M33" s="2">
        <v>3847.5</v>
      </c>
      <c r="N33" s="2">
        <v>2500.875</v>
      </c>
      <c r="O33" s="2">
        <v>1346.625</v>
      </c>
      <c r="P33" s="4">
        <v>0.35</v>
      </c>
      <c r="Q33" t="s">
        <v>169</v>
      </c>
    </row>
    <row r="34" spans="1:17" x14ac:dyDescent="0.3">
      <c r="A34" t="s">
        <v>217</v>
      </c>
      <c r="B34" s="1">
        <v>45522</v>
      </c>
      <c r="C34" t="s">
        <v>171</v>
      </c>
      <c r="D34" t="s">
        <v>161</v>
      </c>
      <c r="E34" t="s">
        <v>172</v>
      </c>
      <c r="F34" t="s">
        <v>186</v>
      </c>
      <c r="G34" t="s">
        <v>59</v>
      </c>
      <c r="H34" t="s">
        <v>60</v>
      </c>
      <c r="I34" t="s">
        <v>58</v>
      </c>
      <c r="J34">
        <v>4</v>
      </c>
      <c r="K34" s="2">
        <v>249</v>
      </c>
      <c r="L34" s="3">
        <v>0.1</v>
      </c>
      <c r="M34" s="2">
        <v>896.4</v>
      </c>
      <c r="N34" s="2">
        <v>582.66</v>
      </c>
      <c r="O34" s="2">
        <v>313.74</v>
      </c>
      <c r="P34" s="4">
        <v>0.35000000000000003</v>
      </c>
      <c r="Q34" t="s">
        <v>169</v>
      </c>
    </row>
    <row r="35" spans="1:17" x14ac:dyDescent="0.3">
      <c r="A35" t="s">
        <v>218</v>
      </c>
      <c r="B35" s="1">
        <v>45420</v>
      </c>
      <c r="C35" t="s">
        <v>183</v>
      </c>
      <c r="D35" t="s">
        <v>161</v>
      </c>
      <c r="E35" t="s">
        <v>184</v>
      </c>
      <c r="F35" t="s">
        <v>173</v>
      </c>
      <c r="G35" t="s">
        <v>119</v>
      </c>
      <c r="H35" t="s">
        <v>120</v>
      </c>
      <c r="I35" t="s">
        <v>101</v>
      </c>
      <c r="J35">
        <v>2</v>
      </c>
      <c r="K35" s="2">
        <v>100</v>
      </c>
      <c r="L35" s="3">
        <v>0.1</v>
      </c>
      <c r="M35" s="2">
        <v>180</v>
      </c>
      <c r="N35" s="2">
        <v>117</v>
      </c>
      <c r="O35" s="2">
        <v>63</v>
      </c>
      <c r="P35" s="4">
        <v>0.35</v>
      </c>
      <c r="Q35" t="s">
        <v>169</v>
      </c>
    </row>
    <row r="36" spans="1:17" x14ac:dyDescent="0.3">
      <c r="A36" t="s">
        <v>219</v>
      </c>
      <c r="B36" s="1">
        <v>45453</v>
      </c>
      <c r="C36" t="s">
        <v>176</v>
      </c>
      <c r="D36" t="s">
        <v>177</v>
      </c>
      <c r="E36" t="s">
        <v>172</v>
      </c>
      <c r="F36" t="s">
        <v>173</v>
      </c>
      <c r="G36" t="s">
        <v>97</v>
      </c>
      <c r="H36" t="s">
        <v>98</v>
      </c>
      <c r="I36" t="s">
        <v>79</v>
      </c>
      <c r="J36">
        <v>2</v>
      </c>
      <c r="K36" s="2">
        <v>139</v>
      </c>
      <c r="L36" s="3">
        <v>0.05</v>
      </c>
      <c r="M36" s="2">
        <v>264.09999999999997</v>
      </c>
      <c r="N36" s="2">
        <v>171.66499999999999</v>
      </c>
      <c r="O36" s="2">
        <v>92.434999999999974</v>
      </c>
      <c r="P36" s="4">
        <v>0.34999999999999992</v>
      </c>
      <c r="Q36" t="s">
        <v>164</v>
      </c>
    </row>
    <row r="37" spans="1:17" x14ac:dyDescent="0.3">
      <c r="A37" t="s">
        <v>220</v>
      </c>
      <c r="B37" s="1">
        <v>45453</v>
      </c>
      <c r="C37" t="s">
        <v>181</v>
      </c>
      <c r="D37" t="s">
        <v>161</v>
      </c>
      <c r="E37" t="s">
        <v>168</v>
      </c>
      <c r="F37" t="s">
        <v>179</v>
      </c>
      <c r="G37" t="s">
        <v>48</v>
      </c>
      <c r="H37" t="s">
        <v>49</v>
      </c>
      <c r="I37" t="s">
        <v>35</v>
      </c>
      <c r="J37">
        <v>2</v>
      </c>
      <c r="K37" s="2">
        <v>450</v>
      </c>
      <c r="L37" s="3">
        <v>0.05</v>
      </c>
      <c r="M37" s="2">
        <v>855</v>
      </c>
      <c r="N37" s="2">
        <v>555.75</v>
      </c>
      <c r="O37" s="2">
        <v>299.25</v>
      </c>
      <c r="P37" s="4">
        <v>0.35</v>
      </c>
      <c r="Q37" t="s">
        <v>174</v>
      </c>
    </row>
    <row r="38" spans="1:17" x14ac:dyDescent="0.3">
      <c r="A38" t="s">
        <v>221</v>
      </c>
      <c r="B38" s="1">
        <v>45693</v>
      </c>
      <c r="C38" t="s">
        <v>194</v>
      </c>
      <c r="D38" t="s">
        <v>177</v>
      </c>
      <c r="E38" t="s">
        <v>168</v>
      </c>
      <c r="F38" t="s">
        <v>163</v>
      </c>
      <c r="G38" t="s">
        <v>30</v>
      </c>
      <c r="H38" t="s">
        <v>31</v>
      </c>
      <c r="I38" t="s">
        <v>11</v>
      </c>
      <c r="J38">
        <v>10</v>
      </c>
      <c r="K38" s="2">
        <v>800</v>
      </c>
      <c r="L38" s="3">
        <v>0.05</v>
      </c>
      <c r="M38" s="2">
        <v>7600</v>
      </c>
      <c r="N38" s="2">
        <v>4940</v>
      </c>
      <c r="O38" s="2">
        <v>2660</v>
      </c>
      <c r="P38" s="4">
        <v>0.35</v>
      </c>
      <c r="Q38" t="s">
        <v>164</v>
      </c>
    </row>
    <row r="39" spans="1:17" x14ac:dyDescent="0.3">
      <c r="A39" t="s">
        <v>222</v>
      </c>
      <c r="B39" s="1">
        <v>45492</v>
      </c>
      <c r="C39" t="s">
        <v>194</v>
      </c>
      <c r="D39" t="s">
        <v>177</v>
      </c>
      <c r="E39" t="s">
        <v>168</v>
      </c>
      <c r="F39" t="s">
        <v>186</v>
      </c>
      <c r="G39" t="s">
        <v>81</v>
      </c>
      <c r="H39" t="s">
        <v>82</v>
      </c>
      <c r="I39" t="s">
        <v>79</v>
      </c>
      <c r="J39">
        <v>3</v>
      </c>
      <c r="K39" s="2">
        <v>169</v>
      </c>
      <c r="L39" s="3">
        <v>0.05</v>
      </c>
      <c r="M39" s="2">
        <v>481.65</v>
      </c>
      <c r="N39" s="2">
        <v>313.07249999999999</v>
      </c>
      <c r="O39" s="2">
        <v>168.57749999999999</v>
      </c>
      <c r="P39" s="4">
        <v>0.35</v>
      </c>
      <c r="Q39" t="s">
        <v>174</v>
      </c>
    </row>
    <row r="40" spans="1:17" x14ac:dyDescent="0.3">
      <c r="A40" t="s">
        <v>223</v>
      </c>
      <c r="B40" s="1">
        <v>45538</v>
      </c>
      <c r="C40" t="s">
        <v>181</v>
      </c>
      <c r="D40" t="s">
        <v>161</v>
      </c>
      <c r="E40" t="s">
        <v>168</v>
      </c>
      <c r="F40" t="s">
        <v>179</v>
      </c>
      <c r="G40" t="s">
        <v>84</v>
      </c>
      <c r="H40" t="s">
        <v>85</v>
      </c>
      <c r="I40" t="s">
        <v>79</v>
      </c>
      <c r="J40">
        <v>6</v>
      </c>
      <c r="K40" s="2">
        <v>199</v>
      </c>
      <c r="L40" s="3">
        <v>0.1</v>
      </c>
      <c r="M40" s="2">
        <v>1074.6000000000001</v>
      </c>
      <c r="N40" s="2">
        <v>698.49000000000012</v>
      </c>
      <c r="O40" s="2">
        <v>376.11</v>
      </c>
      <c r="P40" s="4">
        <v>0.35</v>
      </c>
      <c r="Q40" t="s">
        <v>174</v>
      </c>
    </row>
    <row r="41" spans="1:17" x14ac:dyDescent="0.3">
      <c r="A41" t="s">
        <v>224</v>
      </c>
      <c r="B41" s="1">
        <v>45424</v>
      </c>
      <c r="C41" t="s">
        <v>191</v>
      </c>
      <c r="D41" t="s">
        <v>167</v>
      </c>
      <c r="E41" t="s">
        <v>162</v>
      </c>
      <c r="F41" t="s">
        <v>173</v>
      </c>
      <c r="G41" t="s">
        <v>90</v>
      </c>
      <c r="H41" t="s">
        <v>91</v>
      </c>
      <c r="I41" t="s">
        <v>79</v>
      </c>
      <c r="J41">
        <v>2</v>
      </c>
      <c r="K41" s="2">
        <v>190</v>
      </c>
      <c r="L41" s="3">
        <v>0</v>
      </c>
      <c r="M41" s="2">
        <v>380</v>
      </c>
      <c r="N41" s="2">
        <v>247</v>
      </c>
      <c r="O41" s="2">
        <v>133</v>
      </c>
      <c r="P41" s="4">
        <v>0.35</v>
      </c>
      <c r="Q41" t="s">
        <v>174</v>
      </c>
    </row>
    <row r="42" spans="1:17" x14ac:dyDescent="0.3">
      <c r="A42" t="s">
        <v>225</v>
      </c>
      <c r="B42" s="1">
        <v>45457</v>
      </c>
      <c r="C42" t="s">
        <v>194</v>
      </c>
      <c r="D42" t="s">
        <v>177</v>
      </c>
      <c r="E42" t="s">
        <v>168</v>
      </c>
      <c r="F42" t="s">
        <v>186</v>
      </c>
      <c r="G42" t="s">
        <v>102</v>
      </c>
      <c r="H42" t="s">
        <v>103</v>
      </c>
      <c r="I42" t="s">
        <v>101</v>
      </c>
      <c r="J42">
        <v>4</v>
      </c>
      <c r="K42" s="2">
        <v>290</v>
      </c>
      <c r="L42" s="3">
        <v>0.1</v>
      </c>
      <c r="M42" s="2">
        <v>1044</v>
      </c>
      <c r="N42" s="2">
        <v>678.6</v>
      </c>
      <c r="O42" s="2">
        <v>365.4</v>
      </c>
      <c r="P42" s="4">
        <v>0.35</v>
      </c>
      <c r="Q42" t="s">
        <v>164</v>
      </c>
    </row>
    <row r="43" spans="1:17" x14ac:dyDescent="0.3">
      <c r="A43" t="s">
        <v>226</v>
      </c>
      <c r="B43" s="1">
        <v>45535</v>
      </c>
      <c r="C43" t="s">
        <v>194</v>
      </c>
      <c r="D43" t="s">
        <v>177</v>
      </c>
      <c r="E43" t="s">
        <v>168</v>
      </c>
      <c r="F43" t="s">
        <v>186</v>
      </c>
      <c r="G43" t="s">
        <v>81</v>
      </c>
      <c r="H43" t="s">
        <v>82</v>
      </c>
      <c r="I43" t="s">
        <v>79</v>
      </c>
      <c r="J43">
        <v>5</v>
      </c>
      <c r="K43" s="2">
        <v>169</v>
      </c>
      <c r="L43" s="3">
        <v>0.05</v>
      </c>
      <c r="M43" s="2">
        <v>802.75</v>
      </c>
      <c r="N43" s="2">
        <v>521.78750000000002</v>
      </c>
      <c r="O43" s="2">
        <v>280.96249999999998</v>
      </c>
      <c r="P43" s="4">
        <v>0.35</v>
      </c>
      <c r="Q43" t="s">
        <v>164</v>
      </c>
    </row>
    <row r="44" spans="1:17" x14ac:dyDescent="0.3">
      <c r="A44" t="s">
        <v>227</v>
      </c>
      <c r="B44" s="1">
        <v>45306</v>
      </c>
      <c r="C44" t="s">
        <v>183</v>
      </c>
      <c r="D44" t="s">
        <v>161</v>
      </c>
      <c r="E44" t="s">
        <v>184</v>
      </c>
      <c r="F44" t="s">
        <v>179</v>
      </c>
      <c r="G44" t="s">
        <v>30</v>
      </c>
      <c r="H44" t="s">
        <v>31</v>
      </c>
      <c r="I44" t="s">
        <v>11</v>
      </c>
      <c r="J44">
        <v>7</v>
      </c>
      <c r="K44" s="2">
        <v>800</v>
      </c>
      <c r="L44" s="3">
        <v>0</v>
      </c>
      <c r="M44" s="2">
        <v>5600</v>
      </c>
      <c r="N44" s="2">
        <v>3640</v>
      </c>
      <c r="O44" s="2">
        <v>1960</v>
      </c>
      <c r="P44" s="4">
        <v>0.35</v>
      </c>
      <c r="Q44" t="s">
        <v>169</v>
      </c>
    </row>
    <row r="45" spans="1:17" x14ac:dyDescent="0.3">
      <c r="A45" t="s">
        <v>228</v>
      </c>
      <c r="B45" s="1">
        <v>45363</v>
      </c>
      <c r="C45" t="s">
        <v>215</v>
      </c>
      <c r="D45" t="s">
        <v>167</v>
      </c>
      <c r="E45" t="s">
        <v>184</v>
      </c>
      <c r="F45" t="s">
        <v>173</v>
      </c>
      <c r="G45" t="s">
        <v>53</v>
      </c>
      <c r="H45" t="s">
        <v>54</v>
      </c>
      <c r="I45" t="s">
        <v>35</v>
      </c>
      <c r="J45">
        <v>6</v>
      </c>
      <c r="K45" s="2">
        <v>320</v>
      </c>
      <c r="L45" s="3">
        <v>0.1</v>
      </c>
      <c r="M45" s="2">
        <v>1728</v>
      </c>
      <c r="N45" s="2">
        <v>1123.2</v>
      </c>
      <c r="O45" s="2">
        <v>604.79999999999995</v>
      </c>
      <c r="P45" s="4">
        <v>0.35</v>
      </c>
      <c r="Q45" t="s">
        <v>169</v>
      </c>
    </row>
    <row r="46" spans="1:17" x14ac:dyDescent="0.3">
      <c r="A46" t="s">
        <v>229</v>
      </c>
      <c r="B46" s="1">
        <v>45437</v>
      </c>
      <c r="C46" t="s">
        <v>160</v>
      </c>
      <c r="D46" t="s">
        <v>161</v>
      </c>
      <c r="E46" t="s">
        <v>162</v>
      </c>
      <c r="F46" t="s">
        <v>179</v>
      </c>
      <c r="G46" t="s">
        <v>61</v>
      </c>
      <c r="H46" t="s">
        <v>62</v>
      </c>
      <c r="I46" t="s">
        <v>58</v>
      </c>
      <c r="J46">
        <v>10</v>
      </c>
      <c r="K46" s="2">
        <v>379</v>
      </c>
      <c r="L46" s="3">
        <v>0</v>
      </c>
      <c r="M46" s="2">
        <v>3790</v>
      </c>
      <c r="N46" s="2">
        <v>2463.5</v>
      </c>
      <c r="O46" s="2">
        <v>1326.5</v>
      </c>
      <c r="P46" s="4">
        <v>0.35</v>
      </c>
      <c r="Q46" t="s">
        <v>169</v>
      </c>
    </row>
    <row r="47" spans="1:17" x14ac:dyDescent="0.3">
      <c r="A47" t="s">
        <v>230</v>
      </c>
      <c r="B47" s="1">
        <v>45300</v>
      </c>
      <c r="C47" t="s">
        <v>171</v>
      </c>
      <c r="D47" t="s">
        <v>161</v>
      </c>
      <c r="E47" t="s">
        <v>172</v>
      </c>
      <c r="F47" t="s">
        <v>186</v>
      </c>
      <c r="G47" t="s">
        <v>48</v>
      </c>
      <c r="H47" t="s">
        <v>49</v>
      </c>
      <c r="I47" t="s">
        <v>35</v>
      </c>
      <c r="J47">
        <v>4</v>
      </c>
      <c r="K47" s="2">
        <v>450</v>
      </c>
      <c r="L47" s="3">
        <v>0.05</v>
      </c>
      <c r="M47" s="2">
        <v>1710</v>
      </c>
      <c r="N47" s="2">
        <v>1111.5</v>
      </c>
      <c r="O47" s="2">
        <v>598.5</v>
      </c>
      <c r="P47" s="4">
        <v>0.35</v>
      </c>
      <c r="Q47" t="s">
        <v>169</v>
      </c>
    </row>
    <row r="48" spans="1:17" x14ac:dyDescent="0.3">
      <c r="A48" t="s">
        <v>231</v>
      </c>
      <c r="B48" s="1">
        <v>45767</v>
      </c>
      <c r="C48" t="s">
        <v>201</v>
      </c>
      <c r="D48" t="s">
        <v>177</v>
      </c>
      <c r="E48" t="s">
        <v>184</v>
      </c>
      <c r="F48" t="s">
        <v>179</v>
      </c>
      <c r="G48" t="s">
        <v>95</v>
      </c>
      <c r="H48" t="s">
        <v>96</v>
      </c>
      <c r="I48" t="s">
        <v>79</v>
      </c>
      <c r="J48">
        <v>8</v>
      </c>
      <c r="K48" s="2">
        <v>30</v>
      </c>
      <c r="L48" s="3">
        <v>0</v>
      </c>
      <c r="M48" s="2">
        <v>240</v>
      </c>
      <c r="N48" s="2">
        <v>156</v>
      </c>
      <c r="O48" s="2">
        <v>84</v>
      </c>
      <c r="P48" s="4">
        <v>0.35</v>
      </c>
      <c r="Q48" t="s">
        <v>164</v>
      </c>
    </row>
    <row r="49" spans="1:17" x14ac:dyDescent="0.3">
      <c r="A49" t="s">
        <v>232</v>
      </c>
      <c r="B49" s="1">
        <v>45436</v>
      </c>
      <c r="C49" t="s">
        <v>160</v>
      </c>
      <c r="D49" t="s">
        <v>161</v>
      </c>
      <c r="E49" t="s">
        <v>162</v>
      </c>
      <c r="F49" t="s">
        <v>173</v>
      </c>
      <c r="G49" t="s">
        <v>64</v>
      </c>
      <c r="H49" t="s">
        <v>65</v>
      </c>
      <c r="I49" t="s">
        <v>58</v>
      </c>
      <c r="J49">
        <v>2</v>
      </c>
      <c r="K49" s="2">
        <v>350</v>
      </c>
      <c r="L49" s="3">
        <v>0.1</v>
      </c>
      <c r="M49" s="2">
        <v>630</v>
      </c>
      <c r="N49" s="2">
        <v>409.5</v>
      </c>
      <c r="O49" s="2">
        <v>220.5</v>
      </c>
      <c r="P49" s="4">
        <v>0.35</v>
      </c>
      <c r="Q49" t="s">
        <v>174</v>
      </c>
    </row>
    <row r="50" spans="1:17" x14ac:dyDescent="0.3">
      <c r="A50" t="s">
        <v>233</v>
      </c>
      <c r="B50" s="1">
        <v>45310</v>
      </c>
      <c r="C50" t="s">
        <v>181</v>
      </c>
      <c r="D50" t="s">
        <v>161</v>
      </c>
      <c r="E50" t="s">
        <v>168</v>
      </c>
      <c r="F50" t="s">
        <v>179</v>
      </c>
      <c r="G50" t="s">
        <v>22</v>
      </c>
      <c r="H50" t="s">
        <v>23</v>
      </c>
      <c r="I50" t="s">
        <v>11</v>
      </c>
      <c r="J50">
        <v>8</v>
      </c>
      <c r="K50" s="2">
        <v>899</v>
      </c>
      <c r="L50" s="3">
        <v>0.1</v>
      </c>
      <c r="M50" s="2">
        <v>6472.8</v>
      </c>
      <c r="N50" s="2">
        <v>4207.3200000000006</v>
      </c>
      <c r="O50" s="2">
        <v>2265.4799999999996</v>
      </c>
      <c r="P50" s="4">
        <v>0.34999999999999992</v>
      </c>
      <c r="Q50" t="s">
        <v>164</v>
      </c>
    </row>
    <row r="51" spans="1:17" x14ac:dyDescent="0.3">
      <c r="A51" t="s">
        <v>234</v>
      </c>
      <c r="B51" s="1">
        <v>45702</v>
      </c>
      <c r="C51" t="s">
        <v>171</v>
      </c>
      <c r="D51" t="s">
        <v>161</v>
      </c>
      <c r="E51" t="s">
        <v>172</v>
      </c>
      <c r="F51" t="s">
        <v>173</v>
      </c>
      <c r="G51" t="s">
        <v>19</v>
      </c>
      <c r="H51" t="s">
        <v>20</v>
      </c>
      <c r="I51" t="s">
        <v>11</v>
      </c>
      <c r="J51">
        <v>8</v>
      </c>
      <c r="K51" s="2">
        <v>1500</v>
      </c>
      <c r="L51" s="3">
        <v>0.1</v>
      </c>
      <c r="M51" s="2">
        <v>10800</v>
      </c>
      <c r="N51" s="2">
        <v>7020</v>
      </c>
      <c r="O51" s="2">
        <v>3780</v>
      </c>
      <c r="P51" s="4">
        <v>0.35</v>
      </c>
      <c r="Q51" t="s">
        <v>174</v>
      </c>
    </row>
    <row r="52" spans="1:17" x14ac:dyDescent="0.3">
      <c r="A52" t="s">
        <v>235</v>
      </c>
      <c r="B52" s="1">
        <v>45722</v>
      </c>
      <c r="C52" t="s">
        <v>191</v>
      </c>
      <c r="D52" t="s">
        <v>167</v>
      </c>
      <c r="E52" t="s">
        <v>162</v>
      </c>
      <c r="F52" t="s">
        <v>163</v>
      </c>
      <c r="G52" t="s">
        <v>87</v>
      </c>
      <c r="H52" t="s">
        <v>88</v>
      </c>
      <c r="I52" t="s">
        <v>79</v>
      </c>
      <c r="J52">
        <v>3</v>
      </c>
      <c r="K52" s="2">
        <v>549</v>
      </c>
      <c r="L52" s="3">
        <v>0.05</v>
      </c>
      <c r="M52" s="2">
        <v>1564.6499999999999</v>
      </c>
      <c r="N52" s="2">
        <v>1017.0224999999999</v>
      </c>
      <c r="O52" s="2">
        <v>547.62749999999994</v>
      </c>
      <c r="P52" s="4">
        <v>0.35</v>
      </c>
      <c r="Q52" t="s">
        <v>164</v>
      </c>
    </row>
    <row r="53" spans="1:17" x14ac:dyDescent="0.3">
      <c r="A53" t="s">
        <v>236</v>
      </c>
      <c r="B53" s="1">
        <v>45608</v>
      </c>
      <c r="C53" t="s">
        <v>176</v>
      </c>
      <c r="D53" t="s">
        <v>177</v>
      </c>
      <c r="E53" t="s">
        <v>172</v>
      </c>
      <c r="F53" t="s">
        <v>186</v>
      </c>
      <c r="G53" t="s">
        <v>90</v>
      </c>
      <c r="H53" t="s">
        <v>91</v>
      </c>
      <c r="I53" t="s">
        <v>79</v>
      </c>
      <c r="J53">
        <v>4</v>
      </c>
      <c r="K53" s="2">
        <v>190</v>
      </c>
      <c r="L53" s="3">
        <v>0.05</v>
      </c>
      <c r="M53" s="2">
        <v>722</v>
      </c>
      <c r="N53" s="2">
        <v>469.3</v>
      </c>
      <c r="O53" s="2">
        <v>252.7</v>
      </c>
      <c r="P53" s="4">
        <v>0.35</v>
      </c>
      <c r="Q53" t="s">
        <v>174</v>
      </c>
    </row>
    <row r="54" spans="1:17" x14ac:dyDescent="0.3">
      <c r="A54" t="s">
        <v>237</v>
      </c>
      <c r="B54" s="1">
        <v>45617</v>
      </c>
      <c r="C54" t="s">
        <v>189</v>
      </c>
      <c r="D54" t="s">
        <v>167</v>
      </c>
      <c r="E54" t="s">
        <v>172</v>
      </c>
      <c r="F54" t="s">
        <v>179</v>
      </c>
      <c r="G54" t="s">
        <v>99</v>
      </c>
      <c r="H54" t="s">
        <v>100</v>
      </c>
      <c r="I54" t="s">
        <v>101</v>
      </c>
      <c r="J54">
        <v>10</v>
      </c>
      <c r="K54" s="2">
        <v>320</v>
      </c>
      <c r="L54" s="3">
        <v>0.05</v>
      </c>
      <c r="M54" s="2">
        <v>3040</v>
      </c>
      <c r="N54" s="2">
        <v>1976</v>
      </c>
      <c r="O54" s="2">
        <v>1064</v>
      </c>
      <c r="P54" s="4">
        <v>0.35</v>
      </c>
      <c r="Q54" t="s">
        <v>174</v>
      </c>
    </row>
    <row r="55" spans="1:17" x14ac:dyDescent="0.3">
      <c r="A55" t="s">
        <v>238</v>
      </c>
      <c r="B55" s="1">
        <v>45589</v>
      </c>
      <c r="C55" t="s">
        <v>181</v>
      </c>
      <c r="D55" t="s">
        <v>161</v>
      </c>
      <c r="E55" t="s">
        <v>168</v>
      </c>
      <c r="F55" t="s">
        <v>186</v>
      </c>
      <c r="G55" t="s">
        <v>53</v>
      </c>
      <c r="H55" t="s">
        <v>54</v>
      </c>
      <c r="I55" t="s">
        <v>35</v>
      </c>
      <c r="J55">
        <v>4</v>
      </c>
      <c r="K55" s="2">
        <v>320</v>
      </c>
      <c r="L55" s="3">
        <v>0.1</v>
      </c>
      <c r="M55" s="2">
        <v>1152</v>
      </c>
      <c r="N55" s="2">
        <v>748.80000000000007</v>
      </c>
      <c r="O55" s="2">
        <v>403.19999999999993</v>
      </c>
      <c r="P55" s="4">
        <v>0.34999999999999992</v>
      </c>
      <c r="Q55" t="s">
        <v>169</v>
      </c>
    </row>
    <row r="56" spans="1:17" x14ac:dyDescent="0.3">
      <c r="A56" t="s">
        <v>239</v>
      </c>
      <c r="B56" s="1">
        <v>45405</v>
      </c>
      <c r="C56" t="s">
        <v>171</v>
      </c>
      <c r="D56" t="s">
        <v>161</v>
      </c>
      <c r="E56" t="s">
        <v>172</v>
      </c>
      <c r="F56" t="s">
        <v>173</v>
      </c>
      <c r="G56" t="s">
        <v>13</v>
      </c>
      <c r="H56" t="s">
        <v>14</v>
      </c>
      <c r="I56" t="s">
        <v>11</v>
      </c>
      <c r="J56">
        <v>5</v>
      </c>
      <c r="K56" s="2">
        <v>1350</v>
      </c>
      <c r="L56" s="3">
        <v>0.1</v>
      </c>
      <c r="M56" s="2">
        <v>6075</v>
      </c>
      <c r="N56" s="2">
        <v>3948.75</v>
      </c>
      <c r="O56" s="2">
        <v>2126.25</v>
      </c>
      <c r="P56" s="4">
        <v>0.35</v>
      </c>
      <c r="Q56" t="s">
        <v>164</v>
      </c>
    </row>
    <row r="57" spans="1:17" x14ac:dyDescent="0.3">
      <c r="A57" t="s">
        <v>240</v>
      </c>
      <c r="B57" s="1">
        <v>45514</v>
      </c>
      <c r="C57" t="s">
        <v>166</v>
      </c>
      <c r="D57" t="s">
        <v>167</v>
      </c>
      <c r="E57" t="s">
        <v>168</v>
      </c>
      <c r="F57" t="s">
        <v>179</v>
      </c>
      <c r="G57" t="s">
        <v>39</v>
      </c>
      <c r="H57" t="s">
        <v>40</v>
      </c>
      <c r="I57" t="s">
        <v>35</v>
      </c>
      <c r="J57">
        <v>3</v>
      </c>
      <c r="K57" s="2">
        <v>999</v>
      </c>
      <c r="L57" s="3">
        <v>0</v>
      </c>
      <c r="M57" s="2">
        <v>2997</v>
      </c>
      <c r="N57" s="2">
        <v>1948.05</v>
      </c>
      <c r="O57" s="2">
        <v>1048.95</v>
      </c>
      <c r="P57" s="4">
        <v>0.35000000000000003</v>
      </c>
      <c r="Q57" t="s">
        <v>169</v>
      </c>
    </row>
    <row r="58" spans="1:17" x14ac:dyDescent="0.3">
      <c r="A58" t="s">
        <v>241</v>
      </c>
      <c r="B58" s="1">
        <v>45567</v>
      </c>
      <c r="C58" t="s">
        <v>191</v>
      </c>
      <c r="D58" t="s">
        <v>167</v>
      </c>
      <c r="E58" t="s">
        <v>162</v>
      </c>
      <c r="F58" t="s">
        <v>173</v>
      </c>
      <c r="G58" t="s">
        <v>22</v>
      </c>
      <c r="H58" t="s">
        <v>23</v>
      </c>
      <c r="I58" t="s">
        <v>11</v>
      </c>
      <c r="J58">
        <v>5</v>
      </c>
      <c r="K58" s="2">
        <v>899</v>
      </c>
      <c r="L58" s="3">
        <v>0.1</v>
      </c>
      <c r="M58" s="2">
        <v>4045.5</v>
      </c>
      <c r="N58" s="2">
        <v>2629.5750000000003</v>
      </c>
      <c r="O58" s="2">
        <v>1415.9249999999997</v>
      </c>
      <c r="P58" s="4">
        <v>0.34999999999999992</v>
      </c>
      <c r="Q58" t="s">
        <v>164</v>
      </c>
    </row>
    <row r="59" spans="1:17" x14ac:dyDescent="0.3">
      <c r="A59" t="s">
        <v>242</v>
      </c>
      <c r="B59" s="1">
        <v>45709</v>
      </c>
      <c r="C59" t="s">
        <v>160</v>
      </c>
      <c r="D59" t="s">
        <v>161</v>
      </c>
      <c r="E59" t="s">
        <v>162</v>
      </c>
      <c r="F59" t="s">
        <v>173</v>
      </c>
      <c r="G59" t="s">
        <v>87</v>
      </c>
      <c r="H59" t="s">
        <v>88</v>
      </c>
      <c r="I59" t="s">
        <v>79</v>
      </c>
      <c r="J59">
        <v>4</v>
      </c>
      <c r="K59" s="2">
        <v>549</v>
      </c>
      <c r="L59" s="3">
        <v>0.05</v>
      </c>
      <c r="M59" s="2">
        <v>2086.1999999999998</v>
      </c>
      <c r="N59" s="2">
        <v>1356.03</v>
      </c>
      <c r="O59" s="2">
        <v>730.16999999999985</v>
      </c>
      <c r="P59" s="4">
        <v>0.35</v>
      </c>
      <c r="Q59" t="s">
        <v>164</v>
      </c>
    </row>
    <row r="60" spans="1:17" x14ac:dyDescent="0.3">
      <c r="A60" t="s">
        <v>243</v>
      </c>
      <c r="B60" s="1">
        <v>45488</v>
      </c>
      <c r="C60" t="s">
        <v>181</v>
      </c>
      <c r="D60" t="s">
        <v>161</v>
      </c>
      <c r="E60" t="s">
        <v>168</v>
      </c>
      <c r="F60" t="s">
        <v>173</v>
      </c>
      <c r="G60" t="s">
        <v>95</v>
      </c>
      <c r="H60" t="s">
        <v>96</v>
      </c>
      <c r="I60" t="s">
        <v>79</v>
      </c>
      <c r="J60">
        <v>8</v>
      </c>
      <c r="K60" s="2">
        <v>30</v>
      </c>
      <c r="L60" s="3">
        <v>0.1</v>
      </c>
      <c r="M60" s="2">
        <v>216</v>
      </c>
      <c r="N60" s="2">
        <v>140.4</v>
      </c>
      <c r="O60" s="2">
        <v>75.599999999999994</v>
      </c>
      <c r="P60" s="4">
        <v>0.35</v>
      </c>
      <c r="Q60" t="s">
        <v>164</v>
      </c>
    </row>
    <row r="61" spans="1:17" x14ac:dyDescent="0.3">
      <c r="A61" t="s">
        <v>244</v>
      </c>
      <c r="B61" s="1">
        <v>45713</v>
      </c>
      <c r="C61" t="s">
        <v>201</v>
      </c>
      <c r="D61" t="s">
        <v>177</v>
      </c>
      <c r="E61" t="s">
        <v>184</v>
      </c>
      <c r="F61" t="s">
        <v>186</v>
      </c>
      <c r="G61" t="s">
        <v>87</v>
      </c>
      <c r="H61" t="s">
        <v>88</v>
      </c>
      <c r="I61" t="s">
        <v>79</v>
      </c>
      <c r="J61">
        <v>5</v>
      </c>
      <c r="K61" s="2">
        <v>549</v>
      </c>
      <c r="L61" s="3">
        <v>0.1</v>
      </c>
      <c r="M61" s="2">
        <v>2470.5</v>
      </c>
      <c r="N61" s="2">
        <v>1605.825</v>
      </c>
      <c r="O61" s="2">
        <v>864.67499999999995</v>
      </c>
      <c r="P61" s="4">
        <v>0.35</v>
      </c>
      <c r="Q61" t="s">
        <v>164</v>
      </c>
    </row>
    <row r="62" spans="1:17" x14ac:dyDescent="0.3">
      <c r="A62" t="s">
        <v>245</v>
      </c>
      <c r="B62" s="1">
        <v>45601</v>
      </c>
      <c r="C62" t="s">
        <v>201</v>
      </c>
      <c r="D62" t="s">
        <v>177</v>
      </c>
      <c r="E62" t="s">
        <v>184</v>
      </c>
      <c r="F62" t="s">
        <v>186</v>
      </c>
      <c r="G62" t="s">
        <v>93</v>
      </c>
      <c r="H62" t="s">
        <v>94</v>
      </c>
      <c r="I62" t="s">
        <v>79</v>
      </c>
      <c r="J62">
        <v>9</v>
      </c>
      <c r="K62" s="2">
        <v>39</v>
      </c>
      <c r="L62" s="3">
        <v>0</v>
      </c>
      <c r="M62" s="2">
        <v>351</v>
      </c>
      <c r="N62" s="2">
        <v>228.15</v>
      </c>
      <c r="O62" s="2">
        <v>122.85</v>
      </c>
      <c r="P62" s="4">
        <v>0.35</v>
      </c>
      <c r="Q62" t="s">
        <v>169</v>
      </c>
    </row>
    <row r="63" spans="1:17" x14ac:dyDescent="0.3">
      <c r="A63" t="s">
        <v>246</v>
      </c>
      <c r="B63" s="1">
        <v>45602</v>
      </c>
      <c r="C63" t="s">
        <v>171</v>
      </c>
      <c r="D63" t="s">
        <v>161</v>
      </c>
      <c r="E63" t="s">
        <v>172</v>
      </c>
      <c r="F63" t="s">
        <v>186</v>
      </c>
      <c r="G63" t="s">
        <v>13</v>
      </c>
      <c r="H63" t="s">
        <v>14</v>
      </c>
      <c r="I63" t="s">
        <v>11</v>
      </c>
      <c r="J63">
        <v>1</v>
      </c>
      <c r="K63" s="2">
        <v>1350</v>
      </c>
      <c r="L63" s="3">
        <v>0.1</v>
      </c>
      <c r="M63" s="2">
        <v>1215</v>
      </c>
      <c r="N63" s="2">
        <v>789.75</v>
      </c>
      <c r="O63" s="2">
        <v>425.25</v>
      </c>
      <c r="P63" s="4">
        <v>0.35</v>
      </c>
      <c r="Q63" t="s">
        <v>174</v>
      </c>
    </row>
    <row r="64" spans="1:17" x14ac:dyDescent="0.3">
      <c r="A64" t="s">
        <v>247</v>
      </c>
      <c r="B64" s="1">
        <v>45383</v>
      </c>
      <c r="C64" t="s">
        <v>183</v>
      </c>
      <c r="D64" t="s">
        <v>161</v>
      </c>
      <c r="E64" t="s">
        <v>184</v>
      </c>
      <c r="F64" t="s">
        <v>186</v>
      </c>
      <c r="G64" t="s">
        <v>84</v>
      </c>
      <c r="H64" t="s">
        <v>85</v>
      </c>
      <c r="I64" t="s">
        <v>79</v>
      </c>
      <c r="J64">
        <v>3</v>
      </c>
      <c r="K64" s="2">
        <v>199</v>
      </c>
      <c r="L64" s="3">
        <v>0.05</v>
      </c>
      <c r="M64" s="2">
        <v>567.15</v>
      </c>
      <c r="N64" s="2">
        <v>368.64749999999998</v>
      </c>
      <c r="O64" s="2">
        <v>198.5025</v>
      </c>
      <c r="P64" s="4">
        <v>0.35000000000000003</v>
      </c>
      <c r="Q64" t="s">
        <v>169</v>
      </c>
    </row>
    <row r="65" spans="1:17" x14ac:dyDescent="0.3">
      <c r="A65" t="s">
        <v>248</v>
      </c>
      <c r="B65" s="1">
        <v>45516</v>
      </c>
      <c r="C65" t="s">
        <v>166</v>
      </c>
      <c r="D65" t="s">
        <v>167</v>
      </c>
      <c r="E65" t="s">
        <v>168</v>
      </c>
      <c r="F65" t="s">
        <v>186</v>
      </c>
      <c r="G65" t="s">
        <v>67</v>
      </c>
      <c r="H65" t="s">
        <v>68</v>
      </c>
      <c r="I65" t="s">
        <v>58</v>
      </c>
      <c r="J65">
        <v>5</v>
      </c>
      <c r="K65" s="2">
        <v>129</v>
      </c>
      <c r="L65" s="3">
        <v>0.05</v>
      </c>
      <c r="M65" s="2">
        <v>612.75</v>
      </c>
      <c r="N65" s="2">
        <v>398.28750000000002</v>
      </c>
      <c r="O65" s="2">
        <v>214.46249999999998</v>
      </c>
      <c r="P65" s="4">
        <v>0.35</v>
      </c>
      <c r="Q65" t="s">
        <v>169</v>
      </c>
    </row>
    <row r="66" spans="1:17" x14ac:dyDescent="0.3">
      <c r="A66" t="s">
        <v>249</v>
      </c>
      <c r="B66" s="1">
        <v>45429</v>
      </c>
      <c r="C66" t="s">
        <v>183</v>
      </c>
      <c r="D66" t="s">
        <v>161</v>
      </c>
      <c r="E66" t="s">
        <v>184</v>
      </c>
      <c r="F66" t="s">
        <v>163</v>
      </c>
      <c r="G66" t="s">
        <v>30</v>
      </c>
      <c r="H66" t="s">
        <v>31</v>
      </c>
      <c r="I66" t="s">
        <v>11</v>
      </c>
      <c r="J66">
        <v>4</v>
      </c>
      <c r="K66" s="2">
        <v>800</v>
      </c>
      <c r="L66" s="3">
        <v>0.1</v>
      </c>
      <c r="M66" s="2">
        <v>2880</v>
      </c>
      <c r="N66" s="2">
        <v>1872</v>
      </c>
      <c r="O66" s="2">
        <v>1008</v>
      </c>
      <c r="P66" s="4">
        <v>0.35</v>
      </c>
      <c r="Q66" t="s">
        <v>164</v>
      </c>
    </row>
    <row r="67" spans="1:17" x14ac:dyDescent="0.3">
      <c r="A67" t="s">
        <v>250</v>
      </c>
      <c r="B67" s="1">
        <v>45741</v>
      </c>
      <c r="C67" t="s">
        <v>176</v>
      </c>
      <c r="D67" t="s">
        <v>177</v>
      </c>
      <c r="E67" t="s">
        <v>172</v>
      </c>
      <c r="F67" t="s">
        <v>186</v>
      </c>
      <c r="G67" t="s">
        <v>27</v>
      </c>
      <c r="H67" t="s">
        <v>28</v>
      </c>
      <c r="I67" t="s">
        <v>11</v>
      </c>
      <c r="J67">
        <v>7</v>
      </c>
      <c r="K67" s="2">
        <v>750</v>
      </c>
      <c r="L67" s="3">
        <v>0.05</v>
      </c>
      <c r="M67" s="2">
        <v>4987.5</v>
      </c>
      <c r="N67" s="2">
        <v>3241.875</v>
      </c>
      <c r="O67" s="2">
        <v>1745.625</v>
      </c>
      <c r="P67" s="4">
        <v>0.35</v>
      </c>
      <c r="Q67" t="s">
        <v>169</v>
      </c>
    </row>
    <row r="68" spans="1:17" x14ac:dyDescent="0.3">
      <c r="A68" t="s">
        <v>251</v>
      </c>
      <c r="B68" s="1">
        <v>45708</v>
      </c>
      <c r="C68" t="s">
        <v>176</v>
      </c>
      <c r="D68" t="s">
        <v>177</v>
      </c>
      <c r="E68" t="s">
        <v>172</v>
      </c>
      <c r="F68" t="s">
        <v>173</v>
      </c>
      <c r="G68" t="s">
        <v>53</v>
      </c>
      <c r="H68" t="s">
        <v>54</v>
      </c>
      <c r="I68" t="s">
        <v>35</v>
      </c>
      <c r="J68">
        <v>1</v>
      </c>
      <c r="K68" s="2">
        <v>320</v>
      </c>
      <c r="L68" s="3">
        <v>0</v>
      </c>
      <c r="M68" s="2">
        <v>320</v>
      </c>
      <c r="N68" s="2">
        <v>208</v>
      </c>
      <c r="O68" s="2">
        <v>112</v>
      </c>
      <c r="P68" s="4">
        <v>0.35</v>
      </c>
      <c r="Q68" t="s">
        <v>169</v>
      </c>
    </row>
    <row r="69" spans="1:17" x14ac:dyDescent="0.3">
      <c r="A69" t="s">
        <v>252</v>
      </c>
      <c r="B69" s="1">
        <v>45824</v>
      </c>
      <c r="C69" t="s">
        <v>166</v>
      </c>
      <c r="D69" t="s">
        <v>167</v>
      </c>
      <c r="E69" t="s">
        <v>168</v>
      </c>
      <c r="F69" t="s">
        <v>179</v>
      </c>
      <c r="G69" t="s">
        <v>119</v>
      </c>
      <c r="H69" t="s">
        <v>120</v>
      </c>
      <c r="I69" t="s">
        <v>101</v>
      </c>
      <c r="J69">
        <v>9</v>
      </c>
      <c r="K69" s="2">
        <v>100</v>
      </c>
      <c r="L69" s="3">
        <v>0.05</v>
      </c>
      <c r="M69" s="2">
        <v>855</v>
      </c>
      <c r="N69" s="2">
        <v>555.75</v>
      </c>
      <c r="O69" s="2">
        <v>299.25</v>
      </c>
      <c r="P69" s="4">
        <v>0.35</v>
      </c>
      <c r="Q69" t="s">
        <v>164</v>
      </c>
    </row>
    <row r="70" spans="1:17" x14ac:dyDescent="0.3">
      <c r="A70" t="s">
        <v>253</v>
      </c>
      <c r="B70" s="1">
        <v>45398</v>
      </c>
      <c r="C70" t="s">
        <v>160</v>
      </c>
      <c r="D70" t="s">
        <v>161</v>
      </c>
      <c r="E70" t="s">
        <v>162</v>
      </c>
      <c r="F70" t="s">
        <v>163</v>
      </c>
      <c r="G70" t="s">
        <v>64</v>
      </c>
      <c r="H70" t="s">
        <v>65</v>
      </c>
      <c r="I70" t="s">
        <v>58</v>
      </c>
      <c r="J70">
        <v>5</v>
      </c>
      <c r="K70" s="2">
        <v>350</v>
      </c>
      <c r="L70" s="3">
        <v>0.1</v>
      </c>
      <c r="M70" s="2">
        <v>1575</v>
      </c>
      <c r="N70" s="2">
        <v>1023.75</v>
      </c>
      <c r="O70" s="2">
        <v>551.25</v>
      </c>
      <c r="P70" s="4">
        <v>0.35</v>
      </c>
      <c r="Q70" t="s">
        <v>169</v>
      </c>
    </row>
    <row r="71" spans="1:17" x14ac:dyDescent="0.3">
      <c r="A71" t="s">
        <v>254</v>
      </c>
      <c r="B71" s="1">
        <v>45693</v>
      </c>
      <c r="C71" t="s">
        <v>194</v>
      </c>
      <c r="D71" t="s">
        <v>177</v>
      </c>
      <c r="E71" t="s">
        <v>168</v>
      </c>
      <c r="F71" t="s">
        <v>179</v>
      </c>
      <c r="G71" t="s">
        <v>108</v>
      </c>
      <c r="H71" t="s">
        <v>109</v>
      </c>
      <c r="I71" t="s">
        <v>101</v>
      </c>
      <c r="J71">
        <v>9</v>
      </c>
      <c r="K71" s="2">
        <v>119</v>
      </c>
      <c r="L71" s="3">
        <v>0</v>
      </c>
      <c r="M71" s="2">
        <v>1071</v>
      </c>
      <c r="N71" s="2">
        <v>696.15</v>
      </c>
      <c r="O71" s="2">
        <v>374.85</v>
      </c>
      <c r="P71" s="4">
        <v>0.35000000000000003</v>
      </c>
      <c r="Q71" t="s">
        <v>174</v>
      </c>
    </row>
    <row r="72" spans="1:17" x14ac:dyDescent="0.3">
      <c r="A72" t="s">
        <v>255</v>
      </c>
      <c r="B72" s="1">
        <v>45386</v>
      </c>
      <c r="C72" t="s">
        <v>201</v>
      </c>
      <c r="D72" t="s">
        <v>177</v>
      </c>
      <c r="E72" t="s">
        <v>184</v>
      </c>
      <c r="F72" t="s">
        <v>186</v>
      </c>
      <c r="G72" t="s">
        <v>67</v>
      </c>
      <c r="H72" t="s">
        <v>68</v>
      </c>
      <c r="I72" t="s">
        <v>58</v>
      </c>
      <c r="J72">
        <v>6</v>
      </c>
      <c r="K72" s="2">
        <v>129</v>
      </c>
      <c r="L72" s="3">
        <v>0.1</v>
      </c>
      <c r="M72" s="2">
        <v>696.6</v>
      </c>
      <c r="N72" s="2">
        <v>452.79</v>
      </c>
      <c r="O72" s="2">
        <v>243.81</v>
      </c>
      <c r="P72" s="4">
        <v>0.35</v>
      </c>
      <c r="Q72" t="s">
        <v>169</v>
      </c>
    </row>
    <row r="73" spans="1:17" x14ac:dyDescent="0.3">
      <c r="A73" t="s">
        <v>256</v>
      </c>
      <c r="B73" s="1">
        <v>45357</v>
      </c>
      <c r="C73" t="s">
        <v>189</v>
      </c>
      <c r="D73" t="s">
        <v>167</v>
      </c>
      <c r="E73" t="s">
        <v>172</v>
      </c>
      <c r="F73" t="s">
        <v>163</v>
      </c>
      <c r="G73" t="s">
        <v>105</v>
      </c>
      <c r="H73" t="s">
        <v>106</v>
      </c>
      <c r="I73" t="s">
        <v>101</v>
      </c>
      <c r="J73">
        <v>4</v>
      </c>
      <c r="K73" s="2">
        <v>499</v>
      </c>
      <c r="L73" s="3">
        <v>0</v>
      </c>
      <c r="M73" s="2">
        <v>1996</v>
      </c>
      <c r="N73" s="2">
        <v>1297.4000000000001</v>
      </c>
      <c r="O73" s="2">
        <v>698.59999999999991</v>
      </c>
      <c r="P73" s="4">
        <v>0.35</v>
      </c>
      <c r="Q73" t="s">
        <v>169</v>
      </c>
    </row>
    <row r="74" spans="1:17" x14ac:dyDescent="0.3">
      <c r="A74" t="s">
        <v>257</v>
      </c>
      <c r="B74" s="1">
        <v>45718</v>
      </c>
      <c r="C74" t="s">
        <v>176</v>
      </c>
      <c r="D74" t="s">
        <v>177</v>
      </c>
      <c r="E74" t="s">
        <v>172</v>
      </c>
      <c r="F74" t="s">
        <v>163</v>
      </c>
      <c r="G74" t="s">
        <v>108</v>
      </c>
      <c r="H74" t="s">
        <v>109</v>
      </c>
      <c r="I74" t="s">
        <v>101</v>
      </c>
      <c r="J74">
        <v>5</v>
      </c>
      <c r="K74" s="2">
        <v>119</v>
      </c>
      <c r="L74" s="3">
        <v>0.1</v>
      </c>
      <c r="M74" s="2">
        <v>535.5</v>
      </c>
      <c r="N74" s="2">
        <v>348.07499999999999</v>
      </c>
      <c r="O74" s="2">
        <v>187.42500000000001</v>
      </c>
      <c r="P74" s="4">
        <v>0.35000000000000003</v>
      </c>
      <c r="Q74" t="s">
        <v>174</v>
      </c>
    </row>
    <row r="75" spans="1:17" x14ac:dyDescent="0.3">
      <c r="A75" t="s">
        <v>258</v>
      </c>
      <c r="B75" s="1">
        <v>45619</v>
      </c>
      <c r="C75" t="s">
        <v>207</v>
      </c>
      <c r="D75" t="s">
        <v>177</v>
      </c>
      <c r="E75" t="s">
        <v>162</v>
      </c>
      <c r="F75" t="s">
        <v>163</v>
      </c>
      <c r="G75" t="s">
        <v>105</v>
      </c>
      <c r="H75" t="s">
        <v>106</v>
      </c>
      <c r="I75" t="s">
        <v>101</v>
      </c>
      <c r="J75">
        <v>8</v>
      </c>
      <c r="K75" s="2">
        <v>499</v>
      </c>
      <c r="L75" s="3">
        <v>0</v>
      </c>
      <c r="M75" s="2">
        <v>3992</v>
      </c>
      <c r="N75" s="2">
        <v>2594.8000000000002</v>
      </c>
      <c r="O75" s="2">
        <v>1397.1999999999998</v>
      </c>
      <c r="P75" s="4">
        <v>0.35</v>
      </c>
      <c r="Q75" t="s">
        <v>169</v>
      </c>
    </row>
    <row r="76" spans="1:17" x14ac:dyDescent="0.3">
      <c r="A76" t="s">
        <v>259</v>
      </c>
      <c r="B76" s="1">
        <v>45698</v>
      </c>
      <c r="C76" t="s">
        <v>183</v>
      </c>
      <c r="D76" t="s">
        <v>161</v>
      </c>
      <c r="E76" t="s">
        <v>184</v>
      </c>
      <c r="F76" t="s">
        <v>179</v>
      </c>
      <c r="G76" t="s">
        <v>119</v>
      </c>
      <c r="H76" t="s">
        <v>120</v>
      </c>
      <c r="I76" t="s">
        <v>101</v>
      </c>
      <c r="J76">
        <v>2</v>
      </c>
      <c r="K76" s="2">
        <v>100</v>
      </c>
      <c r="L76" s="3">
        <v>0</v>
      </c>
      <c r="M76" s="2">
        <v>200</v>
      </c>
      <c r="N76" s="2">
        <v>130</v>
      </c>
      <c r="O76" s="2">
        <v>70</v>
      </c>
      <c r="P76" s="4">
        <v>0.35</v>
      </c>
      <c r="Q76" t="s">
        <v>174</v>
      </c>
    </row>
    <row r="77" spans="1:17" x14ac:dyDescent="0.3">
      <c r="A77" t="s">
        <v>260</v>
      </c>
      <c r="B77" s="1">
        <v>45463</v>
      </c>
      <c r="C77" t="s">
        <v>191</v>
      </c>
      <c r="D77" t="s">
        <v>167</v>
      </c>
      <c r="E77" t="s">
        <v>162</v>
      </c>
      <c r="F77" t="s">
        <v>186</v>
      </c>
      <c r="G77" t="s">
        <v>30</v>
      </c>
      <c r="H77" t="s">
        <v>31</v>
      </c>
      <c r="I77" t="s">
        <v>11</v>
      </c>
      <c r="J77">
        <v>2</v>
      </c>
      <c r="K77" s="2">
        <v>800</v>
      </c>
      <c r="L77" s="3">
        <v>0.1</v>
      </c>
      <c r="M77" s="2">
        <v>1440</v>
      </c>
      <c r="N77" s="2">
        <v>936</v>
      </c>
      <c r="O77" s="2">
        <v>504</v>
      </c>
      <c r="P77" s="4">
        <v>0.35</v>
      </c>
      <c r="Q77" t="s">
        <v>169</v>
      </c>
    </row>
    <row r="78" spans="1:17" x14ac:dyDescent="0.3">
      <c r="A78" t="s">
        <v>261</v>
      </c>
      <c r="B78" s="1">
        <v>45552</v>
      </c>
      <c r="C78" t="s">
        <v>189</v>
      </c>
      <c r="D78" t="s">
        <v>167</v>
      </c>
      <c r="E78" t="s">
        <v>172</v>
      </c>
      <c r="F78" t="s">
        <v>173</v>
      </c>
      <c r="G78" t="s">
        <v>116</v>
      </c>
      <c r="H78" t="s">
        <v>117</v>
      </c>
      <c r="I78" t="s">
        <v>101</v>
      </c>
      <c r="J78">
        <v>1</v>
      </c>
      <c r="K78" s="2">
        <v>250</v>
      </c>
      <c r="L78" s="3">
        <v>0.05</v>
      </c>
      <c r="M78" s="2">
        <v>237.5</v>
      </c>
      <c r="N78" s="2">
        <v>154.375</v>
      </c>
      <c r="O78" s="2">
        <v>83.125</v>
      </c>
      <c r="P78" s="4">
        <v>0.35</v>
      </c>
      <c r="Q78" t="s">
        <v>169</v>
      </c>
    </row>
    <row r="79" spans="1:17" x14ac:dyDescent="0.3">
      <c r="A79" t="s">
        <v>262</v>
      </c>
      <c r="B79" s="1">
        <v>45653</v>
      </c>
      <c r="C79" t="s">
        <v>183</v>
      </c>
      <c r="D79" t="s">
        <v>161</v>
      </c>
      <c r="E79" t="s">
        <v>184</v>
      </c>
      <c r="F79" t="s">
        <v>186</v>
      </c>
      <c r="G79" t="s">
        <v>87</v>
      </c>
      <c r="H79" t="s">
        <v>88</v>
      </c>
      <c r="I79" t="s">
        <v>79</v>
      </c>
      <c r="J79">
        <v>2</v>
      </c>
      <c r="K79" s="2">
        <v>549</v>
      </c>
      <c r="L79" s="3">
        <v>0.1</v>
      </c>
      <c r="M79" s="2">
        <v>988.2</v>
      </c>
      <c r="N79" s="2">
        <v>642.33000000000004</v>
      </c>
      <c r="O79" s="2">
        <v>345.87</v>
      </c>
      <c r="P79" s="4">
        <v>0.35</v>
      </c>
      <c r="Q79" t="s">
        <v>164</v>
      </c>
    </row>
    <row r="80" spans="1:17" x14ac:dyDescent="0.3">
      <c r="A80" t="s">
        <v>263</v>
      </c>
      <c r="B80" s="1">
        <v>45544</v>
      </c>
      <c r="C80" t="s">
        <v>189</v>
      </c>
      <c r="D80" t="s">
        <v>167</v>
      </c>
      <c r="E80" t="s">
        <v>172</v>
      </c>
      <c r="F80" t="s">
        <v>163</v>
      </c>
      <c r="G80" t="s">
        <v>87</v>
      </c>
      <c r="H80" t="s">
        <v>88</v>
      </c>
      <c r="I80" t="s">
        <v>79</v>
      </c>
      <c r="J80">
        <v>1</v>
      </c>
      <c r="K80" s="2">
        <v>549</v>
      </c>
      <c r="L80" s="3">
        <v>0.1</v>
      </c>
      <c r="M80" s="2">
        <v>494.1</v>
      </c>
      <c r="N80" s="2">
        <v>321.16500000000002</v>
      </c>
      <c r="O80" s="2">
        <v>172.935</v>
      </c>
      <c r="P80" s="4">
        <v>0.35</v>
      </c>
      <c r="Q80" t="s">
        <v>174</v>
      </c>
    </row>
    <row r="81" spans="1:17" x14ac:dyDescent="0.3">
      <c r="A81" t="s">
        <v>264</v>
      </c>
      <c r="B81" s="1">
        <v>45415</v>
      </c>
      <c r="C81" t="s">
        <v>181</v>
      </c>
      <c r="D81" t="s">
        <v>161</v>
      </c>
      <c r="E81" t="s">
        <v>168</v>
      </c>
      <c r="F81" t="s">
        <v>186</v>
      </c>
      <c r="G81" t="s">
        <v>105</v>
      </c>
      <c r="H81" t="s">
        <v>106</v>
      </c>
      <c r="I81" t="s">
        <v>101</v>
      </c>
      <c r="J81">
        <v>1</v>
      </c>
      <c r="K81" s="2">
        <v>499</v>
      </c>
      <c r="L81" s="3">
        <v>0</v>
      </c>
      <c r="M81" s="2">
        <v>499</v>
      </c>
      <c r="N81" s="2">
        <v>324.35000000000002</v>
      </c>
      <c r="O81" s="2">
        <v>174.64999999999998</v>
      </c>
      <c r="P81" s="4">
        <v>0.35</v>
      </c>
      <c r="Q81" t="s">
        <v>169</v>
      </c>
    </row>
    <row r="82" spans="1:17" x14ac:dyDescent="0.3">
      <c r="A82" t="s">
        <v>265</v>
      </c>
      <c r="B82" s="1">
        <v>45371</v>
      </c>
      <c r="C82" t="s">
        <v>194</v>
      </c>
      <c r="D82" t="s">
        <v>177</v>
      </c>
      <c r="E82" t="s">
        <v>168</v>
      </c>
      <c r="F82" t="s">
        <v>173</v>
      </c>
      <c r="G82" t="s">
        <v>95</v>
      </c>
      <c r="H82" t="s">
        <v>96</v>
      </c>
      <c r="I82" t="s">
        <v>79</v>
      </c>
      <c r="J82">
        <v>1</v>
      </c>
      <c r="K82" s="2">
        <v>30</v>
      </c>
      <c r="L82" s="3">
        <v>0</v>
      </c>
      <c r="M82" s="2">
        <v>30</v>
      </c>
      <c r="N82" s="2">
        <v>19.5</v>
      </c>
      <c r="O82" s="2">
        <v>10.5</v>
      </c>
      <c r="P82" s="4">
        <v>0.35</v>
      </c>
      <c r="Q82" t="s">
        <v>169</v>
      </c>
    </row>
    <row r="83" spans="1:17" x14ac:dyDescent="0.3">
      <c r="A83" t="s">
        <v>266</v>
      </c>
      <c r="B83" s="1">
        <v>45418</v>
      </c>
      <c r="C83" t="s">
        <v>176</v>
      </c>
      <c r="D83" t="s">
        <v>177</v>
      </c>
      <c r="E83" t="s">
        <v>172</v>
      </c>
      <c r="F83" t="s">
        <v>173</v>
      </c>
      <c r="G83" t="s">
        <v>84</v>
      </c>
      <c r="H83" t="s">
        <v>85</v>
      </c>
      <c r="I83" t="s">
        <v>79</v>
      </c>
      <c r="J83">
        <v>9</v>
      </c>
      <c r="K83" s="2">
        <v>199</v>
      </c>
      <c r="L83" s="3">
        <v>0.1</v>
      </c>
      <c r="M83" s="2">
        <v>1611.9</v>
      </c>
      <c r="N83" s="2">
        <v>1047.7350000000001</v>
      </c>
      <c r="O83" s="2">
        <v>564.16499999999996</v>
      </c>
      <c r="P83" s="4">
        <v>0.35</v>
      </c>
      <c r="Q83" t="s">
        <v>174</v>
      </c>
    </row>
    <row r="84" spans="1:17" x14ac:dyDescent="0.3">
      <c r="A84" t="s">
        <v>267</v>
      </c>
      <c r="B84" s="1">
        <v>45513</v>
      </c>
      <c r="C84" t="s">
        <v>176</v>
      </c>
      <c r="D84" t="s">
        <v>177</v>
      </c>
      <c r="E84" t="s">
        <v>172</v>
      </c>
      <c r="F84" t="s">
        <v>179</v>
      </c>
      <c r="G84" t="s">
        <v>33</v>
      </c>
      <c r="H84" t="s">
        <v>34</v>
      </c>
      <c r="I84" t="s">
        <v>35</v>
      </c>
      <c r="J84">
        <v>10</v>
      </c>
      <c r="K84" s="2">
        <v>1299</v>
      </c>
      <c r="L84" s="3">
        <v>0.1</v>
      </c>
      <c r="M84" s="2">
        <v>11691</v>
      </c>
      <c r="N84" s="2">
        <v>7599.1500000000005</v>
      </c>
      <c r="O84" s="2">
        <v>4091.8499999999995</v>
      </c>
      <c r="P84" s="4">
        <v>0.35</v>
      </c>
      <c r="Q84" t="s">
        <v>164</v>
      </c>
    </row>
    <row r="85" spans="1:17" x14ac:dyDescent="0.3">
      <c r="A85" t="s">
        <v>268</v>
      </c>
      <c r="B85" s="1">
        <v>45640</v>
      </c>
      <c r="C85" t="s">
        <v>189</v>
      </c>
      <c r="D85" t="s">
        <v>167</v>
      </c>
      <c r="E85" t="s">
        <v>172</v>
      </c>
      <c r="F85" t="s">
        <v>163</v>
      </c>
      <c r="G85" t="s">
        <v>50</v>
      </c>
      <c r="H85" t="s">
        <v>51</v>
      </c>
      <c r="I85" t="s">
        <v>35</v>
      </c>
      <c r="J85">
        <v>8</v>
      </c>
      <c r="K85" s="2">
        <v>520</v>
      </c>
      <c r="L85" s="3">
        <v>0</v>
      </c>
      <c r="M85" s="2">
        <v>4160</v>
      </c>
      <c r="N85" s="2">
        <v>2704</v>
      </c>
      <c r="O85" s="2">
        <v>1456</v>
      </c>
      <c r="P85" s="4">
        <v>0.35</v>
      </c>
      <c r="Q85" t="s">
        <v>174</v>
      </c>
    </row>
    <row r="86" spans="1:17" x14ac:dyDescent="0.3">
      <c r="A86" t="s">
        <v>269</v>
      </c>
      <c r="B86" s="1">
        <v>45755</v>
      </c>
      <c r="C86" t="s">
        <v>171</v>
      </c>
      <c r="D86" t="s">
        <v>161</v>
      </c>
      <c r="E86" t="s">
        <v>172</v>
      </c>
      <c r="F86" t="s">
        <v>173</v>
      </c>
      <c r="G86" t="s">
        <v>53</v>
      </c>
      <c r="H86" t="s">
        <v>54</v>
      </c>
      <c r="I86" t="s">
        <v>35</v>
      </c>
      <c r="J86">
        <v>9</v>
      </c>
      <c r="K86" s="2">
        <v>320</v>
      </c>
      <c r="L86" s="3">
        <v>0.1</v>
      </c>
      <c r="M86" s="2">
        <v>2592</v>
      </c>
      <c r="N86" s="2">
        <v>1684.8</v>
      </c>
      <c r="O86" s="2">
        <v>907.2</v>
      </c>
      <c r="P86" s="4">
        <v>0.35000000000000003</v>
      </c>
      <c r="Q86" t="s">
        <v>169</v>
      </c>
    </row>
    <row r="87" spans="1:17" x14ac:dyDescent="0.3">
      <c r="A87" t="s">
        <v>270</v>
      </c>
      <c r="B87" s="1">
        <v>45478</v>
      </c>
      <c r="C87" t="s">
        <v>191</v>
      </c>
      <c r="D87" t="s">
        <v>167</v>
      </c>
      <c r="E87" t="s">
        <v>162</v>
      </c>
      <c r="F87" t="s">
        <v>173</v>
      </c>
      <c r="G87" t="s">
        <v>9</v>
      </c>
      <c r="H87" t="s">
        <v>10</v>
      </c>
      <c r="I87" t="s">
        <v>11</v>
      </c>
      <c r="J87">
        <v>5</v>
      </c>
      <c r="K87" s="2">
        <v>1200</v>
      </c>
      <c r="L87" s="3">
        <v>0.05</v>
      </c>
      <c r="M87" s="2">
        <v>5700</v>
      </c>
      <c r="N87" s="2">
        <v>3705</v>
      </c>
      <c r="O87" s="2">
        <v>1995</v>
      </c>
      <c r="P87" s="4">
        <v>0.35</v>
      </c>
      <c r="Q87" t="s">
        <v>174</v>
      </c>
    </row>
    <row r="88" spans="1:17" x14ac:dyDescent="0.3">
      <c r="A88" t="s">
        <v>271</v>
      </c>
      <c r="B88" s="1">
        <v>45777</v>
      </c>
      <c r="C88" t="s">
        <v>171</v>
      </c>
      <c r="D88" t="s">
        <v>161</v>
      </c>
      <c r="E88" t="s">
        <v>172</v>
      </c>
      <c r="F88" t="s">
        <v>163</v>
      </c>
      <c r="G88" t="s">
        <v>22</v>
      </c>
      <c r="H88" t="s">
        <v>23</v>
      </c>
      <c r="I88" t="s">
        <v>11</v>
      </c>
      <c r="J88">
        <v>6</v>
      </c>
      <c r="K88" s="2">
        <v>899</v>
      </c>
      <c r="L88" s="3">
        <v>0</v>
      </c>
      <c r="M88" s="2">
        <v>5394</v>
      </c>
      <c r="N88" s="2">
        <v>3506.1</v>
      </c>
      <c r="O88" s="2">
        <v>1887.9</v>
      </c>
      <c r="P88" s="4">
        <v>0.35000000000000003</v>
      </c>
      <c r="Q88" t="s">
        <v>164</v>
      </c>
    </row>
    <row r="89" spans="1:17" x14ac:dyDescent="0.3">
      <c r="A89" t="s">
        <v>272</v>
      </c>
      <c r="B89" s="1">
        <v>45747</v>
      </c>
      <c r="C89" t="s">
        <v>201</v>
      </c>
      <c r="D89" t="s">
        <v>177</v>
      </c>
      <c r="E89" t="s">
        <v>184</v>
      </c>
      <c r="F89" t="s">
        <v>163</v>
      </c>
      <c r="G89" t="s">
        <v>93</v>
      </c>
      <c r="H89" t="s">
        <v>94</v>
      </c>
      <c r="I89" t="s">
        <v>79</v>
      </c>
      <c r="J89">
        <v>2</v>
      </c>
      <c r="K89" s="2">
        <v>39</v>
      </c>
      <c r="L89" s="3">
        <v>0.05</v>
      </c>
      <c r="M89" s="2">
        <v>74.099999999999994</v>
      </c>
      <c r="N89" s="2">
        <v>48.164999999999999</v>
      </c>
      <c r="O89" s="2">
        <v>25.934999999999995</v>
      </c>
      <c r="P89" s="4">
        <v>0.35</v>
      </c>
      <c r="Q89" t="s">
        <v>169</v>
      </c>
    </row>
    <row r="90" spans="1:17" x14ac:dyDescent="0.3">
      <c r="A90" t="s">
        <v>273</v>
      </c>
      <c r="B90" s="1">
        <v>45399</v>
      </c>
      <c r="C90" t="s">
        <v>176</v>
      </c>
      <c r="D90" t="s">
        <v>177</v>
      </c>
      <c r="E90" t="s">
        <v>172</v>
      </c>
      <c r="F90" t="s">
        <v>179</v>
      </c>
      <c r="G90" t="s">
        <v>97</v>
      </c>
      <c r="H90" t="s">
        <v>98</v>
      </c>
      <c r="I90" t="s">
        <v>79</v>
      </c>
      <c r="J90">
        <v>9</v>
      </c>
      <c r="K90" s="2">
        <v>139</v>
      </c>
      <c r="L90" s="3">
        <v>0.1</v>
      </c>
      <c r="M90" s="2">
        <v>1125.9000000000001</v>
      </c>
      <c r="N90" s="2">
        <v>731.83500000000004</v>
      </c>
      <c r="O90" s="2">
        <v>394.06500000000005</v>
      </c>
      <c r="P90" s="4">
        <v>0.35000000000000003</v>
      </c>
      <c r="Q90" t="s">
        <v>169</v>
      </c>
    </row>
    <row r="91" spans="1:17" x14ac:dyDescent="0.3">
      <c r="A91" t="s">
        <v>274</v>
      </c>
      <c r="B91" s="1">
        <v>45475</v>
      </c>
      <c r="C91" t="s">
        <v>207</v>
      </c>
      <c r="D91" t="s">
        <v>177</v>
      </c>
      <c r="E91" t="s">
        <v>162</v>
      </c>
      <c r="F91" t="s">
        <v>173</v>
      </c>
      <c r="G91" t="s">
        <v>114</v>
      </c>
      <c r="H91" t="s">
        <v>115</v>
      </c>
      <c r="I91" t="s">
        <v>101</v>
      </c>
      <c r="J91">
        <v>9</v>
      </c>
      <c r="K91" s="2">
        <v>79</v>
      </c>
      <c r="L91" s="3">
        <v>0.1</v>
      </c>
      <c r="M91" s="2">
        <v>639.9</v>
      </c>
      <c r="N91" s="2">
        <v>415.935</v>
      </c>
      <c r="O91" s="2">
        <v>223.96499999999997</v>
      </c>
      <c r="P91" s="4">
        <v>0.35</v>
      </c>
      <c r="Q91" t="s">
        <v>169</v>
      </c>
    </row>
    <row r="92" spans="1:17" x14ac:dyDescent="0.3">
      <c r="A92" t="s">
        <v>275</v>
      </c>
      <c r="B92" s="1">
        <v>45543</v>
      </c>
      <c r="C92" t="s">
        <v>215</v>
      </c>
      <c r="D92" t="s">
        <v>167</v>
      </c>
      <c r="E92" t="s">
        <v>184</v>
      </c>
      <c r="F92" t="s">
        <v>186</v>
      </c>
      <c r="G92" t="s">
        <v>119</v>
      </c>
      <c r="H92" t="s">
        <v>120</v>
      </c>
      <c r="I92" t="s">
        <v>101</v>
      </c>
      <c r="J92">
        <v>8</v>
      </c>
      <c r="K92" s="2">
        <v>100</v>
      </c>
      <c r="L92" s="3">
        <v>0.05</v>
      </c>
      <c r="M92" s="2">
        <v>760</v>
      </c>
      <c r="N92" s="2">
        <v>494</v>
      </c>
      <c r="O92" s="2">
        <v>266</v>
      </c>
      <c r="P92" s="4">
        <v>0.35</v>
      </c>
      <c r="Q92" t="s">
        <v>164</v>
      </c>
    </row>
    <row r="93" spans="1:17" x14ac:dyDescent="0.3">
      <c r="A93" t="s">
        <v>276</v>
      </c>
      <c r="B93" s="1">
        <v>45302</v>
      </c>
      <c r="C93" t="s">
        <v>201</v>
      </c>
      <c r="D93" t="s">
        <v>177</v>
      </c>
      <c r="E93" t="s">
        <v>184</v>
      </c>
      <c r="F93" t="s">
        <v>186</v>
      </c>
      <c r="G93" t="s">
        <v>90</v>
      </c>
      <c r="H93" t="s">
        <v>91</v>
      </c>
      <c r="I93" t="s">
        <v>79</v>
      </c>
      <c r="J93">
        <v>2</v>
      </c>
      <c r="K93" s="2">
        <v>190</v>
      </c>
      <c r="L93" s="3">
        <v>0.1</v>
      </c>
      <c r="M93" s="2">
        <v>342</v>
      </c>
      <c r="N93" s="2">
        <v>222.3</v>
      </c>
      <c r="O93" s="2">
        <v>119.69999999999999</v>
      </c>
      <c r="P93" s="4">
        <v>0.35</v>
      </c>
      <c r="Q93" t="s">
        <v>169</v>
      </c>
    </row>
    <row r="94" spans="1:17" x14ac:dyDescent="0.3">
      <c r="A94" t="s">
        <v>277</v>
      </c>
      <c r="B94" s="1">
        <v>45631</v>
      </c>
      <c r="C94" t="s">
        <v>183</v>
      </c>
      <c r="D94" t="s">
        <v>161</v>
      </c>
      <c r="E94" t="s">
        <v>184</v>
      </c>
      <c r="F94" t="s">
        <v>179</v>
      </c>
      <c r="G94" t="s">
        <v>74</v>
      </c>
      <c r="H94" t="s">
        <v>75</v>
      </c>
      <c r="I94" t="s">
        <v>58</v>
      </c>
      <c r="J94">
        <v>4</v>
      </c>
      <c r="K94" s="2">
        <v>349</v>
      </c>
      <c r="L94" s="3">
        <v>0.1</v>
      </c>
      <c r="M94" s="2">
        <v>1256.4000000000001</v>
      </c>
      <c r="N94" s="2">
        <v>816.66000000000008</v>
      </c>
      <c r="O94" s="2">
        <v>439.74</v>
      </c>
      <c r="P94" s="4">
        <v>0.35</v>
      </c>
      <c r="Q94" t="s">
        <v>164</v>
      </c>
    </row>
    <row r="95" spans="1:17" x14ac:dyDescent="0.3">
      <c r="A95" t="s">
        <v>278</v>
      </c>
      <c r="B95" s="1">
        <v>45730</v>
      </c>
      <c r="C95" t="s">
        <v>201</v>
      </c>
      <c r="D95" t="s">
        <v>177</v>
      </c>
      <c r="E95" t="s">
        <v>184</v>
      </c>
      <c r="F95" t="s">
        <v>173</v>
      </c>
      <c r="G95" t="s">
        <v>81</v>
      </c>
      <c r="H95" t="s">
        <v>82</v>
      </c>
      <c r="I95" t="s">
        <v>79</v>
      </c>
      <c r="J95">
        <v>8</v>
      </c>
      <c r="K95" s="2">
        <v>169</v>
      </c>
      <c r="L95" s="3">
        <v>0</v>
      </c>
      <c r="M95" s="2">
        <v>1352</v>
      </c>
      <c r="N95" s="2">
        <v>878.80000000000007</v>
      </c>
      <c r="O95" s="2">
        <v>473.19999999999993</v>
      </c>
      <c r="P95" s="4">
        <v>0.34999999999999992</v>
      </c>
      <c r="Q95" t="s">
        <v>169</v>
      </c>
    </row>
    <row r="96" spans="1:17" x14ac:dyDescent="0.3">
      <c r="A96" t="s">
        <v>279</v>
      </c>
      <c r="B96" s="1">
        <v>45426</v>
      </c>
      <c r="C96" t="s">
        <v>201</v>
      </c>
      <c r="D96" t="s">
        <v>177</v>
      </c>
      <c r="E96" t="s">
        <v>184</v>
      </c>
      <c r="F96" t="s">
        <v>163</v>
      </c>
      <c r="G96" t="s">
        <v>99</v>
      </c>
      <c r="H96" t="s">
        <v>100</v>
      </c>
      <c r="I96" t="s">
        <v>101</v>
      </c>
      <c r="J96">
        <v>2</v>
      </c>
      <c r="K96" s="2">
        <v>320</v>
      </c>
      <c r="L96" s="3">
        <v>0.05</v>
      </c>
      <c r="M96" s="2">
        <v>608</v>
      </c>
      <c r="N96" s="2">
        <v>395.2</v>
      </c>
      <c r="O96" s="2">
        <v>212.8</v>
      </c>
      <c r="P96" s="4">
        <v>0.35000000000000003</v>
      </c>
      <c r="Q96" t="s">
        <v>169</v>
      </c>
    </row>
    <row r="97" spans="1:17" x14ac:dyDescent="0.3">
      <c r="A97" t="s">
        <v>280</v>
      </c>
      <c r="B97" s="1">
        <v>45434</v>
      </c>
      <c r="C97" t="s">
        <v>166</v>
      </c>
      <c r="D97" t="s">
        <v>167</v>
      </c>
      <c r="E97" t="s">
        <v>168</v>
      </c>
      <c r="F97" t="s">
        <v>186</v>
      </c>
      <c r="G97" t="s">
        <v>33</v>
      </c>
      <c r="H97" t="s">
        <v>34</v>
      </c>
      <c r="I97" t="s">
        <v>35</v>
      </c>
      <c r="J97">
        <v>9</v>
      </c>
      <c r="K97" s="2">
        <v>1299</v>
      </c>
      <c r="L97" s="3">
        <v>0</v>
      </c>
      <c r="M97" s="2">
        <v>11691</v>
      </c>
      <c r="N97" s="2">
        <v>7599.1500000000005</v>
      </c>
      <c r="O97" s="2">
        <v>4091.8499999999995</v>
      </c>
      <c r="P97" s="4">
        <v>0.35</v>
      </c>
      <c r="Q97" t="s">
        <v>164</v>
      </c>
    </row>
    <row r="98" spans="1:17" x14ac:dyDescent="0.3">
      <c r="A98" t="s">
        <v>281</v>
      </c>
      <c r="B98" s="1">
        <v>45699</v>
      </c>
      <c r="C98" t="s">
        <v>160</v>
      </c>
      <c r="D98" t="s">
        <v>161</v>
      </c>
      <c r="E98" t="s">
        <v>162</v>
      </c>
      <c r="F98" t="s">
        <v>186</v>
      </c>
      <c r="G98" t="s">
        <v>50</v>
      </c>
      <c r="H98" t="s">
        <v>51</v>
      </c>
      <c r="I98" t="s">
        <v>35</v>
      </c>
      <c r="J98">
        <v>9</v>
      </c>
      <c r="K98" s="2">
        <v>520</v>
      </c>
      <c r="L98" s="3">
        <v>0</v>
      </c>
      <c r="M98" s="2">
        <v>4680</v>
      </c>
      <c r="N98" s="2">
        <v>3042</v>
      </c>
      <c r="O98" s="2">
        <v>1638</v>
      </c>
      <c r="P98" s="4">
        <v>0.35</v>
      </c>
      <c r="Q98" t="s">
        <v>169</v>
      </c>
    </row>
    <row r="99" spans="1:17" x14ac:dyDescent="0.3">
      <c r="A99" t="s">
        <v>282</v>
      </c>
      <c r="B99" s="1">
        <v>45303</v>
      </c>
      <c r="C99" t="s">
        <v>181</v>
      </c>
      <c r="D99" t="s">
        <v>161</v>
      </c>
      <c r="E99" t="s">
        <v>168</v>
      </c>
      <c r="F99" t="s">
        <v>163</v>
      </c>
      <c r="G99" t="s">
        <v>119</v>
      </c>
      <c r="H99" t="s">
        <v>120</v>
      </c>
      <c r="I99" t="s">
        <v>101</v>
      </c>
      <c r="J99">
        <v>8</v>
      </c>
      <c r="K99" s="2">
        <v>100</v>
      </c>
      <c r="L99" s="3">
        <v>0</v>
      </c>
      <c r="M99" s="2">
        <v>800</v>
      </c>
      <c r="N99" s="2">
        <v>520</v>
      </c>
      <c r="O99" s="2">
        <v>280</v>
      </c>
      <c r="P99" s="4">
        <v>0.35</v>
      </c>
      <c r="Q99" t="s">
        <v>164</v>
      </c>
    </row>
    <row r="100" spans="1:17" x14ac:dyDescent="0.3">
      <c r="A100" t="s">
        <v>283</v>
      </c>
      <c r="B100" s="1">
        <v>45710</v>
      </c>
      <c r="C100" t="s">
        <v>181</v>
      </c>
      <c r="D100" t="s">
        <v>161</v>
      </c>
      <c r="E100" t="s">
        <v>168</v>
      </c>
      <c r="F100" t="s">
        <v>173</v>
      </c>
      <c r="G100" t="s">
        <v>59</v>
      </c>
      <c r="H100" t="s">
        <v>60</v>
      </c>
      <c r="I100" t="s">
        <v>58</v>
      </c>
      <c r="J100">
        <v>5</v>
      </c>
      <c r="K100" s="2">
        <v>249</v>
      </c>
      <c r="L100" s="3">
        <v>0.05</v>
      </c>
      <c r="M100" s="2">
        <v>1182.75</v>
      </c>
      <c r="N100" s="2">
        <v>768.78750000000002</v>
      </c>
      <c r="O100" s="2">
        <v>413.96249999999998</v>
      </c>
      <c r="P100" s="4">
        <v>0.35</v>
      </c>
      <c r="Q100" t="s">
        <v>174</v>
      </c>
    </row>
    <row r="101" spans="1:17" x14ac:dyDescent="0.3">
      <c r="A101" t="s">
        <v>284</v>
      </c>
      <c r="B101" s="1">
        <v>45557</v>
      </c>
      <c r="C101" t="s">
        <v>215</v>
      </c>
      <c r="D101" t="s">
        <v>167</v>
      </c>
      <c r="E101" t="s">
        <v>184</v>
      </c>
      <c r="F101" t="s">
        <v>173</v>
      </c>
      <c r="G101" t="s">
        <v>99</v>
      </c>
      <c r="H101" t="s">
        <v>100</v>
      </c>
      <c r="I101" t="s">
        <v>101</v>
      </c>
      <c r="J101">
        <v>9</v>
      </c>
      <c r="K101" s="2">
        <v>320</v>
      </c>
      <c r="L101" s="3">
        <v>0.05</v>
      </c>
      <c r="M101" s="2">
        <v>2736</v>
      </c>
      <c r="N101" s="2">
        <v>1778.4</v>
      </c>
      <c r="O101" s="2">
        <v>957.59999999999991</v>
      </c>
      <c r="P101" s="4">
        <v>0.35</v>
      </c>
      <c r="Q101" t="s">
        <v>164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/>
  </sheetViews>
  <sheetFormatPr defaultRowHeight="14.4" x14ac:dyDescent="0.3"/>
  <cols>
    <col min="1" max="1" width="98.33203125" bestFit="1" customWidth="1"/>
    <col min="3" max="3" width="12.77734375" bestFit="1" customWidth="1"/>
    <col min="5" max="5" width="14" bestFit="1" customWidth="1"/>
    <col min="7" max="7" width="10.88671875" bestFit="1" customWidth="1"/>
  </cols>
  <sheetData>
    <row r="1" spans="1:7" ht="23.4" x14ac:dyDescent="0.45">
      <c r="A1" s="7" t="s">
        <v>316</v>
      </c>
    </row>
    <row r="3" spans="1:7" x14ac:dyDescent="0.3">
      <c r="A3" t="s">
        <v>317</v>
      </c>
      <c r="C3" t="s">
        <v>318</v>
      </c>
      <c r="E3" t="s">
        <v>319</v>
      </c>
      <c r="G3" t="s">
        <v>320</v>
      </c>
    </row>
    <row r="4" spans="1:7" x14ac:dyDescent="0.3">
      <c r="A4" s="2">
        <f>'Sales Summary'!A4</f>
        <v>520000</v>
      </c>
      <c r="B4" s="2"/>
      <c r="C4" s="2">
        <f>'Sales Summary'!B4</f>
        <v>202800</v>
      </c>
      <c r="E4" s="4">
        <f>'Sales Summary'!C4</f>
        <v>0.39</v>
      </c>
      <c r="G4" s="6">
        <f>'Sales Summary'!D4</f>
        <v>450</v>
      </c>
    </row>
    <row r="7" spans="1:7" x14ac:dyDescent="0.3">
      <c r="A7" s="5" t="s">
        <v>321</v>
      </c>
    </row>
    <row r="8" spans="1:7" x14ac:dyDescent="0.3">
      <c r="A8" t="s">
        <v>322</v>
      </c>
    </row>
    <row r="9" spans="1:7" x14ac:dyDescent="0.3">
      <c r="A9" t="s">
        <v>323</v>
      </c>
    </row>
    <row r="10" spans="1:7" x14ac:dyDescent="0.3">
      <c r="A10" t="s">
        <v>324</v>
      </c>
    </row>
    <row r="11" spans="1:7" x14ac:dyDescent="0.3">
      <c r="A11" t="s">
        <v>325</v>
      </c>
    </row>
    <row r="12" spans="1:7" x14ac:dyDescent="0.3">
      <c r="A12" t="s">
        <v>326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abSelected="1" workbookViewId="0"/>
  </sheetViews>
  <sheetFormatPr defaultRowHeight="14.4" x14ac:dyDescent="0.3"/>
  <cols>
    <col min="1" max="1" width="30.21875" bestFit="1" customWidth="1"/>
    <col min="2" max="2" width="19.77734375" bestFit="1" customWidth="1"/>
    <col min="3" max="3" width="15.21875" bestFit="1" customWidth="1"/>
    <col min="4" max="4" width="12.44140625" bestFit="1" customWidth="1"/>
    <col min="5" max="5" width="11.88671875" bestFit="1" customWidth="1"/>
    <col min="6" max="6" width="12.21875" bestFit="1" customWidth="1"/>
    <col min="7" max="7" width="11.77734375" bestFit="1" customWidth="1"/>
    <col min="8" max="8" width="11.5546875" bestFit="1" customWidth="1"/>
    <col min="9" max="9" width="12.77734375" bestFit="1" customWidth="1"/>
    <col min="10" max="10" width="12.109375" bestFit="1" customWidth="1"/>
    <col min="11" max="11" width="18.77734375" bestFit="1" customWidth="1"/>
  </cols>
  <sheetData>
    <row r="1" spans="1:11" x14ac:dyDescent="0.3">
      <c r="A1" s="5" t="s">
        <v>310</v>
      </c>
    </row>
    <row r="3" spans="1:11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311</v>
      </c>
      <c r="K3" t="s">
        <v>312</v>
      </c>
    </row>
    <row r="4" spans="1:11" x14ac:dyDescent="0.3">
      <c r="A4" t="s">
        <v>9</v>
      </c>
      <c r="B4" t="s">
        <v>10</v>
      </c>
      <c r="C4" t="s">
        <v>11</v>
      </c>
      <c r="D4" t="s">
        <v>12</v>
      </c>
      <c r="E4" s="2">
        <v>800</v>
      </c>
      <c r="F4" s="2">
        <v>1200</v>
      </c>
      <c r="G4">
        <v>28</v>
      </c>
      <c r="H4">
        <v>36</v>
      </c>
      <c r="I4">
        <v>7</v>
      </c>
      <c r="J4" t="s">
        <v>313</v>
      </c>
      <c r="K4">
        <v>0</v>
      </c>
    </row>
    <row r="5" spans="1:11" x14ac:dyDescent="0.3">
      <c r="A5" t="s">
        <v>13</v>
      </c>
      <c r="B5" t="s">
        <v>14</v>
      </c>
      <c r="C5" t="s">
        <v>11</v>
      </c>
      <c r="D5" t="s">
        <v>15</v>
      </c>
      <c r="E5" s="2">
        <v>900</v>
      </c>
      <c r="F5" s="2">
        <v>1350</v>
      </c>
      <c r="G5">
        <v>41</v>
      </c>
      <c r="H5">
        <v>45</v>
      </c>
      <c r="I5">
        <v>21</v>
      </c>
      <c r="J5" t="s">
        <v>313</v>
      </c>
      <c r="K5">
        <v>0</v>
      </c>
    </row>
    <row r="6" spans="1:11" x14ac:dyDescent="0.3">
      <c r="A6" t="s">
        <v>16</v>
      </c>
      <c r="B6" t="s">
        <v>17</v>
      </c>
      <c r="C6" t="s">
        <v>11</v>
      </c>
      <c r="D6" t="s">
        <v>18</v>
      </c>
      <c r="E6" s="2">
        <v>950</v>
      </c>
      <c r="F6" s="2">
        <v>1400</v>
      </c>
      <c r="G6">
        <v>36</v>
      </c>
      <c r="H6">
        <v>58</v>
      </c>
      <c r="I6">
        <v>10</v>
      </c>
      <c r="J6" t="s">
        <v>313</v>
      </c>
      <c r="K6">
        <v>0</v>
      </c>
    </row>
    <row r="7" spans="1:11" x14ac:dyDescent="0.3">
      <c r="A7" t="s">
        <v>19</v>
      </c>
      <c r="B7" t="s">
        <v>20</v>
      </c>
      <c r="C7" t="s">
        <v>11</v>
      </c>
      <c r="D7" t="s">
        <v>21</v>
      </c>
      <c r="E7" s="2">
        <v>1000</v>
      </c>
      <c r="F7" s="2">
        <v>1500</v>
      </c>
      <c r="G7">
        <v>25</v>
      </c>
      <c r="H7">
        <v>55</v>
      </c>
      <c r="I7">
        <v>14</v>
      </c>
      <c r="J7" t="s">
        <v>313</v>
      </c>
      <c r="K7">
        <v>0</v>
      </c>
    </row>
    <row r="8" spans="1:11" x14ac:dyDescent="0.3">
      <c r="A8" t="s">
        <v>22</v>
      </c>
      <c r="B8" t="s">
        <v>23</v>
      </c>
      <c r="C8" t="s">
        <v>11</v>
      </c>
      <c r="D8" t="s">
        <v>24</v>
      </c>
      <c r="E8" s="2">
        <v>600</v>
      </c>
      <c r="F8" s="2">
        <v>899</v>
      </c>
      <c r="G8">
        <v>19</v>
      </c>
      <c r="H8">
        <v>12</v>
      </c>
      <c r="I8">
        <v>14</v>
      </c>
      <c r="J8" t="s">
        <v>314</v>
      </c>
      <c r="K8">
        <v>26</v>
      </c>
    </row>
    <row r="9" spans="1:11" x14ac:dyDescent="0.3">
      <c r="A9" t="s">
        <v>25</v>
      </c>
      <c r="B9" t="s">
        <v>26</v>
      </c>
      <c r="C9" t="s">
        <v>11</v>
      </c>
      <c r="D9" t="s">
        <v>12</v>
      </c>
      <c r="E9" s="2">
        <v>1100</v>
      </c>
      <c r="F9" s="2">
        <v>1650</v>
      </c>
      <c r="G9">
        <v>32</v>
      </c>
      <c r="H9">
        <v>11</v>
      </c>
      <c r="I9">
        <v>5</v>
      </c>
      <c r="J9" t="s">
        <v>315</v>
      </c>
      <c r="K9">
        <v>53</v>
      </c>
    </row>
    <row r="10" spans="1:11" x14ac:dyDescent="0.3">
      <c r="A10" t="s">
        <v>27</v>
      </c>
      <c r="B10" t="s">
        <v>28</v>
      </c>
      <c r="C10" t="s">
        <v>11</v>
      </c>
      <c r="D10" t="s">
        <v>29</v>
      </c>
      <c r="E10" s="2">
        <v>500</v>
      </c>
      <c r="F10" s="2">
        <v>750</v>
      </c>
      <c r="G10">
        <v>21</v>
      </c>
      <c r="H10">
        <v>15</v>
      </c>
      <c r="I10">
        <v>21</v>
      </c>
      <c r="J10" t="s">
        <v>314</v>
      </c>
      <c r="K10">
        <v>27</v>
      </c>
    </row>
    <row r="11" spans="1:11" x14ac:dyDescent="0.3">
      <c r="A11" t="s">
        <v>30</v>
      </c>
      <c r="B11" t="s">
        <v>31</v>
      </c>
      <c r="C11" t="s">
        <v>11</v>
      </c>
      <c r="D11" t="s">
        <v>32</v>
      </c>
      <c r="E11" s="2">
        <v>550</v>
      </c>
      <c r="F11" s="2">
        <v>800</v>
      </c>
      <c r="G11">
        <v>18</v>
      </c>
      <c r="H11">
        <v>49</v>
      </c>
      <c r="I11">
        <v>21</v>
      </c>
      <c r="J11" t="s">
        <v>313</v>
      </c>
      <c r="K11">
        <v>0</v>
      </c>
    </row>
    <row r="12" spans="1:11" x14ac:dyDescent="0.3">
      <c r="A12" t="s">
        <v>33</v>
      </c>
      <c r="B12" t="s">
        <v>34</v>
      </c>
      <c r="C12" t="s">
        <v>35</v>
      </c>
      <c r="D12" t="s">
        <v>36</v>
      </c>
      <c r="E12" s="2">
        <v>850</v>
      </c>
      <c r="F12" s="2">
        <v>1299</v>
      </c>
      <c r="G12">
        <v>20</v>
      </c>
      <c r="H12">
        <v>10</v>
      </c>
      <c r="I12">
        <v>7</v>
      </c>
      <c r="J12" t="s">
        <v>314</v>
      </c>
      <c r="K12">
        <v>30</v>
      </c>
    </row>
    <row r="13" spans="1:11" x14ac:dyDescent="0.3">
      <c r="A13" t="s">
        <v>37</v>
      </c>
      <c r="B13" t="s">
        <v>38</v>
      </c>
      <c r="C13" t="s">
        <v>35</v>
      </c>
      <c r="D13" t="s">
        <v>18</v>
      </c>
      <c r="E13" s="2">
        <v>900</v>
      </c>
      <c r="F13" s="2">
        <v>1399</v>
      </c>
      <c r="G13">
        <v>33</v>
      </c>
      <c r="H13">
        <v>30</v>
      </c>
      <c r="I13">
        <v>7</v>
      </c>
      <c r="J13" t="s">
        <v>314</v>
      </c>
      <c r="K13">
        <v>36</v>
      </c>
    </row>
    <row r="14" spans="1:11" x14ac:dyDescent="0.3">
      <c r="A14" t="s">
        <v>39</v>
      </c>
      <c r="B14" t="s">
        <v>40</v>
      </c>
      <c r="C14" t="s">
        <v>35</v>
      </c>
      <c r="D14" t="s">
        <v>41</v>
      </c>
      <c r="E14" s="2">
        <v>700</v>
      </c>
      <c r="F14" s="2">
        <v>999</v>
      </c>
      <c r="G14">
        <v>42</v>
      </c>
      <c r="H14">
        <v>40</v>
      </c>
      <c r="I14">
        <v>7</v>
      </c>
      <c r="J14" t="s">
        <v>314</v>
      </c>
      <c r="K14">
        <v>44</v>
      </c>
    </row>
    <row r="15" spans="1:11" x14ac:dyDescent="0.3">
      <c r="A15" t="s">
        <v>42</v>
      </c>
      <c r="B15" t="s">
        <v>43</v>
      </c>
      <c r="C15" t="s">
        <v>35</v>
      </c>
      <c r="D15" t="s">
        <v>44</v>
      </c>
      <c r="E15" s="2">
        <v>600</v>
      </c>
      <c r="F15" s="2">
        <v>899</v>
      </c>
      <c r="G15">
        <v>40</v>
      </c>
      <c r="H15">
        <v>28</v>
      </c>
      <c r="I15">
        <v>5</v>
      </c>
      <c r="J15" t="s">
        <v>314</v>
      </c>
      <c r="K15">
        <v>52</v>
      </c>
    </row>
    <row r="16" spans="1:11" x14ac:dyDescent="0.3">
      <c r="A16" t="s">
        <v>45</v>
      </c>
      <c r="B16" t="s">
        <v>46</v>
      </c>
      <c r="C16" t="s">
        <v>35</v>
      </c>
      <c r="D16" t="s">
        <v>47</v>
      </c>
      <c r="E16" s="2">
        <v>800</v>
      </c>
      <c r="F16" s="2">
        <v>1199</v>
      </c>
      <c r="G16">
        <v>18</v>
      </c>
      <c r="H16">
        <v>10</v>
      </c>
      <c r="I16">
        <v>21</v>
      </c>
      <c r="J16" t="s">
        <v>314</v>
      </c>
      <c r="K16">
        <v>26</v>
      </c>
    </row>
    <row r="17" spans="1:11" x14ac:dyDescent="0.3">
      <c r="A17" t="s">
        <v>48</v>
      </c>
      <c r="B17" t="s">
        <v>49</v>
      </c>
      <c r="C17" t="s">
        <v>35</v>
      </c>
      <c r="D17" t="s">
        <v>36</v>
      </c>
      <c r="E17" s="2">
        <v>300</v>
      </c>
      <c r="F17" s="2">
        <v>450</v>
      </c>
      <c r="G17">
        <v>15</v>
      </c>
      <c r="H17">
        <v>6</v>
      </c>
      <c r="I17">
        <v>7</v>
      </c>
      <c r="J17" t="s">
        <v>315</v>
      </c>
      <c r="K17">
        <v>24</v>
      </c>
    </row>
    <row r="18" spans="1:11" x14ac:dyDescent="0.3">
      <c r="A18" t="s">
        <v>50</v>
      </c>
      <c r="B18" t="s">
        <v>51</v>
      </c>
      <c r="C18" t="s">
        <v>35</v>
      </c>
      <c r="D18" t="s">
        <v>52</v>
      </c>
      <c r="E18" s="2">
        <v>350</v>
      </c>
      <c r="F18" s="2">
        <v>520</v>
      </c>
      <c r="G18">
        <v>25</v>
      </c>
      <c r="H18">
        <v>23</v>
      </c>
      <c r="I18">
        <v>14</v>
      </c>
      <c r="J18" t="s">
        <v>314</v>
      </c>
      <c r="K18">
        <v>27</v>
      </c>
    </row>
    <row r="19" spans="1:11" x14ac:dyDescent="0.3">
      <c r="A19" t="s">
        <v>53</v>
      </c>
      <c r="B19" t="s">
        <v>54</v>
      </c>
      <c r="C19" t="s">
        <v>35</v>
      </c>
      <c r="D19" t="s">
        <v>55</v>
      </c>
      <c r="E19" s="2">
        <v>200</v>
      </c>
      <c r="F19" s="2">
        <v>320</v>
      </c>
      <c r="G19">
        <v>33</v>
      </c>
      <c r="H19">
        <v>38</v>
      </c>
      <c r="I19">
        <v>10</v>
      </c>
      <c r="J19" t="s">
        <v>313</v>
      </c>
      <c r="K19">
        <v>0</v>
      </c>
    </row>
    <row r="20" spans="1:11" x14ac:dyDescent="0.3">
      <c r="A20" t="s">
        <v>56</v>
      </c>
      <c r="B20" t="s">
        <v>57</v>
      </c>
      <c r="C20" t="s">
        <v>58</v>
      </c>
      <c r="D20" t="s">
        <v>47</v>
      </c>
      <c r="E20" s="2">
        <v>220</v>
      </c>
      <c r="F20" s="2">
        <v>399</v>
      </c>
      <c r="G20">
        <v>18</v>
      </c>
      <c r="H20">
        <v>65</v>
      </c>
      <c r="I20">
        <v>10</v>
      </c>
      <c r="J20" t="s">
        <v>313</v>
      </c>
      <c r="K20">
        <v>0</v>
      </c>
    </row>
    <row r="21" spans="1:11" x14ac:dyDescent="0.3">
      <c r="A21" t="s">
        <v>59</v>
      </c>
      <c r="B21" t="s">
        <v>60</v>
      </c>
      <c r="C21" t="s">
        <v>58</v>
      </c>
      <c r="D21" t="s">
        <v>18</v>
      </c>
      <c r="E21" s="2">
        <v>150</v>
      </c>
      <c r="F21" s="2">
        <v>249</v>
      </c>
      <c r="G21">
        <v>41</v>
      </c>
      <c r="H21">
        <v>58</v>
      </c>
      <c r="I21">
        <v>7</v>
      </c>
      <c r="J21" t="s">
        <v>313</v>
      </c>
      <c r="K21">
        <v>0</v>
      </c>
    </row>
    <row r="22" spans="1:11" x14ac:dyDescent="0.3">
      <c r="A22" t="s">
        <v>61</v>
      </c>
      <c r="B22" t="s">
        <v>62</v>
      </c>
      <c r="C22" t="s">
        <v>58</v>
      </c>
      <c r="D22" t="s">
        <v>63</v>
      </c>
      <c r="E22" s="2">
        <v>200</v>
      </c>
      <c r="F22" s="2">
        <v>379</v>
      </c>
      <c r="G22">
        <v>16</v>
      </c>
      <c r="H22">
        <v>56</v>
      </c>
      <c r="I22">
        <v>21</v>
      </c>
      <c r="J22" t="s">
        <v>313</v>
      </c>
      <c r="K22">
        <v>0</v>
      </c>
    </row>
    <row r="23" spans="1:11" x14ac:dyDescent="0.3">
      <c r="A23" t="s">
        <v>64</v>
      </c>
      <c r="B23" t="s">
        <v>65</v>
      </c>
      <c r="C23" t="s">
        <v>58</v>
      </c>
      <c r="D23" t="s">
        <v>66</v>
      </c>
      <c r="E23" s="2">
        <v>250</v>
      </c>
      <c r="F23" s="2">
        <v>350</v>
      </c>
      <c r="G23">
        <v>28</v>
      </c>
      <c r="H23">
        <v>7</v>
      </c>
      <c r="I23">
        <v>14</v>
      </c>
      <c r="J23" t="s">
        <v>315</v>
      </c>
      <c r="K23">
        <v>49</v>
      </c>
    </row>
    <row r="24" spans="1:11" x14ac:dyDescent="0.3">
      <c r="A24" t="s">
        <v>67</v>
      </c>
      <c r="B24" t="s">
        <v>68</v>
      </c>
      <c r="C24" t="s">
        <v>58</v>
      </c>
      <c r="D24" t="s">
        <v>69</v>
      </c>
      <c r="E24" s="2">
        <v>80</v>
      </c>
      <c r="F24" s="2">
        <v>129</v>
      </c>
      <c r="G24">
        <v>40</v>
      </c>
      <c r="H24">
        <v>6</v>
      </c>
      <c r="I24">
        <v>10</v>
      </c>
      <c r="J24" t="s">
        <v>315</v>
      </c>
      <c r="K24">
        <v>74</v>
      </c>
    </row>
    <row r="25" spans="1:11" x14ac:dyDescent="0.3">
      <c r="A25" t="s">
        <v>70</v>
      </c>
      <c r="B25" t="s">
        <v>71</v>
      </c>
      <c r="C25" t="s">
        <v>58</v>
      </c>
      <c r="D25" t="s">
        <v>47</v>
      </c>
      <c r="E25" s="2">
        <v>60</v>
      </c>
      <c r="F25" s="2">
        <v>99</v>
      </c>
      <c r="G25">
        <v>43</v>
      </c>
      <c r="H25">
        <v>24</v>
      </c>
      <c r="I25">
        <v>14</v>
      </c>
      <c r="J25" t="s">
        <v>314</v>
      </c>
      <c r="K25">
        <v>62</v>
      </c>
    </row>
    <row r="26" spans="1:11" x14ac:dyDescent="0.3">
      <c r="A26" t="s">
        <v>72</v>
      </c>
      <c r="B26" t="s">
        <v>73</v>
      </c>
      <c r="C26" t="s">
        <v>58</v>
      </c>
      <c r="D26" t="s">
        <v>36</v>
      </c>
      <c r="E26" s="2">
        <v>110</v>
      </c>
      <c r="F26" s="2">
        <v>199</v>
      </c>
      <c r="G26">
        <v>18</v>
      </c>
      <c r="H26">
        <v>26</v>
      </c>
      <c r="I26">
        <v>10</v>
      </c>
      <c r="J26" t="s">
        <v>313</v>
      </c>
      <c r="K26">
        <v>0</v>
      </c>
    </row>
    <row r="27" spans="1:11" x14ac:dyDescent="0.3">
      <c r="A27" t="s">
        <v>74</v>
      </c>
      <c r="B27" t="s">
        <v>75</v>
      </c>
      <c r="C27" t="s">
        <v>58</v>
      </c>
      <c r="D27" t="s">
        <v>76</v>
      </c>
      <c r="E27" s="2">
        <v>180</v>
      </c>
      <c r="F27" s="2">
        <v>349</v>
      </c>
      <c r="G27">
        <v>31</v>
      </c>
      <c r="H27">
        <v>45</v>
      </c>
      <c r="I27">
        <v>5</v>
      </c>
      <c r="J27" t="s">
        <v>313</v>
      </c>
      <c r="K27">
        <v>0</v>
      </c>
    </row>
    <row r="28" spans="1:11" x14ac:dyDescent="0.3">
      <c r="A28" t="s">
        <v>77</v>
      </c>
      <c r="B28" t="s">
        <v>78</v>
      </c>
      <c r="C28" t="s">
        <v>79</v>
      </c>
      <c r="D28" t="s">
        <v>80</v>
      </c>
      <c r="E28" s="2">
        <v>60</v>
      </c>
      <c r="F28" s="2">
        <v>99</v>
      </c>
      <c r="G28">
        <v>33</v>
      </c>
      <c r="H28">
        <v>57</v>
      </c>
      <c r="I28">
        <v>21</v>
      </c>
      <c r="J28" t="s">
        <v>313</v>
      </c>
      <c r="K28">
        <v>0</v>
      </c>
    </row>
    <row r="29" spans="1:11" x14ac:dyDescent="0.3">
      <c r="A29" t="s">
        <v>81</v>
      </c>
      <c r="B29" t="s">
        <v>82</v>
      </c>
      <c r="C29" t="s">
        <v>79</v>
      </c>
      <c r="D29" t="s">
        <v>83</v>
      </c>
      <c r="E29" s="2">
        <v>100</v>
      </c>
      <c r="F29" s="2">
        <v>169</v>
      </c>
      <c r="G29">
        <v>17</v>
      </c>
      <c r="H29">
        <v>39</v>
      </c>
      <c r="I29">
        <v>10</v>
      </c>
      <c r="J29" t="s">
        <v>313</v>
      </c>
      <c r="K29">
        <v>0</v>
      </c>
    </row>
    <row r="30" spans="1:11" x14ac:dyDescent="0.3">
      <c r="A30" t="s">
        <v>84</v>
      </c>
      <c r="B30" t="s">
        <v>85</v>
      </c>
      <c r="C30" t="s">
        <v>79</v>
      </c>
      <c r="D30" t="s">
        <v>86</v>
      </c>
      <c r="E30" s="2">
        <v>120</v>
      </c>
      <c r="F30" s="2">
        <v>199</v>
      </c>
      <c r="G30">
        <v>15</v>
      </c>
      <c r="H30">
        <v>12</v>
      </c>
      <c r="I30">
        <v>7</v>
      </c>
      <c r="J30" t="s">
        <v>314</v>
      </c>
      <c r="K30">
        <v>18</v>
      </c>
    </row>
    <row r="31" spans="1:11" x14ac:dyDescent="0.3">
      <c r="A31" t="s">
        <v>87</v>
      </c>
      <c r="B31" t="s">
        <v>88</v>
      </c>
      <c r="C31" t="s">
        <v>79</v>
      </c>
      <c r="D31" t="s">
        <v>89</v>
      </c>
      <c r="E31" s="2">
        <v>350</v>
      </c>
      <c r="F31" s="2">
        <v>549</v>
      </c>
      <c r="G31">
        <v>38</v>
      </c>
      <c r="H31">
        <v>6</v>
      </c>
      <c r="I31">
        <v>5</v>
      </c>
      <c r="J31" t="s">
        <v>315</v>
      </c>
      <c r="K31">
        <v>70</v>
      </c>
    </row>
    <row r="32" spans="1:11" x14ac:dyDescent="0.3">
      <c r="A32" t="s">
        <v>90</v>
      </c>
      <c r="B32" t="s">
        <v>91</v>
      </c>
      <c r="C32" t="s">
        <v>79</v>
      </c>
      <c r="D32" t="s">
        <v>92</v>
      </c>
      <c r="E32" s="2">
        <v>120</v>
      </c>
      <c r="F32" s="2">
        <v>190</v>
      </c>
      <c r="G32">
        <v>42</v>
      </c>
      <c r="H32">
        <v>22</v>
      </c>
      <c r="I32">
        <v>5</v>
      </c>
      <c r="J32" t="s">
        <v>314</v>
      </c>
      <c r="K32">
        <v>62</v>
      </c>
    </row>
    <row r="33" spans="1:11" x14ac:dyDescent="0.3">
      <c r="A33" t="s">
        <v>93</v>
      </c>
      <c r="B33" t="s">
        <v>94</v>
      </c>
      <c r="C33" t="s">
        <v>79</v>
      </c>
      <c r="D33" t="s">
        <v>18</v>
      </c>
      <c r="E33" s="2">
        <v>25</v>
      </c>
      <c r="F33" s="2">
        <v>39</v>
      </c>
      <c r="G33">
        <v>27</v>
      </c>
      <c r="H33">
        <v>2</v>
      </c>
      <c r="I33">
        <v>5</v>
      </c>
      <c r="J33" t="s">
        <v>315</v>
      </c>
      <c r="K33">
        <v>52</v>
      </c>
    </row>
    <row r="34" spans="1:11" x14ac:dyDescent="0.3">
      <c r="A34" t="s">
        <v>95</v>
      </c>
      <c r="B34" t="s">
        <v>96</v>
      </c>
      <c r="C34" t="s">
        <v>79</v>
      </c>
      <c r="D34" t="s">
        <v>86</v>
      </c>
      <c r="E34" s="2">
        <v>15</v>
      </c>
      <c r="F34" s="2">
        <v>30</v>
      </c>
      <c r="G34">
        <v>15</v>
      </c>
      <c r="H34">
        <v>39</v>
      </c>
      <c r="I34">
        <v>10</v>
      </c>
      <c r="J34" t="s">
        <v>313</v>
      </c>
      <c r="K34">
        <v>0</v>
      </c>
    </row>
    <row r="35" spans="1:11" x14ac:dyDescent="0.3">
      <c r="A35" t="s">
        <v>97</v>
      </c>
      <c r="B35" t="s">
        <v>98</v>
      </c>
      <c r="C35" t="s">
        <v>79</v>
      </c>
      <c r="D35" t="s">
        <v>80</v>
      </c>
      <c r="E35" s="2">
        <v>80</v>
      </c>
      <c r="F35" s="2">
        <v>139</v>
      </c>
      <c r="G35">
        <v>19</v>
      </c>
      <c r="H35">
        <v>64</v>
      </c>
      <c r="I35">
        <v>14</v>
      </c>
      <c r="J35" t="s">
        <v>313</v>
      </c>
      <c r="K35">
        <v>0</v>
      </c>
    </row>
    <row r="36" spans="1:11" x14ac:dyDescent="0.3">
      <c r="A36" t="s">
        <v>99</v>
      </c>
      <c r="B36" t="s">
        <v>100</v>
      </c>
      <c r="C36" t="s">
        <v>101</v>
      </c>
      <c r="D36" t="s">
        <v>24</v>
      </c>
      <c r="E36" s="2">
        <v>200</v>
      </c>
      <c r="F36" s="2">
        <v>320</v>
      </c>
      <c r="G36">
        <v>20</v>
      </c>
      <c r="H36">
        <v>63</v>
      </c>
      <c r="I36">
        <v>5</v>
      </c>
      <c r="J36" t="s">
        <v>313</v>
      </c>
      <c r="K36">
        <v>0</v>
      </c>
    </row>
    <row r="37" spans="1:11" x14ac:dyDescent="0.3">
      <c r="A37" t="s">
        <v>102</v>
      </c>
      <c r="B37" t="s">
        <v>103</v>
      </c>
      <c r="C37" t="s">
        <v>101</v>
      </c>
      <c r="D37" t="s">
        <v>104</v>
      </c>
      <c r="E37" s="2">
        <v>180</v>
      </c>
      <c r="F37" s="2">
        <v>290</v>
      </c>
      <c r="G37">
        <v>17</v>
      </c>
      <c r="H37">
        <v>17</v>
      </c>
      <c r="I37">
        <v>21</v>
      </c>
      <c r="J37" t="s">
        <v>313</v>
      </c>
      <c r="K37">
        <v>0</v>
      </c>
    </row>
    <row r="38" spans="1:11" x14ac:dyDescent="0.3">
      <c r="A38" t="s">
        <v>105</v>
      </c>
      <c r="B38" t="s">
        <v>106</v>
      </c>
      <c r="C38" t="s">
        <v>101</v>
      </c>
      <c r="D38" t="s">
        <v>107</v>
      </c>
      <c r="E38" s="2">
        <v>300</v>
      </c>
      <c r="F38" s="2">
        <v>499</v>
      </c>
      <c r="G38">
        <v>15</v>
      </c>
      <c r="H38">
        <v>7</v>
      </c>
      <c r="I38">
        <v>10</v>
      </c>
      <c r="J38" t="s">
        <v>315</v>
      </c>
      <c r="K38">
        <v>23</v>
      </c>
    </row>
    <row r="39" spans="1:11" x14ac:dyDescent="0.3">
      <c r="A39" t="s">
        <v>108</v>
      </c>
      <c r="B39" t="s">
        <v>109</v>
      </c>
      <c r="C39" t="s">
        <v>101</v>
      </c>
      <c r="D39" t="s">
        <v>110</v>
      </c>
      <c r="E39" s="2">
        <v>70</v>
      </c>
      <c r="F39" s="2">
        <v>119</v>
      </c>
      <c r="G39">
        <v>37</v>
      </c>
      <c r="H39">
        <v>65</v>
      </c>
      <c r="I39">
        <v>10</v>
      </c>
      <c r="J39" t="s">
        <v>313</v>
      </c>
      <c r="K39">
        <v>0</v>
      </c>
    </row>
    <row r="40" spans="1:11" x14ac:dyDescent="0.3">
      <c r="A40" t="s">
        <v>111</v>
      </c>
      <c r="B40" t="s">
        <v>112</v>
      </c>
      <c r="C40" t="s">
        <v>101</v>
      </c>
      <c r="D40" t="s">
        <v>113</v>
      </c>
      <c r="E40" s="2">
        <v>1200</v>
      </c>
      <c r="F40" s="2">
        <v>1800</v>
      </c>
      <c r="G40">
        <v>44</v>
      </c>
      <c r="H40">
        <v>39</v>
      </c>
      <c r="I40">
        <v>5</v>
      </c>
      <c r="J40" t="s">
        <v>314</v>
      </c>
      <c r="K40">
        <v>49</v>
      </c>
    </row>
    <row r="41" spans="1:11" x14ac:dyDescent="0.3">
      <c r="A41" t="s">
        <v>114</v>
      </c>
      <c r="B41" t="s">
        <v>115</v>
      </c>
      <c r="C41" t="s">
        <v>101</v>
      </c>
      <c r="D41" t="s">
        <v>110</v>
      </c>
      <c r="E41" s="2">
        <v>45</v>
      </c>
      <c r="F41" s="2">
        <v>79</v>
      </c>
      <c r="G41">
        <v>34</v>
      </c>
      <c r="H41">
        <v>57</v>
      </c>
      <c r="I41">
        <v>10</v>
      </c>
      <c r="J41" t="s">
        <v>313</v>
      </c>
      <c r="K41">
        <v>0</v>
      </c>
    </row>
    <row r="42" spans="1:11" x14ac:dyDescent="0.3">
      <c r="A42" t="s">
        <v>116</v>
      </c>
      <c r="B42" t="s">
        <v>117</v>
      </c>
      <c r="C42" t="s">
        <v>101</v>
      </c>
      <c r="D42" t="s">
        <v>118</v>
      </c>
      <c r="E42" s="2">
        <v>150</v>
      </c>
      <c r="F42" s="2">
        <v>250</v>
      </c>
      <c r="G42">
        <v>30</v>
      </c>
      <c r="H42">
        <v>39</v>
      </c>
      <c r="I42">
        <v>10</v>
      </c>
      <c r="J42" t="s">
        <v>313</v>
      </c>
      <c r="K42">
        <v>0</v>
      </c>
    </row>
    <row r="43" spans="1:11" x14ac:dyDescent="0.3">
      <c r="A43" t="s">
        <v>119</v>
      </c>
      <c r="B43" t="s">
        <v>120</v>
      </c>
      <c r="C43" t="s">
        <v>101</v>
      </c>
      <c r="D43" t="s">
        <v>121</v>
      </c>
      <c r="E43" s="2">
        <v>60</v>
      </c>
      <c r="F43" s="2">
        <v>100</v>
      </c>
      <c r="G43">
        <v>43</v>
      </c>
      <c r="H43">
        <v>4</v>
      </c>
      <c r="I43">
        <v>10</v>
      </c>
      <c r="J43" t="s">
        <v>315</v>
      </c>
      <c r="K43">
        <v>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J36" sqref="J36"/>
    </sheetView>
  </sheetViews>
  <sheetFormatPr defaultRowHeight="14.4" x14ac:dyDescent="0.3"/>
  <cols>
    <col min="1" max="1" width="9.109375" bestFit="1" customWidth="1"/>
    <col min="2" max="2" width="19.77734375" bestFit="1" customWidth="1"/>
    <col min="3" max="3" width="15.21875" bestFit="1" customWidth="1"/>
    <col min="4" max="4" width="12.44140625" bestFit="1" customWidth="1"/>
    <col min="5" max="5" width="11.88671875" bestFit="1" customWidth="1"/>
    <col min="6" max="6" width="12.21875" bestFit="1" customWidth="1"/>
    <col min="7" max="7" width="11.77734375" bestFit="1" customWidth="1"/>
    <col min="8" max="8" width="11.5546875" bestFit="1" customWidth="1"/>
    <col min="9" max="9" width="12.777343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t="s">
        <v>10</v>
      </c>
      <c r="C2" t="s">
        <v>11</v>
      </c>
      <c r="D2" t="s">
        <v>12</v>
      </c>
      <c r="E2">
        <v>800</v>
      </c>
      <c r="F2">
        <v>1200</v>
      </c>
      <c r="G2">
        <v>28</v>
      </c>
      <c r="H2">
        <v>36</v>
      </c>
      <c r="I2">
        <v>7</v>
      </c>
    </row>
    <row r="3" spans="1:9" x14ac:dyDescent="0.3">
      <c r="A3" t="s">
        <v>13</v>
      </c>
      <c r="B3" t="s">
        <v>14</v>
      </c>
      <c r="C3" t="s">
        <v>11</v>
      </c>
      <c r="D3" t="s">
        <v>15</v>
      </c>
      <c r="E3">
        <v>900</v>
      </c>
      <c r="F3">
        <v>1350</v>
      </c>
      <c r="G3">
        <v>41</v>
      </c>
      <c r="H3">
        <v>45</v>
      </c>
      <c r="I3">
        <v>21</v>
      </c>
    </row>
    <row r="4" spans="1:9" x14ac:dyDescent="0.3">
      <c r="A4" t="s">
        <v>16</v>
      </c>
      <c r="B4" t="s">
        <v>17</v>
      </c>
      <c r="C4" t="s">
        <v>11</v>
      </c>
      <c r="D4" t="s">
        <v>18</v>
      </c>
      <c r="E4">
        <v>950</v>
      </c>
      <c r="F4">
        <v>1400</v>
      </c>
      <c r="G4">
        <v>36</v>
      </c>
      <c r="H4">
        <v>58</v>
      </c>
      <c r="I4">
        <v>10</v>
      </c>
    </row>
    <row r="5" spans="1:9" x14ac:dyDescent="0.3">
      <c r="A5" t="s">
        <v>19</v>
      </c>
      <c r="B5" t="s">
        <v>20</v>
      </c>
      <c r="C5" t="s">
        <v>11</v>
      </c>
      <c r="D5" t="s">
        <v>21</v>
      </c>
      <c r="E5">
        <v>1000</v>
      </c>
      <c r="F5">
        <v>1500</v>
      </c>
      <c r="G5">
        <v>25</v>
      </c>
      <c r="H5">
        <v>55</v>
      </c>
      <c r="I5">
        <v>14</v>
      </c>
    </row>
    <row r="6" spans="1:9" x14ac:dyDescent="0.3">
      <c r="A6" t="s">
        <v>22</v>
      </c>
      <c r="B6" t="s">
        <v>23</v>
      </c>
      <c r="C6" t="s">
        <v>11</v>
      </c>
      <c r="D6" t="s">
        <v>24</v>
      </c>
      <c r="E6">
        <v>600</v>
      </c>
      <c r="F6">
        <v>899</v>
      </c>
      <c r="G6">
        <v>19</v>
      </c>
      <c r="H6">
        <v>12</v>
      </c>
      <c r="I6">
        <v>14</v>
      </c>
    </row>
    <row r="7" spans="1:9" x14ac:dyDescent="0.3">
      <c r="A7" t="s">
        <v>25</v>
      </c>
      <c r="B7" t="s">
        <v>26</v>
      </c>
      <c r="C7" t="s">
        <v>11</v>
      </c>
      <c r="D7" t="s">
        <v>12</v>
      </c>
      <c r="E7">
        <v>1100</v>
      </c>
      <c r="F7">
        <v>1650</v>
      </c>
      <c r="G7">
        <v>32</v>
      </c>
      <c r="H7">
        <v>11</v>
      </c>
      <c r="I7">
        <v>5</v>
      </c>
    </row>
    <row r="8" spans="1:9" x14ac:dyDescent="0.3">
      <c r="A8" t="s">
        <v>27</v>
      </c>
      <c r="B8" t="s">
        <v>28</v>
      </c>
      <c r="C8" t="s">
        <v>11</v>
      </c>
      <c r="D8" t="s">
        <v>29</v>
      </c>
      <c r="E8">
        <v>500</v>
      </c>
      <c r="F8">
        <v>750</v>
      </c>
      <c r="G8">
        <v>21</v>
      </c>
      <c r="H8">
        <v>15</v>
      </c>
      <c r="I8">
        <v>21</v>
      </c>
    </row>
    <row r="9" spans="1:9" x14ac:dyDescent="0.3">
      <c r="A9" t="s">
        <v>30</v>
      </c>
      <c r="B9" t="s">
        <v>31</v>
      </c>
      <c r="C9" t="s">
        <v>11</v>
      </c>
      <c r="D9" t="s">
        <v>32</v>
      </c>
      <c r="E9">
        <v>550</v>
      </c>
      <c r="F9">
        <v>800</v>
      </c>
      <c r="G9">
        <v>18</v>
      </c>
      <c r="H9">
        <v>49</v>
      </c>
      <c r="I9">
        <v>21</v>
      </c>
    </row>
    <row r="10" spans="1:9" x14ac:dyDescent="0.3">
      <c r="A10" t="s">
        <v>33</v>
      </c>
      <c r="B10" t="s">
        <v>34</v>
      </c>
      <c r="C10" t="s">
        <v>35</v>
      </c>
      <c r="D10" t="s">
        <v>36</v>
      </c>
      <c r="E10">
        <v>850</v>
      </c>
      <c r="F10">
        <v>1299</v>
      </c>
      <c r="G10">
        <v>20</v>
      </c>
      <c r="H10">
        <v>10</v>
      </c>
      <c r="I10">
        <v>7</v>
      </c>
    </row>
    <row r="11" spans="1:9" x14ac:dyDescent="0.3">
      <c r="A11" t="s">
        <v>37</v>
      </c>
      <c r="B11" t="s">
        <v>38</v>
      </c>
      <c r="C11" t="s">
        <v>35</v>
      </c>
      <c r="D11" t="s">
        <v>18</v>
      </c>
      <c r="E11">
        <v>900</v>
      </c>
      <c r="F11">
        <v>1399</v>
      </c>
      <c r="G11">
        <v>33</v>
      </c>
      <c r="H11">
        <v>30</v>
      </c>
      <c r="I11">
        <v>7</v>
      </c>
    </row>
    <row r="12" spans="1:9" x14ac:dyDescent="0.3">
      <c r="A12" t="s">
        <v>39</v>
      </c>
      <c r="B12" t="s">
        <v>40</v>
      </c>
      <c r="C12" t="s">
        <v>35</v>
      </c>
      <c r="D12" t="s">
        <v>41</v>
      </c>
      <c r="E12">
        <v>700</v>
      </c>
      <c r="F12">
        <v>999</v>
      </c>
      <c r="G12">
        <v>42</v>
      </c>
      <c r="H12">
        <v>40</v>
      </c>
      <c r="I12">
        <v>7</v>
      </c>
    </row>
    <row r="13" spans="1:9" x14ac:dyDescent="0.3">
      <c r="A13" t="s">
        <v>42</v>
      </c>
      <c r="B13" t="s">
        <v>43</v>
      </c>
      <c r="C13" t="s">
        <v>35</v>
      </c>
      <c r="D13" t="s">
        <v>44</v>
      </c>
      <c r="E13">
        <v>600</v>
      </c>
      <c r="F13">
        <v>899</v>
      </c>
      <c r="G13">
        <v>40</v>
      </c>
      <c r="H13">
        <v>28</v>
      </c>
      <c r="I13">
        <v>5</v>
      </c>
    </row>
    <row r="14" spans="1:9" x14ac:dyDescent="0.3">
      <c r="A14" t="s">
        <v>45</v>
      </c>
      <c r="B14" t="s">
        <v>46</v>
      </c>
      <c r="C14" t="s">
        <v>35</v>
      </c>
      <c r="D14" t="s">
        <v>47</v>
      </c>
      <c r="E14">
        <v>800</v>
      </c>
      <c r="F14">
        <v>1199</v>
      </c>
      <c r="G14">
        <v>18</v>
      </c>
      <c r="H14">
        <v>10</v>
      </c>
      <c r="I14">
        <v>21</v>
      </c>
    </row>
    <row r="15" spans="1:9" x14ac:dyDescent="0.3">
      <c r="A15" t="s">
        <v>48</v>
      </c>
      <c r="B15" t="s">
        <v>49</v>
      </c>
      <c r="C15" t="s">
        <v>35</v>
      </c>
      <c r="D15" t="s">
        <v>36</v>
      </c>
      <c r="E15">
        <v>300</v>
      </c>
      <c r="F15">
        <v>450</v>
      </c>
      <c r="G15">
        <v>15</v>
      </c>
      <c r="H15">
        <v>6</v>
      </c>
      <c r="I15">
        <v>7</v>
      </c>
    </row>
    <row r="16" spans="1:9" x14ac:dyDescent="0.3">
      <c r="A16" t="s">
        <v>50</v>
      </c>
      <c r="B16" t="s">
        <v>51</v>
      </c>
      <c r="C16" t="s">
        <v>35</v>
      </c>
      <c r="D16" t="s">
        <v>52</v>
      </c>
      <c r="E16">
        <v>350</v>
      </c>
      <c r="F16">
        <v>520</v>
      </c>
      <c r="G16">
        <v>25</v>
      </c>
      <c r="H16">
        <v>23</v>
      </c>
      <c r="I16">
        <v>14</v>
      </c>
    </row>
    <row r="17" spans="1:9" x14ac:dyDescent="0.3">
      <c r="A17" t="s">
        <v>53</v>
      </c>
      <c r="B17" t="s">
        <v>54</v>
      </c>
      <c r="C17" t="s">
        <v>35</v>
      </c>
      <c r="D17" t="s">
        <v>55</v>
      </c>
      <c r="E17">
        <v>200</v>
      </c>
      <c r="F17">
        <v>320</v>
      </c>
      <c r="G17">
        <v>33</v>
      </c>
      <c r="H17">
        <v>38</v>
      </c>
      <c r="I17">
        <v>10</v>
      </c>
    </row>
    <row r="18" spans="1:9" x14ac:dyDescent="0.3">
      <c r="A18" t="s">
        <v>56</v>
      </c>
      <c r="B18" t="s">
        <v>57</v>
      </c>
      <c r="C18" t="s">
        <v>58</v>
      </c>
      <c r="D18" t="s">
        <v>47</v>
      </c>
      <c r="E18">
        <v>220</v>
      </c>
      <c r="F18">
        <v>399</v>
      </c>
      <c r="G18">
        <v>18</v>
      </c>
      <c r="H18">
        <v>65</v>
      </c>
      <c r="I18">
        <v>10</v>
      </c>
    </row>
    <row r="19" spans="1:9" x14ac:dyDescent="0.3">
      <c r="A19" t="s">
        <v>59</v>
      </c>
      <c r="B19" t="s">
        <v>60</v>
      </c>
      <c r="C19" t="s">
        <v>58</v>
      </c>
      <c r="D19" t="s">
        <v>18</v>
      </c>
      <c r="E19">
        <v>150</v>
      </c>
      <c r="F19">
        <v>249</v>
      </c>
      <c r="G19">
        <v>41</v>
      </c>
      <c r="H19">
        <v>58</v>
      </c>
      <c r="I19">
        <v>7</v>
      </c>
    </row>
    <row r="20" spans="1:9" x14ac:dyDescent="0.3">
      <c r="A20" t="s">
        <v>61</v>
      </c>
      <c r="B20" t="s">
        <v>62</v>
      </c>
      <c r="C20" t="s">
        <v>58</v>
      </c>
      <c r="D20" t="s">
        <v>63</v>
      </c>
      <c r="E20">
        <v>200</v>
      </c>
      <c r="F20">
        <v>379</v>
      </c>
      <c r="G20">
        <v>16</v>
      </c>
      <c r="H20">
        <v>56</v>
      </c>
      <c r="I20">
        <v>21</v>
      </c>
    </row>
    <row r="21" spans="1:9" x14ac:dyDescent="0.3">
      <c r="A21" t="s">
        <v>64</v>
      </c>
      <c r="B21" t="s">
        <v>65</v>
      </c>
      <c r="C21" t="s">
        <v>58</v>
      </c>
      <c r="D21" t="s">
        <v>66</v>
      </c>
      <c r="E21">
        <v>250</v>
      </c>
      <c r="F21">
        <v>350</v>
      </c>
      <c r="G21">
        <v>28</v>
      </c>
      <c r="H21">
        <v>7</v>
      </c>
      <c r="I21">
        <v>14</v>
      </c>
    </row>
    <row r="22" spans="1:9" x14ac:dyDescent="0.3">
      <c r="A22" t="s">
        <v>67</v>
      </c>
      <c r="B22" t="s">
        <v>68</v>
      </c>
      <c r="C22" t="s">
        <v>58</v>
      </c>
      <c r="D22" t="s">
        <v>69</v>
      </c>
      <c r="E22">
        <v>80</v>
      </c>
      <c r="F22">
        <v>129</v>
      </c>
      <c r="G22">
        <v>40</v>
      </c>
      <c r="H22">
        <v>6</v>
      </c>
      <c r="I22">
        <v>10</v>
      </c>
    </row>
    <row r="23" spans="1:9" x14ac:dyDescent="0.3">
      <c r="A23" t="s">
        <v>70</v>
      </c>
      <c r="B23" t="s">
        <v>71</v>
      </c>
      <c r="C23" t="s">
        <v>58</v>
      </c>
      <c r="D23" t="s">
        <v>47</v>
      </c>
      <c r="E23">
        <v>60</v>
      </c>
      <c r="F23">
        <v>99</v>
      </c>
      <c r="G23">
        <v>43</v>
      </c>
      <c r="H23">
        <v>24</v>
      </c>
      <c r="I23">
        <v>14</v>
      </c>
    </row>
    <row r="24" spans="1:9" x14ac:dyDescent="0.3">
      <c r="A24" t="s">
        <v>72</v>
      </c>
      <c r="B24" t="s">
        <v>73</v>
      </c>
      <c r="C24" t="s">
        <v>58</v>
      </c>
      <c r="D24" t="s">
        <v>36</v>
      </c>
      <c r="E24">
        <v>110</v>
      </c>
      <c r="F24">
        <v>199</v>
      </c>
      <c r="G24">
        <v>18</v>
      </c>
      <c r="H24">
        <v>26</v>
      </c>
      <c r="I24">
        <v>10</v>
      </c>
    </row>
    <row r="25" spans="1:9" x14ac:dyDescent="0.3">
      <c r="A25" t="s">
        <v>74</v>
      </c>
      <c r="B25" t="s">
        <v>75</v>
      </c>
      <c r="C25" t="s">
        <v>58</v>
      </c>
      <c r="D25" t="s">
        <v>76</v>
      </c>
      <c r="E25">
        <v>180</v>
      </c>
      <c r="F25">
        <v>349</v>
      </c>
      <c r="G25">
        <v>31</v>
      </c>
      <c r="H25">
        <v>45</v>
      </c>
      <c r="I25">
        <v>5</v>
      </c>
    </row>
    <row r="26" spans="1:9" x14ac:dyDescent="0.3">
      <c r="A26" t="s">
        <v>77</v>
      </c>
      <c r="B26" t="s">
        <v>78</v>
      </c>
      <c r="C26" t="s">
        <v>79</v>
      </c>
      <c r="D26" t="s">
        <v>80</v>
      </c>
      <c r="E26">
        <v>60</v>
      </c>
      <c r="F26">
        <v>99</v>
      </c>
      <c r="G26">
        <v>33</v>
      </c>
      <c r="H26">
        <v>57</v>
      </c>
      <c r="I26">
        <v>21</v>
      </c>
    </row>
    <row r="27" spans="1:9" x14ac:dyDescent="0.3">
      <c r="A27" t="s">
        <v>81</v>
      </c>
      <c r="B27" t="s">
        <v>82</v>
      </c>
      <c r="C27" t="s">
        <v>79</v>
      </c>
      <c r="D27" t="s">
        <v>83</v>
      </c>
      <c r="E27">
        <v>100</v>
      </c>
      <c r="F27">
        <v>169</v>
      </c>
      <c r="G27">
        <v>17</v>
      </c>
      <c r="H27">
        <v>39</v>
      </c>
      <c r="I27">
        <v>10</v>
      </c>
    </row>
    <row r="28" spans="1:9" x14ac:dyDescent="0.3">
      <c r="A28" t="s">
        <v>84</v>
      </c>
      <c r="B28" t="s">
        <v>85</v>
      </c>
      <c r="C28" t="s">
        <v>79</v>
      </c>
      <c r="D28" t="s">
        <v>86</v>
      </c>
      <c r="E28">
        <v>120</v>
      </c>
      <c r="F28">
        <v>199</v>
      </c>
      <c r="G28">
        <v>15</v>
      </c>
      <c r="H28">
        <v>12</v>
      </c>
      <c r="I28">
        <v>7</v>
      </c>
    </row>
    <row r="29" spans="1:9" x14ac:dyDescent="0.3">
      <c r="A29" t="s">
        <v>87</v>
      </c>
      <c r="B29" t="s">
        <v>88</v>
      </c>
      <c r="C29" t="s">
        <v>79</v>
      </c>
      <c r="D29" t="s">
        <v>89</v>
      </c>
      <c r="E29">
        <v>350</v>
      </c>
      <c r="F29">
        <v>549</v>
      </c>
      <c r="G29">
        <v>38</v>
      </c>
      <c r="H29">
        <v>6</v>
      </c>
      <c r="I29">
        <v>5</v>
      </c>
    </row>
    <row r="30" spans="1:9" x14ac:dyDescent="0.3">
      <c r="A30" t="s">
        <v>90</v>
      </c>
      <c r="B30" t="s">
        <v>91</v>
      </c>
      <c r="C30" t="s">
        <v>79</v>
      </c>
      <c r="D30" t="s">
        <v>92</v>
      </c>
      <c r="E30">
        <v>120</v>
      </c>
      <c r="F30">
        <v>190</v>
      </c>
      <c r="G30">
        <v>42</v>
      </c>
      <c r="H30">
        <v>22</v>
      </c>
      <c r="I30">
        <v>5</v>
      </c>
    </row>
    <row r="31" spans="1:9" x14ac:dyDescent="0.3">
      <c r="A31" t="s">
        <v>93</v>
      </c>
      <c r="B31" t="s">
        <v>94</v>
      </c>
      <c r="C31" t="s">
        <v>79</v>
      </c>
      <c r="D31" t="s">
        <v>18</v>
      </c>
      <c r="E31">
        <v>25</v>
      </c>
      <c r="F31">
        <v>39</v>
      </c>
      <c r="G31">
        <v>27</v>
      </c>
      <c r="H31">
        <v>2</v>
      </c>
      <c r="I31">
        <v>5</v>
      </c>
    </row>
    <row r="32" spans="1:9" x14ac:dyDescent="0.3">
      <c r="A32" t="s">
        <v>95</v>
      </c>
      <c r="B32" t="s">
        <v>96</v>
      </c>
      <c r="C32" t="s">
        <v>79</v>
      </c>
      <c r="D32" t="s">
        <v>86</v>
      </c>
      <c r="E32">
        <v>15</v>
      </c>
      <c r="F32">
        <v>30</v>
      </c>
      <c r="G32">
        <v>15</v>
      </c>
      <c r="H32">
        <v>39</v>
      </c>
      <c r="I32">
        <v>10</v>
      </c>
    </row>
    <row r="33" spans="1:9" x14ac:dyDescent="0.3">
      <c r="A33" t="s">
        <v>97</v>
      </c>
      <c r="B33" t="s">
        <v>98</v>
      </c>
      <c r="C33" t="s">
        <v>79</v>
      </c>
      <c r="D33" t="s">
        <v>80</v>
      </c>
      <c r="E33">
        <v>80</v>
      </c>
      <c r="F33">
        <v>139</v>
      </c>
      <c r="G33">
        <v>19</v>
      </c>
      <c r="H33">
        <v>64</v>
      </c>
      <c r="I33">
        <v>14</v>
      </c>
    </row>
    <row r="34" spans="1:9" x14ac:dyDescent="0.3">
      <c r="A34" t="s">
        <v>99</v>
      </c>
      <c r="B34" t="s">
        <v>100</v>
      </c>
      <c r="C34" t="s">
        <v>101</v>
      </c>
      <c r="D34" t="s">
        <v>24</v>
      </c>
      <c r="E34">
        <v>200</v>
      </c>
      <c r="F34">
        <v>320</v>
      </c>
      <c r="G34">
        <v>20</v>
      </c>
      <c r="H34">
        <v>63</v>
      </c>
      <c r="I34">
        <v>5</v>
      </c>
    </row>
    <row r="35" spans="1:9" x14ac:dyDescent="0.3">
      <c r="A35" t="s">
        <v>102</v>
      </c>
      <c r="B35" t="s">
        <v>103</v>
      </c>
      <c r="C35" t="s">
        <v>101</v>
      </c>
      <c r="D35" t="s">
        <v>104</v>
      </c>
      <c r="E35">
        <v>180</v>
      </c>
      <c r="F35">
        <v>290</v>
      </c>
      <c r="G35">
        <v>17</v>
      </c>
      <c r="H35">
        <v>17</v>
      </c>
      <c r="I35">
        <v>21</v>
      </c>
    </row>
    <row r="36" spans="1:9" x14ac:dyDescent="0.3">
      <c r="A36" t="s">
        <v>105</v>
      </c>
      <c r="B36" t="s">
        <v>106</v>
      </c>
      <c r="C36" t="s">
        <v>101</v>
      </c>
      <c r="D36" t="s">
        <v>107</v>
      </c>
      <c r="E36">
        <v>300</v>
      </c>
      <c r="F36">
        <v>499</v>
      </c>
      <c r="G36">
        <v>15</v>
      </c>
      <c r="H36">
        <v>7</v>
      </c>
      <c r="I36">
        <v>10</v>
      </c>
    </row>
    <row r="37" spans="1:9" x14ac:dyDescent="0.3">
      <c r="A37" t="s">
        <v>108</v>
      </c>
      <c r="B37" t="s">
        <v>109</v>
      </c>
      <c r="C37" t="s">
        <v>101</v>
      </c>
      <c r="D37" t="s">
        <v>110</v>
      </c>
      <c r="E37">
        <v>70</v>
      </c>
      <c r="F37">
        <v>119</v>
      </c>
      <c r="G37">
        <v>37</v>
      </c>
      <c r="H37">
        <v>65</v>
      </c>
      <c r="I37">
        <v>10</v>
      </c>
    </row>
    <row r="38" spans="1:9" x14ac:dyDescent="0.3">
      <c r="A38" t="s">
        <v>111</v>
      </c>
      <c r="B38" t="s">
        <v>112</v>
      </c>
      <c r="C38" t="s">
        <v>101</v>
      </c>
      <c r="D38" t="s">
        <v>113</v>
      </c>
      <c r="E38">
        <v>1200</v>
      </c>
      <c r="F38">
        <v>1800</v>
      </c>
      <c r="G38">
        <v>44</v>
      </c>
      <c r="H38">
        <v>39</v>
      </c>
      <c r="I38">
        <v>5</v>
      </c>
    </row>
    <row r="39" spans="1:9" x14ac:dyDescent="0.3">
      <c r="A39" t="s">
        <v>114</v>
      </c>
      <c r="B39" t="s">
        <v>115</v>
      </c>
      <c r="C39" t="s">
        <v>101</v>
      </c>
      <c r="D39" t="s">
        <v>110</v>
      </c>
      <c r="E39">
        <v>45</v>
      </c>
      <c r="F39">
        <v>79</v>
      </c>
      <c r="G39">
        <v>34</v>
      </c>
      <c r="H39">
        <v>57</v>
      </c>
      <c r="I39">
        <v>10</v>
      </c>
    </row>
    <row r="40" spans="1:9" x14ac:dyDescent="0.3">
      <c r="A40" t="s">
        <v>116</v>
      </c>
      <c r="B40" t="s">
        <v>117</v>
      </c>
      <c r="C40" t="s">
        <v>101</v>
      </c>
      <c r="D40" t="s">
        <v>118</v>
      </c>
      <c r="E40">
        <v>150</v>
      </c>
      <c r="F40">
        <v>250</v>
      </c>
      <c r="G40">
        <v>30</v>
      </c>
      <c r="H40">
        <v>39</v>
      </c>
      <c r="I40">
        <v>10</v>
      </c>
    </row>
    <row r="41" spans="1:9" x14ac:dyDescent="0.3">
      <c r="A41" t="s">
        <v>119</v>
      </c>
      <c r="B41" t="s">
        <v>120</v>
      </c>
      <c r="C41" t="s">
        <v>101</v>
      </c>
      <c r="D41" t="s">
        <v>121</v>
      </c>
      <c r="E41">
        <v>60</v>
      </c>
      <c r="F41">
        <v>100</v>
      </c>
      <c r="G41">
        <v>43</v>
      </c>
      <c r="H41">
        <v>4</v>
      </c>
      <c r="I41">
        <v>10</v>
      </c>
    </row>
    <row r="42" spans="1:9" x14ac:dyDescent="0.3">
      <c r="A42" t="s">
        <v>122</v>
      </c>
      <c r="B42" t="s">
        <v>123</v>
      </c>
      <c r="C42" t="s">
        <v>124</v>
      </c>
      <c r="D42" t="s">
        <v>47</v>
      </c>
      <c r="E42">
        <v>400</v>
      </c>
      <c r="F42">
        <v>499</v>
      </c>
      <c r="G42">
        <v>44</v>
      </c>
      <c r="H42">
        <v>63</v>
      </c>
      <c r="I42">
        <v>7</v>
      </c>
    </row>
    <row r="43" spans="1:9" x14ac:dyDescent="0.3">
      <c r="A43" t="s">
        <v>125</v>
      </c>
      <c r="B43" t="s">
        <v>126</v>
      </c>
      <c r="C43" t="s">
        <v>124</v>
      </c>
      <c r="D43" t="s">
        <v>127</v>
      </c>
      <c r="E43">
        <v>400</v>
      </c>
      <c r="F43">
        <v>499</v>
      </c>
      <c r="G43">
        <v>20</v>
      </c>
      <c r="H43">
        <v>70</v>
      </c>
      <c r="I43">
        <v>21</v>
      </c>
    </row>
    <row r="44" spans="1:9" x14ac:dyDescent="0.3">
      <c r="A44" t="s">
        <v>128</v>
      </c>
      <c r="B44" t="s">
        <v>129</v>
      </c>
      <c r="C44" t="s">
        <v>124</v>
      </c>
      <c r="D44" t="s">
        <v>130</v>
      </c>
      <c r="E44">
        <v>280</v>
      </c>
      <c r="F44">
        <v>349</v>
      </c>
      <c r="G44">
        <v>42</v>
      </c>
      <c r="H44">
        <v>5</v>
      </c>
      <c r="I44">
        <v>5</v>
      </c>
    </row>
    <row r="45" spans="1:9" x14ac:dyDescent="0.3">
      <c r="A45" t="s">
        <v>131</v>
      </c>
      <c r="B45" t="s">
        <v>132</v>
      </c>
      <c r="C45" t="s">
        <v>124</v>
      </c>
      <c r="D45" t="s">
        <v>133</v>
      </c>
      <c r="E45">
        <v>450</v>
      </c>
      <c r="F45">
        <v>649</v>
      </c>
      <c r="G45">
        <v>19</v>
      </c>
      <c r="H45">
        <v>33</v>
      </c>
      <c r="I45">
        <v>14</v>
      </c>
    </row>
    <row r="46" spans="1:9" x14ac:dyDescent="0.3">
      <c r="A46" t="s">
        <v>134</v>
      </c>
      <c r="B46" t="s">
        <v>135</v>
      </c>
      <c r="C46" t="s">
        <v>124</v>
      </c>
      <c r="D46" t="s">
        <v>136</v>
      </c>
      <c r="E46">
        <v>350</v>
      </c>
      <c r="F46">
        <v>499</v>
      </c>
      <c r="G46">
        <v>16</v>
      </c>
      <c r="H46">
        <v>33</v>
      </c>
      <c r="I46">
        <v>10</v>
      </c>
    </row>
    <row r="47" spans="1:9" x14ac:dyDescent="0.3">
      <c r="A47" t="s">
        <v>137</v>
      </c>
      <c r="B47" t="s">
        <v>138</v>
      </c>
      <c r="C47" t="s">
        <v>124</v>
      </c>
      <c r="D47" t="s">
        <v>139</v>
      </c>
      <c r="E47">
        <v>250</v>
      </c>
      <c r="F47">
        <v>399</v>
      </c>
      <c r="G47">
        <v>37</v>
      </c>
      <c r="H47">
        <v>22</v>
      </c>
      <c r="I47">
        <v>5</v>
      </c>
    </row>
    <row r="48" spans="1:9" x14ac:dyDescent="0.3">
      <c r="A48" t="s">
        <v>140</v>
      </c>
      <c r="B48" t="s">
        <v>141</v>
      </c>
      <c r="C48" t="s">
        <v>124</v>
      </c>
      <c r="D48" t="s">
        <v>142</v>
      </c>
      <c r="E48">
        <v>200</v>
      </c>
      <c r="F48">
        <v>380</v>
      </c>
      <c r="G48">
        <v>42</v>
      </c>
      <c r="H48">
        <v>9</v>
      </c>
      <c r="I48">
        <v>5</v>
      </c>
    </row>
    <row r="49" spans="1:9" x14ac:dyDescent="0.3">
      <c r="A49" t="s">
        <v>143</v>
      </c>
      <c r="B49" t="s">
        <v>144</v>
      </c>
      <c r="C49" t="s">
        <v>124</v>
      </c>
      <c r="D49" t="s">
        <v>80</v>
      </c>
      <c r="E49">
        <v>180</v>
      </c>
      <c r="F49">
        <v>299</v>
      </c>
      <c r="G49">
        <v>23</v>
      </c>
      <c r="H49">
        <v>57</v>
      </c>
      <c r="I49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Customer Analysis</vt:lpstr>
      <vt:lpstr>Sales Summary</vt:lpstr>
      <vt:lpstr>Monthly Budget</vt:lpstr>
      <vt:lpstr>Sales Data</vt:lpstr>
      <vt:lpstr>Executive Dashboard</vt:lpstr>
      <vt:lpstr>Inventory &amp; Reorder Analysis</vt:lpstr>
      <vt:lpstr>Product Master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2026-09-01T20:03:27Z</dcterms:created>
  <dcterms:modified xsi:type="dcterms:W3CDTF">2026-09-01T20:10:23Z</dcterms:modified>
</cp:coreProperties>
</file>