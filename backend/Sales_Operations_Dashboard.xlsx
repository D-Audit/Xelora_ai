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xelora-integrated\xelora-merged\backend\"/>
    </mc:Choice>
  </mc:AlternateContent>
  <bookViews>
    <workbookView minimized="1" xWindow="0" yWindow="0" windowWidth="7476" windowHeight="4068" firstSheet="4" activeTab="4"/>
  </bookViews>
  <sheets>
    <sheet name="ReadMe" sheetId="6" r:id="rId1"/>
    <sheet name="Forecast" sheetId="5" r:id="rId2"/>
    <sheet name="Summary_Sales" sheetId="4" r:id="rId3"/>
    <sheet name="Dashboard" sheetId="3" r:id="rId4"/>
    <sheet name="RawData" sheetId="2" r:id="rId5"/>
    <sheet name="Sheet1" sheetId="1" r:id="rId6"/>
  </sheet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B2" i="5"/>
  <c r="B3" i="5"/>
  <c r="B4" i="5"/>
  <c r="B5" i="5"/>
  <c r="B6" i="5"/>
  <c r="B7" i="5"/>
  <c r="B6" i="3"/>
  <c r="B5" i="3"/>
  <c r="B4" i="3"/>
  <c r="B3" i="3"/>
  <c r="B2" i="3"/>
  <c r="H2" i="2" l="1"/>
  <c r="H3" i="2"/>
  <c r="H4" i="2"/>
  <c r="H5" i="2"/>
  <c r="H6" i="2"/>
  <c r="H7" i="2"/>
  <c r="H8" i="2"/>
  <c r="H9" i="2"/>
  <c r="I9" i="2" s="1"/>
  <c r="H10" i="2"/>
  <c r="H11" i="2"/>
  <c r="H12" i="2"/>
  <c r="J12" i="2" s="1"/>
  <c r="H13" i="2"/>
  <c r="J13" i="2" s="1"/>
  <c r="H14" i="2"/>
  <c r="H15" i="2"/>
  <c r="H16" i="2"/>
  <c r="H17" i="2"/>
  <c r="H18" i="2"/>
  <c r="H19" i="2"/>
  <c r="J19" i="2" s="1"/>
  <c r="H20" i="2"/>
  <c r="I20" i="2" s="1"/>
  <c r="H21" i="2"/>
  <c r="I21" i="2" s="1"/>
  <c r="H22" i="2"/>
  <c r="H23" i="2"/>
  <c r="H24" i="2"/>
  <c r="J24" i="2" s="1"/>
  <c r="H25" i="2"/>
  <c r="J25" i="2" s="1"/>
  <c r="H26" i="2"/>
  <c r="H27" i="2"/>
  <c r="H28" i="2"/>
  <c r="H29" i="2"/>
  <c r="H30" i="2"/>
  <c r="H31" i="2"/>
  <c r="J31" i="2" s="1"/>
  <c r="H32" i="2"/>
  <c r="H33" i="2"/>
  <c r="H34" i="2"/>
  <c r="H35" i="2"/>
  <c r="H36" i="2"/>
  <c r="J36" i="2" s="1"/>
  <c r="H37" i="2"/>
  <c r="J37" i="2" s="1"/>
  <c r="H38" i="2"/>
  <c r="H39" i="2"/>
  <c r="H40" i="2"/>
  <c r="H41" i="2"/>
  <c r="H42" i="2"/>
  <c r="H43" i="2"/>
  <c r="J43" i="2" s="1"/>
  <c r="H44" i="2"/>
  <c r="H45" i="2"/>
  <c r="H46" i="2"/>
  <c r="H47" i="2"/>
  <c r="H48" i="2"/>
  <c r="J48" i="2" s="1"/>
  <c r="H49" i="2"/>
  <c r="J49" i="2" s="1"/>
  <c r="H50" i="2"/>
  <c r="H51" i="2"/>
  <c r="H52" i="2"/>
  <c r="H53" i="2"/>
  <c r="H54" i="2"/>
  <c r="H55" i="2"/>
  <c r="J55" i="2" s="1"/>
  <c r="H56" i="2"/>
  <c r="H57" i="2"/>
  <c r="I57" i="2" s="1"/>
  <c r="H58" i="2"/>
  <c r="H59" i="2"/>
  <c r="H60" i="2"/>
  <c r="J60" i="2" s="1"/>
  <c r="H61" i="2"/>
  <c r="J61" i="2" s="1"/>
  <c r="H62" i="2"/>
  <c r="H63" i="2"/>
  <c r="H64" i="2"/>
  <c r="H65" i="2"/>
  <c r="H66" i="2"/>
  <c r="H67" i="2"/>
  <c r="J67" i="2" s="1"/>
  <c r="H68" i="2"/>
  <c r="I68" i="2" s="1"/>
  <c r="H69" i="2"/>
  <c r="I69" i="2" s="1"/>
  <c r="H70" i="2"/>
  <c r="H71" i="2"/>
  <c r="H72" i="2"/>
  <c r="J72" i="2" s="1"/>
  <c r="H73" i="2"/>
  <c r="J73" i="2" s="1"/>
  <c r="H74" i="2"/>
  <c r="H75" i="2"/>
  <c r="H76" i="2"/>
  <c r="H77" i="2"/>
  <c r="H78" i="2"/>
  <c r="H79" i="2"/>
  <c r="J79" i="2" s="1"/>
  <c r="H80" i="2"/>
  <c r="H81" i="2"/>
  <c r="H82" i="2"/>
  <c r="H83" i="2"/>
  <c r="H84" i="2"/>
  <c r="J84" i="2" s="1"/>
  <c r="H85" i="2"/>
  <c r="J85" i="2" s="1"/>
  <c r="H86" i="2"/>
  <c r="H87" i="2"/>
  <c r="H88" i="2"/>
  <c r="H89" i="2"/>
  <c r="H90" i="2"/>
  <c r="H91" i="2"/>
  <c r="J91" i="2" s="1"/>
  <c r="H92" i="2"/>
  <c r="H93" i="2"/>
  <c r="H94" i="2"/>
  <c r="H95" i="2"/>
  <c r="H96" i="2"/>
  <c r="J96" i="2" s="1"/>
  <c r="H97" i="2"/>
  <c r="J97" i="2" s="1"/>
  <c r="H98" i="2"/>
  <c r="H99" i="2"/>
  <c r="H100" i="2"/>
  <c r="H101" i="2"/>
  <c r="H102" i="2"/>
  <c r="H103" i="2"/>
  <c r="J103" i="2" s="1"/>
  <c r="H104" i="2"/>
  <c r="H105" i="2"/>
  <c r="I105" i="2" s="1"/>
  <c r="H106" i="2"/>
  <c r="H107" i="2"/>
  <c r="H108" i="2"/>
  <c r="J108" i="2" s="1"/>
  <c r="H109" i="2"/>
  <c r="J109" i="2" s="1"/>
  <c r="H110" i="2"/>
  <c r="H111" i="2"/>
  <c r="H112" i="2"/>
  <c r="H113" i="2"/>
  <c r="H114" i="2"/>
  <c r="H115" i="2"/>
  <c r="J115" i="2" s="1"/>
  <c r="H116" i="2"/>
  <c r="I116" i="2" s="1"/>
  <c r="H117" i="2"/>
  <c r="I117" i="2" s="1"/>
  <c r="H118" i="2"/>
  <c r="H119" i="2"/>
  <c r="H120" i="2"/>
  <c r="J120" i="2" s="1"/>
  <c r="H121" i="2"/>
  <c r="J121" i="2" s="1"/>
  <c r="H122" i="2"/>
  <c r="H123" i="2"/>
  <c r="H124" i="2"/>
  <c r="H125" i="2"/>
  <c r="H126" i="2"/>
  <c r="H127" i="2"/>
  <c r="J127" i="2" s="1"/>
  <c r="H128" i="2"/>
  <c r="H129" i="2"/>
  <c r="H130" i="2"/>
  <c r="H131" i="2"/>
  <c r="H132" i="2"/>
  <c r="J132" i="2" s="1"/>
  <c r="H133" i="2"/>
  <c r="J133" i="2" s="1"/>
  <c r="H134" i="2"/>
  <c r="H135" i="2"/>
  <c r="H136" i="2"/>
  <c r="H137" i="2"/>
  <c r="H138" i="2"/>
  <c r="H139" i="2"/>
  <c r="J139" i="2" s="1"/>
  <c r="H140" i="2"/>
  <c r="H141" i="2"/>
  <c r="H142" i="2"/>
  <c r="H143" i="2"/>
  <c r="H144" i="2"/>
  <c r="J144" i="2" s="1"/>
  <c r="H145" i="2"/>
  <c r="J145" i="2" s="1"/>
  <c r="H146" i="2"/>
  <c r="H147" i="2"/>
  <c r="H148" i="2"/>
  <c r="H149" i="2"/>
  <c r="H150" i="2"/>
  <c r="H151" i="2"/>
  <c r="J151" i="2" s="1"/>
  <c r="H152" i="2"/>
  <c r="H153" i="2"/>
  <c r="I153" i="2" s="1"/>
  <c r="H154" i="2"/>
  <c r="H155" i="2"/>
  <c r="H156" i="2"/>
  <c r="J156" i="2" s="1"/>
  <c r="H157" i="2"/>
  <c r="J157" i="2" s="1"/>
  <c r="H158" i="2"/>
  <c r="H159" i="2"/>
  <c r="H160" i="2"/>
  <c r="H161" i="2"/>
  <c r="H162" i="2"/>
  <c r="H163" i="2"/>
  <c r="J163" i="2" s="1"/>
  <c r="H164" i="2"/>
  <c r="I164" i="2" s="1"/>
  <c r="H165" i="2"/>
  <c r="I165" i="2" s="1"/>
  <c r="H166" i="2"/>
  <c r="H167" i="2"/>
  <c r="H168" i="2"/>
  <c r="J168" i="2" s="1"/>
  <c r="H169" i="2"/>
  <c r="J169" i="2" s="1"/>
  <c r="H170" i="2"/>
  <c r="H171" i="2"/>
  <c r="H172" i="2"/>
  <c r="H173" i="2"/>
  <c r="H174" i="2"/>
  <c r="H175" i="2"/>
  <c r="J175" i="2" s="1"/>
  <c r="H176" i="2"/>
  <c r="H177" i="2"/>
  <c r="H178" i="2"/>
  <c r="H179" i="2"/>
  <c r="H180" i="2"/>
  <c r="J180" i="2" s="1"/>
  <c r="H181" i="2"/>
  <c r="J181" i="2" s="1"/>
  <c r="H182" i="2"/>
  <c r="H183" i="2"/>
  <c r="H184" i="2"/>
  <c r="H185" i="2"/>
  <c r="H186" i="2"/>
  <c r="H187" i="2"/>
  <c r="J187" i="2" s="1"/>
  <c r="H188" i="2"/>
  <c r="H189" i="2"/>
  <c r="H190" i="2"/>
  <c r="H191" i="2"/>
  <c r="H192" i="2"/>
  <c r="J192" i="2" s="1"/>
  <c r="H193" i="2"/>
  <c r="J193" i="2" s="1"/>
  <c r="H194" i="2"/>
  <c r="H195" i="2"/>
  <c r="H196" i="2"/>
  <c r="H197" i="2"/>
  <c r="H198" i="2"/>
  <c r="H199" i="2"/>
  <c r="J199" i="2" s="1"/>
  <c r="H200" i="2"/>
  <c r="H201" i="2"/>
  <c r="I201" i="2" s="1"/>
  <c r="H202" i="2"/>
  <c r="H203" i="2"/>
  <c r="H204" i="2"/>
  <c r="J204" i="2" s="1"/>
  <c r="H205" i="2"/>
  <c r="J205" i="2" s="1"/>
  <c r="H206" i="2"/>
  <c r="H207" i="2"/>
  <c r="H208" i="2"/>
  <c r="H209" i="2"/>
  <c r="H210" i="2"/>
  <c r="H211" i="2"/>
  <c r="J211" i="2" s="1"/>
  <c r="H212" i="2"/>
  <c r="I212" i="2" s="1"/>
  <c r="H213" i="2"/>
  <c r="I213" i="2" s="1"/>
  <c r="H214" i="2"/>
  <c r="H215" i="2"/>
  <c r="H216" i="2"/>
  <c r="J216" i="2" s="1"/>
  <c r="H217" i="2"/>
  <c r="J217" i="2" s="1"/>
  <c r="H218" i="2"/>
  <c r="H219" i="2"/>
  <c r="H220" i="2"/>
  <c r="H221" i="2"/>
  <c r="H222" i="2"/>
  <c r="H223" i="2"/>
  <c r="J223" i="2" s="1"/>
  <c r="H224" i="2"/>
  <c r="H225" i="2"/>
  <c r="I225" i="2" s="1"/>
  <c r="H226" i="2"/>
  <c r="H227" i="2"/>
  <c r="H228" i="2"/>
  <c r="J228" i="2" s="1"/>
  <c r="H229" i="2"/>
  <c r="J229" i="2" s="1"/>
  <c r="H230" i="2"/>
  <c r="H231" i="2"/>
  <c r="H232" i="2"/>
  <c r="H233" i="2"/>
  <c r="H234" i="2"/>
  <c r="H235" i="2"/>
  <c r="J235" i="2" s="1"/>
  <c r="H236" i="2"/>
  <c r="H237" i="2"/>
  <c r="H238" i="2"/>
  <c r="H239" i="2"/>
  <c r="H240" i="2"/>
  <c r="J240" i="2" s="1"/>
  <c r="H241" i="2"/>
  <c r="J241" i="2" s="1"/>
  <c r="H242" i="2"/>
  <c r="H243" i="2"/>
  <c r="H244" i="2"/>
  <c r="H245" i="2"/>
  <c r="H246" i="2"/>
  <c r="H247" i="2"/>
  <c r="J247" i="2" s="1"/>
  <c r="H248" i="2"/>
  <c r="H249" i="2"/>
  <c r="I249" i="2" s="1"/>
  <c r="H250" i="2"/>
  <c r="H251" i="2"/>
  <c r="H252" i="2"/>
  <c r="J252" i="2" s="1"/>
  <c r="H253" i="2"/>
  <c r="J253" i="2" s="1"/>
  <c r="H254" i="2"/>
  <c r="H255" i="2"/>
  <c r="H256" i="2"/>
  <c r="H257" i="2"/>
  <c r="H258" i="2"/>
  <c r="H259" i="2"/>
  <c r="J259" i="2" s="1"/>
  <c r="H260" i="2"/>
  <c r="I260" i="2" s="1"/>
  <c r="H261" i="2"/>
  <c r="I261" i="2" s="1"/>
  <c r="H262" i="2"/>
  <c r="H263" i="2"/>
  <c r="H264" i="2"/>
  <c r="J264" i="2" s="1"/>
  <c r="H265" i="2"/>
  <c r="J265" i="2" s="1"/>
  <c r="H266" i="2"/>
  <c r="H267" i="2"/>
  <c r="H268" i="2"/>
  <c r="H269" i="2"/>
  <c r="H270" i="2"/>
  <c r="H271" i="2"/>
  <c r="J271" i="2" s="1"/>
  <c r="H272" i="2"/>
  <c r="H273" i="2"/>
  <c r="I273" i="2" s="1"/>
  <c r="H274" i="2"/>
  <c r="H275" i="2"/>
  <c r="H276" i="2"/>
  <c r="J276" i="2" s="1"/>
  <c r="H277" i="2"/>
  <c r="J277" i="2" s="1"/>
  <c r="H278" i="2"/>
  <c r="H279" i="2"/>
  <c r="H280" i="2"/>
  <c r="H281" i="2"/>
  <c r="H282" i="2"/>
  <c r="H283" i="2"/>
  <c r="J283" i="2" s="1"/>
  <c r="H284" i="2"/>
  <c r="H285" i="2"/>
  <c r="H286" i="2"/>
  <c r="H287" i="2"/>
  <c r="H288" i="2"/>
  <c r="J288" i="2" s="1"/>
  <c r="H289" i="2"/>
  <c r="J289" i="2" s="1"/>
  <c r="H290" i="2"/>
  <c r="H291" i="2"/>
  <c r="H292" i="2"/>
  <c r="H293" i="2"/>
  <c r="H294" i="2"/>
  <c r="H295" i="2"/>
  <c r="J295" i="2" s="1"/>
  <c r="H296" i="2"/>
  <c r="H297" i="2"/>
  <c r="I297" i="2" s="1"/>
  <c r="H298" i="2"/>
  <c r="H299" i="2"/>
  <c r="H300" i="2"/>
  <c r="J300" i="2" s="1"/>
  <c r="H301" i="2"/>
  <c r="J301" i="2" s="1"/>
  <c r="H302" i="2"/>
  <c r="H303" i="2"/>
  <c r="H304" i="2"/>
  <c r="H305" i="2"/>
  <c r="H306" i="2"/>
  <c r="H307" i="2"/>
  <c r="J307" i="2" s="1"/>
  <c r="H308" i="2"/>
  <c r="I308" i="2" s="1"/>
  <c r="H309" i="2"/>
  <c r="I309" i="2" s="1"/>
  <c r="H310" i="2"/>
  <c r="H311" i="2"/>
  <c r="H312" i="2"/>
  <c r="J312" i="2" s="1"/>
  <c r="H313" i="2"/>
  <c r="J313" i="2" s="1"/>
  <c r="H314" i="2"/>
  <c r="H315" i="2"/>
  <c r="H316" i="2"/>
  <c r="H317" i="2"/>
  <c r="H318" i="2"/>
  <c r="H319" i="2"/>
  <c r="J319" i="2" s="1"/>
  <c r="H320" i="2"/>
  <c r="H321" i="2"/>
  <c r="I321" i="2" s="1"/>
  <c r="H322" i="2"/>
  <c r="H323" i="2"/>
  <c r="H324" i="2"/>
  <c r="J324" i="2" s="1"/>
  <c r="H325" i="2"/>
  <c r="J325" i="2" s="1"/>
  <c r="H326" i="2"/>
  <c r="H327" i="2"/>
  <c r="H328" i="2"/>
  <c r="H329" i="2"/>
  <c r="H330" i="2"/>
  <c r="H331" i="2"/>
  <c r="J331" i="2" s="1"/>
  <c r="H332" i="2"/>
  <c r="H333" i="2"/>
  <c r="H334" i="2"/>
  <c r="H335" i="2"/>
  <c r="H336" i="2"/>
  <c r="J336" i="2" s="1"/>
  <c r="H337" i="2"/>
  <c r="J337" i="2" s="1"/>
  <c r="H338" i="2"/>
  <c r="H339" i="2"/>
  <c r="H340" i="2"/>
  <c r="H341" i="2"/>
  <c r="H342" i="2"/>
  <c r="H343" i="2"/>
  <c r="J343" i="2" s="1"/>
  <c r="H344" i="2"/>
  <c r="H345" i="2"/>
  <c r="I345" i="2" s="1"/>
  <c r="H346" i="2"/>
  <c r="H347" i="2"/>
  <c r="H348" i="2"/>
  <c r="J348" i="2" s="1"/>
  <c r="H349" i="2"/>
  <c r="J349" i="2" s="1"/>
  <c r="H350" i="2"/>
  <c r="H351" i="2"/>
  <c r="H352" i="2"/>
  <c r="H353" i="2"/>
  <c r="H354" i="2"/>
  <c r="H355" i="2"/>
  <c r="J355" i="2" s="1"/>
  <c r="H356" i="2"/>
  <c r="I356" i="2" s="1"/>
  <c r="H357" i="2"/>
  <c r="I357" i="2" s="1"/>
  <c r="H358" i="2"/>
  <c r="H359" i="2"/>
  <c r="H360" i="2"/>
  <c r="J360" i="2" s="1"/>
  <c r="H361" i="2"/>
  <c r="J361" i="2" s="1"/>
  <c r="H362" i="2"/>
  <c r="H363" i="2"/>
  <c r="H364" i="2"/>
  <c r="H365" i="2"/>
  <c r="H366" i="2"/>
  <c r="H367" i="2"/>
  <c r="J367" i="2" s="1"/>
  <c r="H368" i="2"/>
  <c r="H369" i="2"/>
  <c r="I369" i="2" s="1"/>
  <c r="H370" i="2"/>
  <c r="H371" i="2"/>
  <c r="H372" i="2"/>
  <c r="J372" i="2" s="1"/>
  <c r="H373" i="2"/>
  <c r="J373" i="2" s="1"/>
  <c r="H374" i="2"/>
  <c r="H375" i="2"/>
  <c r="H376" i="2"/>
  <c r="H377" i="2"/>
  <c r="H378" i="2"/>
  <c r="H379" i="2"/>
  <c r="J379" i="2" s="1"/>
  <c r="H380" i="2"/>
  <c r="H381" i="2"/>
  <c r="H382" i="2"/>
  <c r="H383" i="2"/>
  <c r="H384" i="2"/>
  <c r="J384" i="2" s="1"/>
  <c r="H385" i="2"/>
  <c r="J385" i="2" s="1"/>
  <c r="H386" i="2"/>
  <c r="H387" i="2"/>
  <c r="H388" i="2"/>
  <c r="H389" i="2"/>
  <c r="H390" i="2"/>
  <c r="H391" i="2"/>
  <c r="J391" i="2" s="1"/>
  <c r="H392" i="2"/>
  <c r="H393" i="2"/>
  <c r="I393" i="2" s="1"/>
  <c r="H394" i="2"/>
  <c r="H395" i="2"/>
  <c r="H396" i="2"/>
  <c r="J396" i="2" s="1"/>
  <c r="H397" i="2"/>
  <c r="J397" i="2" s="1"/>
  <c r="H398" i="2"/>
  <c r="H399" i="2"/>
  <c r="H400" i="2"/>
  <c r="H401" i="2"/>
  <c r="H402" i="2"/>
  <c r="H403" i="2"/>
  <c r="J403" i="2" s="1"/>
  <c r="H404" i="2"/>
  <c r="I404" i="2" s="1"/>
  <c r="H405" i="2"/>
  <c r="I405" i="2" s="1"/>
  <c r="H406" i="2"/>
  <c r="H407" i="2"/>
  <c r="H408" i="2"/>
  <c r="J408" i="2" s="1"/>
  <c r="H409" i="2"/>
  <c r="J409" i="2" s="1"/>
  <c r="H410" i="2"/>
  <c r="H411" i="2"/>
  <c r="H412" i="2"/>
  <c r="H413" i="2"/>
  <c r="H414" i="2"/>
  <c r="H415" i="2"/>
  <c r="J415" i="2" s="1"/>
  <c r="H416" i="2"/>
  <c r="H417" i="2"/>
  <c r="I417" i="2" s="1"/>
  <c r="H418" i="2"/>
  <c r="H419" i="2"/>
  <c r="H420" i="2"/>
  <c r="J420" i="2" s="1"/>
  <c r="H421" i="2"/>
  <c r="J421" i="2" s="1"/>
  <c r="H422" i="2"/>
  <c r="H423" i="2"/>
  <c r="H424" i="2"/>
  <c r="H425" i="2"/>
  <c r="H426" i="2"/>
  <c r="H427" i="2"/>
  <c r="J427" i="2" s="1"/>
  <c r="H428" i="2"/>
  <c r="H429" i="2"/>
  <c r="H430" i="2"/>
  <c r="H431" i="2"/>
  <c r="H432" i="2"/>
  <c r="J432" i="2" s="1"/>
  <c r="H433" i="2"/>
  <c r="J433" i="2" s="1"/>
  <c r="H434" i="2"/>
  <c r="H435" i="2"/>
  <c r="H436" i="2"/>
  <c r="H437" i="2"/>
  <c r="H438" i="2"/>
  <c r="H439" i="2"/>
  <c r="J439" i="2" s="1"/>
  <c r="H440" i="2"/>
  <c r="H441" i="2"/>
  <c r="I441" i="2" s="1"/>
  <c r="H442" i="2"/>
  <c r="H443" i="2"/>
  <c r="H444" i="2"/>
  <c r="J444" i="2" s="1"/>
  <c r="H445" i="2"/>
  <c r="J445" i="2" s="1"/>
  <c r="H446" i="2"/>
  <c r="H447" i="2"/>
  <c r="H448" i="2"/>
  <c r="H449" i="2"/>
  <c r="H450" i="2"/>
  <c r="H451" i="2"/>
  <c r="J451" i="2" s="1"/>
  <c r="H452" i="2"/>
  <c r="I452" i="2" s="1"/>
  <c r="H453" i="2"/>
  <c r="I453" i="2" s="1"/>
  <c r="H454" i="2"/>
  <c r="H455" i="2"/>
  <c r="H456" i="2"/>
  <c r="J456" i="2" s="1"/>
  <c r="H457" i="2"/>
  <c r="J457" i="2" s="1"/>
  <c r="H458" i="2"/>
  <c r="H459" i="2"/>
  <c r="H460" i="2"/>
  <c r="H461" i="2"/>
  <c r="H462" i="2"/>
  <c r="H463" i="2"/>
  <c r="J463" i="2" s="1"/>
  <c r="H464" i="2"/>
  <c r="H465" i="2"/>
  <c r="I465" i="2" s="1"/>
  <c r="H466" i="2"/>
  <c r="H467" i="2"/>
  <c r="H468" i="2"/>
  <c r="J468" i="2" s="1"/>
  <c r="H469" i="2"/>
  <c r="J469" i="2" s="1"/>
  <c r="H470" i="2"/>
  <c r="H471" i="2"/>
  <c r="H472" i="2"/>
  <c r="H473" i="2"/>
  <c r="H474" i="2"/>
  <c r="H475" i="2"/>
  <c r="J475" i="2" s="1"/>
  <c r="H476" i="2"/>
  <c r="H477" i="2"/>
  <c r="H478" i="2"/>
  <c r="H479" i="2"/>
  <c r="H480" i="2"/>
  <c r="J480" i="2" s="1"/>
  <c r="H481" i="2"/>
  <c r="J481" i="2" s="1"/>
  <c r="H482" i="2"/>
  <c r="H483" i="2"/>
  <c r="H484" i="2"/>
  <c r="H485" i="2"/>
  <c r="H486" i="2"/>
  <c r="H487" i="2"/>
  <c r="J487" i="2" s="1"/>
  <c r="H488" i="2"/>
  <c r="H489" i="2"/>
  <c r="I489" i="2" s="1"/>
  <c r="H490" i="2"/>
  <c r="H491" i="2"/>
  <c r="H492" i="2"/>
  <c r="J492" i="2" s="1"/>
  <c r="H493" i="2"/>
  <c r="J493" i="2" s="1"/>
  <c r="H494" i="2"/>
  <c r="H495" i="2"/>
  <c r="H496" i="2"/>
  <c r="H497" i="2"/>
  <c r="H498" i="2"/>
  <c r="H499" i="2"/>
  <c r="J499" i="2" s="1"/>
  <c r="H500" i="2"/>
  <c r="I500" i="2" s="1"/>
  <c r="H501" i="2"/>
  <c r="I501" i="2" s="1"/>
  <c r="H502" i="2"/>
  <c r="H503" i="2"/>
  <c r="H504" i="2"/>
  <c r="J504" i="2" s="1"/>
  <c r="H505" i="2"/>
  <c r="J505" i="2" s="1"/>
  <c r="H506" i="2"/>
  <c r="H507" i="2"/>
  <c r="H508" i="2"/>
  <c r="H509" i="2"/>
  <c r="H510" i="2"/>
  <c r="H511" i="2"/>
  <c r="J511" i="2" s="1"/>
  <c r="H512" i="2"/>
  <c r="H513" i="2"/>
  <c r="I513" i="2" s="1"/>
  <c r="H514" i="2"/>
  <c r="H515" i="2"/>
  <c r="H516" i="2"/>
  <c r="J516" i="2" s="1"/>
  <c r="H517" i="2"/>
  <c r="J517" i="2" s="1"/>
  <c r="H518" i="2"/>
  <c r="H519" i="2"/>
  <c r="H520" i="2"/>
  <c r="H521" i="2"/>
  <c r="H522" i="2"/>
  <c r="H523" i="2"/>
  <c r="J523" i="2" s="1"/>
  <c r="H524" i="2"/>
  <c r="H525" i="2"/>
  <c r="H526" i="2"/>
  <c r="H527" i="2"/>
  <c r="H528" i="2"/>
  <c r="J528" i="2" s="1"/>
  <c r="H529" i="2"/>
  <c r="J529" i="2" s="1"/>
  <c r="H530" i="2"/>
  <c r="H531" i="2"/>
  <c r="H532" i="2"/>
  <c r="H533" i="2"/>
  <c r="H534" i="2"/>
  <c r="H535" i="2"/>
  <c r="J535" i="2" s="1"/>
  <c r="H536" i="2"/>
  <c r="H537" i="2"/>
  <c r="I537" i="2" s="1"/>
  <c r="H538" i="2"/>
  <c r="H539" i="2"/>
  <c r="H540" i="2"/>
  <c r="J540" i="2" s="1"/>
  <c r="H541" i="2"/>
  <c r="J541" i="2" s="1"/>
  <c r="H542" i="2"/>
  <c r="H543" i="2"/>
  <c r="H544" i="2"/>
  <c r="H545" i="2"/>
  <c r="H546" i="2"/>
  <c r="H547" i="2"/>
  <c r="J547" i="2" s="1"/>
  <c r="H548" i="2"/>
  <c r="I548" i="2" s="1"/>
  <c r="H549" i="2"/>
  <c r="I549" i="2" s="1"/>
  <c r="H550" i="2"/>
  <c r="H551" i="2"/>
  <c r="H552" i="2"/>
  <c r="J552" i="2" s="1"/>
  <c r="H553" i="2"/>
  <c r="J553" i="2" s="1"/>
  <c r="H554" i="2"/>
  <c r="H555" i="2"/>
  <c r="H556" i="2"/>
  <c r="H557" i="2"/>
  <c r="H558" i="2"/>
  <c r="H559" i="2"/>
  <c r="J559" i="2" s="1"/>
  <c r="H560" i="2"/>
  <c r="H561" i="2"/>
  <c r="I561" i="2" s="1"/>
  <c r="H562" i="2"/>
  <c r="H563" i="2"/>
  <c r="H564" i="2"/>
  <c r="J564" i="2" s="1"/>
  <c r="H565" i="2"/>
  <c r="J565" i="2" s="1"/>
  <c r="H566" i="2"/>
  <c r="H567" i="2"/>
  <c r="H568" i="2"/>
  <c r="H569" i="2"/>
  <c r="H570" i="2"/>
  <c r="H571" i="2"/>
  <c r="J571" i="2" s="1"/>
  <c r="H572" i="2"/>
  <c r="H573" i="2"/>
  <c r="H574" i="2"/>
  <c r="H575" i="2"/>
  <c r="H576" i="2"/>
  <c r="J576" i="2" s="1"/>
  <c r="H577" i="2"/>
  <c r="J577" i="2" s="1"/>
  <c r="H578" i="2"/>
  <c r="H579" i="2"/>
  <c r="H580" i="2"/>
  <c r="H581" i="2"/>
  <c r="H582" i="2"/>
  <c r="H583" i="2"/>
  <c r="J583" i="2" s="1"/>
  <c r="H584" i="2"/>
  <c r="H585" i="2"/>
  <c r="I585" i="2" s="1"/>
  <c r="H586" i="2"/>
  <c r="H587" i="2"/>
  <c r="H588" i="2"/>
  <c r="J588" i="2" s="1"/>
  <c r="H589" i="2"/>
  <c r="J589" i="2" s="1"/>
  <c r="H590" i="2"/>
  <c r="H591" i="2"/>
  <c r="H592" i="2"/>
  <c r="H593" i="2"/>
  <c r="H594" i="2"/>
  <c r="H595" i="2"/>
  <c r="J595" i="2" s="1"/>
  <c r="T595" i="2" s="1"/>
  <c r="H596" i="2"/>
  <c r="I596" i="2" s="1"/>
  <c r="H597" i="2"/>
  <c r="I597" i="2" s="1"/>
  <c r="H598" i="2"/>
  <c r="H599" i="2"/>
  <c r="H600" i="2"/>
  <c r="J600" i="2" s="1"/>
  <c r="H601" i="2"/>
  <c r="J601" i="2" s="1"/>
  <c r="H602" i="2"/>
  <c r="H603" i="2"/>
  <c r="H604" i="2"/>
  <c r="H605" i="2"/>
  <c r="H606" i="2"/>
  <c r="H607" i="2"/>
  <c r="J607" i="2" s="1"/>
  <c r="H608" i="2"/>
  <c r="I608" i="2" s="1"/>
  <c r="H609" i="2"/>
  <c r="I609" i="2" s="1"/>
  <c r="H610" i="2"/>
  <c r="H611" i="2"/>
  <c r="H612" i="2"/>
  <c r="J612" i="2" s="1"/>
  <c r="H613" i="2"/>
  <c r="J613" i="2" s="1"/>
  <c r="H614" i="2"/>
  <c r="H615" i="2"/>
  <c r="H616" i="2"/>
  <c r="H617" i="2"/>
  <c r="H618" i="2"/>
  <c r="H619" i="2"/>
  <c r="J619" i="2" s="1"/>
  <c r="H620" i="2"/>
  <c r="H621" i="2"/>
  <c r="H622" i="2"/>
  <c r="H623" i="2"/>
  <c r="H624" i="2"/>
  <c r="J624" i="2" s="1"/>
  <c r="H625" i="2"/>
  <c r="J625" i="2" s="1"/>
  <c r="H626" i="2"/>
  <c r="H627" i="2"/>
  <c r="H628" i="2"/>
  <c r="H629" i="2"/>
  <c r="H630" i="2"/>
  <c r="H631" i="2"/>
  <c r="J631" i="2" s="1"/>
  <c r="T631" i="2" s="1"/>
  <c r="H632" i="2"/>
  <c r="H633" i="2"/>
  <c r="I633" i="2" s="1"/>
  <c r="H634" i="2"/>
  <c r="H635" i="2"/>
  <c r="H636" i="2"/>
  <c r="J636" i="2" s="1"/>
  <c r="H637" i="2"/>
  <c r="J637" i="2" s="1"/>
  <c r="H638" i="2"/>
  <c r="H639" i="2"/>
  <c r="H640" i="2"/>
  <c r="H641" i="2"/>
  <c r="H642" i="2"/>
  <c r="H643" i="2"/>
  <c r="J643" i="2" s="1"/>
  <c r="H644" i="2"/>
  <c r="I644" i="2" s="1"/>
  <c r="H645" i="2"/>
  <c r="I645" i="2" s="1"/>
  <c r="H646" i="2"/>
  <c r="H647" i="2"/>
  <c r="H648" i="2"/>
  <c r="J648" i="2" s="1"/>
  <c r="H649" i="2"/>
  <c r="J649" i="2" s="1"/>
  <c r="H650" i="2"/>
  <c r="H651" i="2"/>
  <c r="H652" i="2"/>
  <c r="H653" i="2"/>
  <c r="H654" i="2"/>
  <c r="H655" i="2"/>
  <c r="J655" i="2" s="1"/>
  <c r="H656" i="2"/>
  <c r="I656" i="2" s="1"/>
  <c r="H657" i="2"/>
  <c r="I657" i="2" s="1"/>
  <c r="H658" i="2"/>
  <c r="H659" i="2"/>
  <c r="H660" i="2"/>
  <c r="J660" i="2" s="1"/>
  <c r="H661" i="2"/>
  <c r="J661" i="2" s="1"/>
  <c r="H662" i="2"/>
  <c r="H663" i="2"/>
  <c r="H664" i="2"/>
  <c r="H665" i="2"/>
  <c r="H666" i="2"/>
  <c r="H667" i="2"/>
  <c r="J667" i="2" s="1"/>
  <c r="H668" i="2"/>
  <c r="H669" i="2"/>
  <c r="H670" i="2"/>
  <c r="H671" i="2"/>
  <c r="H672" i="2"/>
  <c r="J672" i="2" s="1"/>
  <c r="H673" i="2"/>
  <c r="J673" i="2" s="1"/>
  <c r="H674" i="2"/>
  <c r="H675" i="2"/>
  <c r="H676" i="2"/>
  <c r="H677" i="2"/>
  <c r="H678" i="2"/>
  <c r="H679" i="2"/>
  <c r="J679" i="2" s="1"/>
  <c r="H680" i="2"/>
  <c r="H681" i="2"/>
  <c r="I681" i="2" s="1"/>
  <c r="H682" i="2"/>
  <c r="H683" i="2"/>
  <c r="H684" i="2"/>
  <c r="J684" i="2" s="1"/>
  <c r="H685" i="2"/>
  <c r="J685" i="2" s="1"/>
  <c r="H686" i="2"/>
  <c r="H687" i="2"/>
  <c r="H688" i="2"/>
  <c r="H689" i="2"/>
  <c r="H690" i="2"/>
  <c r="H691" i="2"/>
  <c r="J691" i="2" s="1"/>
  <c r="H692" i="2"/>
  <c r="I692" i="2" s="1"/>
  <c r="H693" i="2"/>
  <c r="I693" i="2" s="1"/>
  <c r="H694" i="2"/>
  <c r="H695" i="2"/>
  <c r="H696" i="2"/>
  <c r="J696" i="2" s="1"/>
  <c r="H697" i="2"/>
  <c r="J697" i="2" s="1"/>
  <c r="H698" i="2"/>
  <c r="H699" i="2"/>
  <c r="H700" i="2"/>
  <c r="H701" i="2"/>
  <c r="H702" i="2"/>
  <c r="H703" i="2"/>
  <c r="J703" i="2" s="1"/>
  <c r="H704" i="2"/>
  <c r="I704" i="2" s="1"/>
  <c r="H705" i="2"/>
  <c r="I705" i="2" s="1"/>
  <c r="H706" i="2"/>
  <c r="H707" i="2"/>
  <c r="H708" i="2"/>
  <c r="J708" i="2" s="1"/>
  <c r="H709" i="2"/>
  <c r="J709" i="2" s="1"/>
  <c r="H710" i="2"/>
  <c r="H711" i="2"/>
  <c r="H712" i="2"/>
  <c r="H713" i="2"/>
  <c r="H714" i="2"/>
  <c r="H715" i="2"/>
  <c r="J715" i="2" s="1"/>
  <c r="H716" i="2"/>
  <c r="H717" i="2"/>
  <c r="H718" i="2"/>
  <c r="H719" i="2"/>
  <c r="H720" i="2"/>
  <c r="J720" i="2" s="1"/>
  <c r="H721" i="2"/>
  <c r="J721" i="2" s="1"/>
  <c r="H722" i="2"/>
  <c r="H723" i="2"/>
  <c r="H724" i="2"/>
  <c r="H725" i="2"/>
  <c r="H726" i="2"/>
  <c r="H727" i="2"/>
  <c r="J727" i="2" s="1"/>
  <c r="H728" i="2"/>
  <c r="H729" i="2"/>
  <c r="I729" i="2" s="1"/>
  <c r="H730" i="2"/>
  <c r="H731" i="2"/>
  <c r="H732" i="2"/>
  <c r="J732" i="2" s="1"/>
  <c r="H733" i="2"/>
  <c r="J733" i="2" s="1"/>
  <c r="H734" i="2"/>
  <c r="H735" i="2"/>
  <c r="H736" i="2"/>
  <c r="H737" i="2"/>
  <c r="H738" i="2"/>
  <c r="H739" i="2"/>
  <c r="J739" i="2" s="1"/>
  <c r="T739" i="2" s="1"/>
  <c r="H740" i="2"/>
  <c r="I740" i="2" s="1"/>
  <c r="H741" i="2"/>
  <c r="I741" i="2" s="1"/>
  <c r="H742" i="2"/>
  <c r="H743" i="2"/>
  <c r="H744" i="2"/>
  <c r="J744" i="2" s="1"/>
  <c r="H745" i="2"/>
  <c r="J745" i="2" s="1"/>
  <c r="H746" i="2"/>
  <c r="H747" i="2"/>
  <c r="H748" i="2"/>
  <c r="H749" i="2"/>
  <c r="H750" i="2"/>
  <c r="H751" i="2"/>
  <c r="J751" i="2" s="1"/>
  <c r="H752" i="2"/>
  <c r="I752" i="2" s="1"/>
  <c r="H753" i="2"/>
  <c r="I753" i="2" s="1"/>
  <c r="H754" i="2"/>
  <c r="H755" i="2"/>
  <c r="H756" i="2"/>
  <c r="J756" i="2" s="1"/>
  <c r="H757" i="2"/>
  <c r="J757" i="2" s="1"/>
  <c r="H758" i="2"/>
  <c r="H759" i="2"/>
  <c r="H760" i="2"/>
  <c r="H761" i="2"/>
  <c r="H762" i="2"/>
  <c r="H763" i="2"/>
  <c r="J763" i="2" s="1"/>
  <c r="H764" i="2"/>
  <c r="H765" i="2"/>
  <c r="H766" i="2"/>
  <c r="H767" i="2"/>
  <c r="H768" i="2"/>
  <c r="J768" i="2" s="1"/>
  <c r="H769" i="2"/>
  <c r="J769" i="2" s="1"/>
  <c r="H770" i="2"/>
  <c r="H771" i="2"/>
  <c r="H772" i="2"/>
  <c r="H773" i="2"/>
  <c r="H774" i="2"/>
  <c r="H775" i="2"/>
  <c r="J775" i="2" s="1"/>
  <c r="T775" i="2" s="1"/>
  <c r="H776" i="2"/>
  <c r="H777" i="2"/>
  <c r="I777" i="2" s="1"/>
  <c r="H778" i="2"/>
  <c r="H779" i="2"/>
  <c r="H780" i="2"/>
  <c r="J780" i="2" s="1"/>
  <c r="H781" i="2"/>
  <c r="J781" i="2" s="1"/>
  <c r="H782" i="2"/>
  <c r="H783" i="2"/>
  <c r="H784" i="2"/>
  <c r="H785" i="2"/>
  <c r="H786" i="2"/>
  <c r="H787" i="2"/>
  <c r="J787" i="2" s="1"/>
  <c r="H788" i="2"/>
  <c r="I788" i="2" s="1"/>
  <c r="H789" i="2"/>
  <c r="J789" i="2" s="1"/>
  <c r="H790" i="2"/>
  <c r="H791" i="2"/>
  <c r="H792" i="2"/>
  <c r="J792" i="2" s="1"/>
  <c r="H793" i="2"/>
  <c r="J793" i="2" s="1"/>
  <c r="H794" i="2"/>
  <c r="H795" i="2"/>
  <c r="H796" i="2"/>
  <c r="H797" i="2"/>
  <c r="H798" i="2"/>
  <c r="H799" i="2"/>
  <c r="J799" i="2" s="1"/>
  <c r="H800" i="2"/>
  <c r="I800" i="2" s="1"/>
  <c r="H801" i="2"/>
  <c r="I801" i="2" s="1"/>
  <c r="H802" i="2"/>
  <c r="H803" i="2"/>
  <c r="H804" i="2"/>
  <c r="J804" i="2" s="1"/>
  <c r="H805" i="2"/>
  <c r="J805" i="2" s="1"/>
  <c r="H806" i="2"/>
  <c r="H807" i="2"/>
  <c r="H808" i="2"/>
  <c r="H809" i="2"/>
  <c r="H810" i="2"/>
  <c r="H811" i="2"/>
  <c r="J811" i="2" s="1"/>
  <c r="H812" i="2"/>
  <c r="J812" i="2" s="1"/>
  <c r="H813" i="2"/>
  <c r="J813" i="2" s="1"/>
  <c r="H814" i="2"/>
  <c r="H815" i="2"/>
  <c r="H816" i="2"/>
  <c r="J816" i="2" s="1"/>
  <c r="H817" i="2"/>
  <c r="J817" i="2" s="1"/>
  <c r="H818" i="2"/>
  <c r="H819" i="2"/>
  <c r="H820" i="2"/>
  <c r="H821" i="2"/>
  <c r="H822" i="2"/>
  <c r="H823" i="2"/>
  <c r="J823" i="2" s="1"/>
  <c r="H824" i="2"/>
  <c r="J824" i="2" s="1"/>
  <c r="H825" i="2"/>
  <c r="J825" i="2" s="1"/>
  <c r="H826" i="2"/>
  <c r="H827" i="2"/>
  <c r="H828" i="2"/>
  <c r="J828" i="2" s="1"/>
  <c r="H829" i="2"/>
  <c r="J829" i="2" s="1"/>
  <c r="H830" i="2"/>
  <c r="H831" i="2"/>
  <c r="H832" i="2"/>
  <c r="H833" i="2"/>
  <c r="H834" i="2"/>
  <c r="H835" i="2"/>
  <c r="J835" i="2" s="1"/>
  <c r="H836" i="2"/>
  <c r="I836" i="2" s="1"/>
  <c r="H837" i="2"/>
  <c r="I837" i="2" s="1"/>
  <c r="H838" i="2"/>
  <c r="H839" i="2"/>
  <c r="H840" i="2"/>
  <c r="J840" i="2" s="1"/>
  <c r="H841" i="2"/>
  <c r="J841" i="2" s="1"/>
  <c r="H842" i="2"/>
  <c r="H843" i="2"/>
  <c r="H844" i="2"/>
  <c r="H845" i="2"/>
  <c r="H846" i="2"/>
  <c r="H847" i="2"/>
  <c r="J847" i="2" s="1"/>
  <c r="H848" i="2"/>
  <c r="I848" i="2" s="1"/>
  <c r="H849" i="2"/>
  <c r="J849" i="2" s="1"/>
  <c r="H850" i="2"/>
  <c r="H851" i="2"/>
  <c r="H852" i="2"/>
  <c r="J852" i="2" s="1"/>
  <c r="H853" i="2"/>
  <c r="J853" i="2" s="1"/>
  <c r="H854" i="2"/>
  <c r="H855" i="2"/>
  <c r="H856" i="2"/>
  <c r="H857" i="2"/>
  <c r="H858" i="2"/>
  <c r="H859" i="2"/>
  <c r="J859" i="2" s="1"/>
  <c r="H860" i="2"/>
  <c r="J860" i="2" s="1"/>
  <c r="H861" i="2"/>
  <c r="J861" i="2" s="1"/>
  <c r="H862" i="2"/>
  <c r="H863" i="2"/>
  <c r="H864" i="2"/>
  <c r="J864" i="2" s="1"/>
  <c r="H865" i="2"/>
  <c r="J865" i="2" s="1"/>
  <c r="H866" i="2"/>
  <c r="H867" i="2"/>
  <c r="H868" i="2"/>
  <c r="H869" i="2"/>
  <c r="H870" i="2"/>
  <c r="H871" i="2"/>
  <c r="H872" i="2"/>
  <c r="J872" i="2" s="1"/>
  <c r="H873" i="2"/>
  <c r="J873" i="2" s="1"/>
  <c r="H874" i="2"/>
  <c r="H875" i="2"/>
  <c r="H876" i="2"/>
  <c r="J876" i="2" s="1"/>
  <c r="H877" i="2"/>
  <c r="J877" i="2" s="1"/>
  <c r="H878" i="2"/>
  <c r="H879" i="2"/>
  <c r="H880" i="2"/>
  <c r="H881" i="2"/>
  <c r="H882" i="2"/>
  <c r="H883" i="2"/>
  <c r="H884" i="2"/>
  <c r="J884" i="2" s="1"/>
  <c r="H885" i="2"/>
  <c r="J885" i="2" s="1"/>
  <c r="H886" i="2"/>
  <c r="H887" i="2"/>
  <c r="H888" i="2"/>
  <c r="J888" i="2" s="1"/>
  <c r="H889" i="2"/>
  <c r="J889" i="2" s="1"/>
  <c r="H890" i="2"/>
  <c r="H891" i="2"/>
  <c r="H892" i="2"/>
  <c r="H893" i="2"/>
  <c r="H894" i="2"/>
  <c r="H895" i="2"/>
  <c r="H896" i="2"/>
  <c r="I896" i="2" s="1"/>
  <c r="H897" i="2"/>
  <c r="I897" i="2" s="1"/>
  <c r="H898" i="2"/>
  <c r="H899" i="2"/>
  <c r="H900" i="2"/>
  <c r="J900" i="2" s="1"/>
  <c r="H901" i="2"/>
  <c r="J901" i="2" s="1"/>
  <c r="H902" i="2"/>
  <c r="H903" i="2"/>
  <c r="H904" i="2"/>
  <c r="H905" i="2"/>
  <c r="H906" i="2"/>
  <c r="H907" i="2"/>
  <c r="H908" i="2"/>
  <c r="J908" i="2" s="1"/>
  <c r="H909" i="2"/>
  <c r="J909" i="2" s="1"/>
  <c r="H910" i="2"/>
  <c r="H911" i="2"/>
  <c r="H912" i="2"/>
  <c r="J912" i="2" s="1"/>
  <c r="H913" i="2"/>
  <c r="J913" i="2" s="1"/>
  <c r="H914" i="2"/>
  <c r="H915" i="2"/>
  <c r="H916" i="2"/>
  <c r="H917" i="2"/>
  <c r="H918" i="2"/>
  <c r="H919" i="2"/>
  <c r="J919" i="2" s="1"/>
  <c r="H920" i="2"/>
  <c r="J920" i="2" s="1"/>
  <c r="H921" i="2"/>
  <c r="J921" i="2" s="1"/>
  <c r="H922" i="2"/>
  <c r="H923" i="2"/>
  <c r="H924" i="2"/>
  <c r="J924" i="2" s="1"/>
  <c r="H925" i="2"/>
  <c r="J925" i="2" s="1"/>
  <c r="H926" i="2"/>
  <c r="H927" i="2"/>
  <c r="H928" i="2"/>
  <c r="H929" i="2"/>
  <c r="H930" i="2"/>
  <c r="H931" i="2"/>
  <c r="H932" i="2"/>
  <c r="J932" i="2" s="1"/>
  <c r="H933" i="2"/>
  <c r="J933" i="2" s="1"/>
  <c r="H934" i="2"/>
  <c r="H935" i="2"/>
  <c r="H936" i="2"/>
  <c r="J936" i="2" s="1"/>
  <c r="H937" i="2"/>
  <c r="J937" i="2" s="1"/>
  <c r="H938" i="2"/>
  <c r="H939" i="2"/>
  <c r="H940" i="2"/>
  <c r="H941" i="2"/>
  <c r="H942" i="2"/>
  <c r="H943" i="2"/>
  <c r="H944" i="2"/>
  <c r="I944" i="2" s="1"/>
  <c r="H945" i="2"/>
  <c r="I945" i="2" s="1"/>
  <c r="H946" i="2"/>
  <c r="H947" i="2"/>
  <c r="H948" i="2"/>
  <c r="J948" i="2" s="1"/>
  <c r="H949" i="2"/>
  <c r="J949" i="2" s="1"/>
  <c r="H950" i="2"/>
  <c r="H951" i="2"/>
  <c r="H952" i="2"/>
  <c r="H953" i="2"/>
  <c r="H954" i="2"/>
  <c r="H955" i="2"/>
  <c r="H956" i="2"/>
  <c r="J956" i="2" s="1"/>
  <c r="H957" i="2"/>
  <c r="J957" i="2" s="1"/>
  <c r="H958" i="2"/>
  <c r="H959" i="2"/>
  <c r="H960" i="2"/>
  <c r="J960" i="2" s="1"/>
  <c r="H961" i="2"/>
  <c r="J961" i="2" s="1"/>
  <c r="H962" i="2"/>
  <c r="H963" i="2"/>
  <c r="H964" i="2"/>
  <c r="H965" i="2"/>
  <c r="H966" i="2"/>
  <c r="H967" i="2"/>
  <c r="H968" i="2"/>
  <c r="J968" i="2" s="1"/>
  <c r="H969" i="2"/>
  <c r="J969" i="2" s="1"/>
  <c r="H970" i="2"/>
  <c r="H971" i="2"/>
  <c r="H972" i="2"/>
  <c r="J972" i="2" s="1"/>
  <c r="H973" i="2"/>
  <c r="J973" i="2" s="1"/>
  <c r="H974" i="2"/>
  <c r="H975" i="2"/>
  <c r="H976" i="2"/>
  <c r="H977" i="2"/>
  <c r="H978" i="2"/>
  <c r="H979" i="2"/>
  <c r="H980" i="2"/>
  <c r="I980" i="2" s="1"/>
  <c r="H981" i="2"/>
  <c r="I981" i="2" s="1"/>
  <c r="H982" i="2"/>
  <c r="H983" i="2"/>
  <c r="H984" i="2"/>
  <c r="J984" i="2" s="1"/>
  <c r="H985" i="2"/>
  <c r="J985" i="2" s="1"/>
  <c r="H986" i="2"/>
  <c r="H987" i="2"/>
  <c r="H988" i="2"/>
  <c r="H989" i="2"/>
  <c r="H990" i="2"/>
  <c r="H991" i="2"/>
  <c r="J991" i="2" s="1"/>
  <c r="T991" i="2" s="1"/>
  <c r="H992" i="2"/>
  <c r="J992" i="2" s="1"/>
  <c r="H993" i="2"/>
  <c r="I993" i="2" s="1"/>
  <c r="H994" i="2"/>
  <c r="H995" i="2"/>
  <c r="H996" i="2"/>
  <c r="J996" i="2" s="1"/>
  <c r="H997" i="2"/>
  <c r="J997" i="2" s="1"/>
  <c r="H998" i="2"/>
  <c r="H999" i="2"/>
  <c r="H1000" i="2"/>
  <c r="H10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T526" i="2" s="1"/>
  <c r="M527" i="2"/>
  <c r="M528" i="2"/>
  <c r="M529" i="2"/>
  <c r="M530" i="2"/>
  <c r="M531" i="2"/>
  <c r="M532" i="2"/>
  <c r="M533" i="2"/>
  <c r="M534" i="2"/>
  <c r="M535" i="2"/>
  <c r="M536" i="2"/>
  <c r="M537" i="2"/>
  <c r="M538" i="2"/>
  <c r="T538" i="2" s="1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T562" i="2" s="1"/>
  <c r="M563" i="2"/>
  <c r="M564" i="2"/>
  <c r="M565" i="2"/>
  <c r="M566" i="2"/>
  <c r="M567" i="2"/>
  <c r="M568" i="2"/>
  <c r="M569" i="2"/>
  <c r="M570" i="2"/>
  <c r="M571" i="2"/>
  <c r="M572" i="2"/>
  <c r="M573" i="2"/>
  <c r="M574" i="2"/>
  <c r="T574" i="2" s="1"/>
  <c r="M575" i="2"/>
  <c r="M576" i="2"/>
  <c r="M577" i="2"/>
  <c r="M578" i="2"/>
  <c r="M579" i="2"/>
  <c r="M580" i="2"/>
  <c r="M581" i="2"/>
  <c r="M582" i="2"/>
  <c r="M583" i="2"/>
  <c r="M584" i="2"/>
  <c r="M585" i="2"/>
  <c r="M586" i="2"/>
  <c r="T586" i="2" s="1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T622" i="2" s="1"/>
  <c r="M623" i="2"/>
  <c r="M624" i="2"/>
  <c r="M625" i="2"/>
  <c r="M626" i="2"/>
  <c r="M627" i="2"/>
  <c r="M628" i="2"/>
  <c r="M629" i="2"/>
  <c r="M630" i="2"/>
  <c r="M631" i="2"/>
  <c r="M632" i="2"/>
  <c r="M633" i="2"/>
  <c r="M634" i="2"/>
  <c r="T634" i="2" s="1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T658" i="2" s="1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T682" i="2" s="1"/>
  <c r="M683" i="2"/>
  <c r="M684" i="2"/>
  <c r="M685" i="2"/>
  <c r="M686" i="2"/>
  <c r="M687" i="2"/>
  <c r="M688" i="2"/>
  <c r="M689" i="2"/>
  <c r="M690" i="2"/>
  <c r="M691" i="2"/>
  <c r="M692" i="2"/>
  <c r="M693" i="2"/>
  <c r="M694" i="2"/>
  <c r="T694" i="2" s="1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T754" i="2" s="1"/>
  <c r="M755" i="2"/>
  <c r="M756" i="2"/>
  <c r="M757" i="2"/>
  <c r="M758" i="2"/>
  <c r="M759" i="2"/>
  <c r="M760" i="2"/>
  <c r="M761" i="2"/>
  <c r="M762" i="2"/>
  <c r="M763" i="2"/>
  <c r="M764" i="2"/>
  <c r="M765" i="2"/>
  <c r="M766" i="2"/>
  <c r="T766" i="2" s="1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T790" i="2" s="1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T874" i="2" s="1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T910" i="2" s="1"/>
  <c r="M911" i="2"/>
  <c r="M912" i="2"/>
  <c r="M913" i="2"/>
  <c r="M914" i="2"/>
  <c r="M915" i="2"/>
  <c r="M916" i="2"/>
  <c r="M917" i="2"/>
  <c r="M918" i="2"/>
  <c r="M919" i="2"/>
  <c r="M920" i="2"/>
  <c r="M921" i="2"/>
  <c r="M922" i="2"/>
  <c r="T922" i="2" s="1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T946" i="2" s="1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T994" i="2" s="1"/>
  <c r="M995" i="2"/>
  <c r="M996" i="2"/>
  <c r="M997" i="2"/>
  <c r="M998" i="2"/>
  <c r="M999" i="2"/>
  <c r="M1000" i="2"/>
  <c r="M1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J2" i="2"/>
  <c r="J3" i="2"/>
  <c r="J4" i="2"/>
  <c r="J5" i="2"/>
  <c r="J6" i="2"/>
  <c r="J10" i="2"/>
  <c r="J11" i="2"/>
  <c r="J14" i="2"/>
  <c r="J15" i="2"/>
  <c r="J16" i="2"/>
  <c r="J17" i="2"/>
  <c r="J18" i="2"/>
  <c r="J22" i="2"/>
  <c r="J23" i="2"/>
  <c r="J26" i="2"/>
  <c r="J27" i="2"/>
  <c r="J28" i="2"/>
  <c r="J29" i="2"/>
  <c r="J30" i="2"/>
  <c r="J34" i="2"/>
  <c r="J35" i="2"/>
  <c r="J38" i="2"/>
  <c r="J39" i="2"/>
  <c r="J40" i="2"/>
  <c r="J41" i="2"/>
  <c r="J42" i="2"/>
  <c r="J46" i="2"/>
  <c r="J47" i="2"/>
  <c r="J50" i="2"/>
  <c r="J51" i="2"/>
  <c r="J52" i="2"/>
  <c r="J53" i="2"/>
  <c r="J54" i="2"/>
  <c r="J58" i="2"/>
  <c r="J59" i="2"/>
  <c r="J62" i="2"/>
  <c r="J63" i="2"/>
  <c r="J64" i="2"/>
  <c r="J65" i="2"/>
  <c r="J66" i="2"/>
  <c r="J70" i="2"/>
  <c r="J71" i="2"/>
  <c r="J74" i="2"/>
  <c r="J75" i="2"/>
  <c r="J76" i="2"/>
  <c r="J77" i="2"/>
  <c r="J78" i="2"/>
  <c r="J82" i="2"/>
  <c r="J83" i="2"/>
  <c r="J86" i="2"/>
  <c r="J87" i="2"/>
  <c r="J88" i="2"/>
  <c r="J89" i="2"/>
  <c r="J90" i="2"/>
  <c r="J94" i="2"/>
  <c r="J95" i="2"/>
  <c r="J98" i="2"/>
  <c r="J99" i="2"/>
  <c r="J100" i="2"/>
  <c r="J101" i="2"/>
  <c r="J102" i="2"/>
  <c r="J105" i="2"/>
  <c r="J106" i="2"/>
  <c r="J107" i="2"/>
  <c r="J110" i="2"/>
  <c r="J111" i="2"/>
  <c r="J112" i="2"/>
  <c r="J113" i="2"/>
  <c r="J114" i="2"/>
  <c r="J116" i="2"/>
  <c r="J118" i="2"/>
  <c r="J119" i="2"/>
  <c r="J122" i="2"/>
  <c r="J123" i="2"/>
  <c r="J124" i="2"/>
  <c r="J125" i="2"/>
  <c r="J126" i="2"/>
  <c r="J130" i="2"/>
  <c r="J131" i="2"/>
  <c r="J134" i="2"/>
  <c r="J135" i="2"/>
  <c r="J136" i="2"/>
  <c r="J137" i="2"/>
  <c r="J138" i="2"/>
  <c r="J142" i="2"/>
  <c r="J143" i="2"/>
  <c r="J146" i="2"/>
  <c r="J147" i="2"/>
  <c r="J148" i="2"/>
  <c r="J149" i="2"/>
  <c r="J150" i="2"/>
  <c r="J154" i="2"/>
  <c r="J155" i="2"/>
  <c r="J158" i="2"/>
  <c r="J159" i="2"/>
  <c r="J160" i="2"/>
  <c r="J161" i="2"/>
  <c r="J162" i="2"/>
  <c r="J166" i="2"/>
  <c r="J167" i="2"/>
  <c r="J170" i="2"/>
  <c r="J171" i="2"/>
  <c r="J172" i="2"/>
  <c r="J173" i="2"/>
  <c r="J174" i="2"/>
  <c r="J178" i="2"/>
  <c r="J179" i="2"/>
  <c r="J182" i="2"/>
  <c r="J183" i="2"/>
  <c r="J184" i="2"/>
  <c r="J185" i="2"/>
  <c r="J186" i="2"/>
  <c r="J190" i="2"/>
  <c r="J191" i="2"/>
  <c r="J194" i="2"/>
  <c r="J195" i="2"/>
  <c r="J196" i="2"/>
  <c r="J197" i="2"/>
  <c r="J198" i="2"/>
  <c r="J202" i="2"/>
  <c r="J203" i="2"/>
  <c r="J206" i="2"/>
  <c r="J207" i="2"/>
  <c r="J208" i="2"/>
  <c r="J209" i="2"/>
  <c r="J210" i="2"/>
  <c r="J214" i="2"/>
  <c r="J215" i="2"/>
  <c r="J218" i="2"/>
  <c r="J219" i="2"/>
  <c r="J220" i="2"/>
  <c r="J221" i="2"/>
  <c r="J222" i="2"/>
  <c r="J226" i="2"/>
  <c r="J227" i="2"/>
  <c r="J230" i="2"/>
  <c r="J231" i="2"/>
  <c r="J232" i="2"/>
  <c r="J233" i="2"/>
  <c r="J234" i="2"/>
  <c r="J238" i="2"/>
  <c r="J239" i="2"/>
  <c r="J242" i="2"/>
  <c r="J243" i="2"/>
  <c r="J244" i="2"/>
  <c r="J245" i="2"/>
  <c r="J246" i="2"/>
  <c r="J250" i="2"/>
  <c r="J251" i="2"/>
  <c r="J254" i="2"/>
  <c r="J255" i="2"/>
  <c r="J256" i="2"/>
  <c r="J257" i="2"/>
  <c r="J258" i="2"/>
  <c r="J262" i="2"/>
  <c r="J263" i="2"/>
  <c r="J266" i="2"/>
  <c r="J267" i="2"/>
  <c r="J268" i="2"/>
  <c r="J269" i="2"/>
  <c r="J270" i="2"/>
  <c r="J274" i="2"/>
  <c r="J275" i="2"/>
  <c r="J278" i="2"/>
  <c r="J279" i="2"/>
  <c r="J280" i="2"/>
  <c r="J281" i="2"/>
  <c r="J282" i="2"/>
  <c r="J286" i="2"/>
  <c r="J287" i="2"/>
  <c r="J290" i="2"/>
  <c r="J291" i="2"/>
  <c r="J292" i="2"/>
  <c r="J293" i="2"/>
  <c r="J294" i="2"/>
  <c r="J298" i="2"/>
  <c r="J299" i="2"/>
  <c r="J302" i="2"/>
  <c r="J303" i="2"/>
  <c r="J304" i="2"/>
  <c r="J305" i="2"/>
  <c r="J306" i="2"/>
  <c r="J310" i="2"/>
  <c r="J311" i="2"/>
  <c r="J314" i="2"/>
  <c r="J315" i="2"/>
  <c r="J316" i="2"/>
  <c r="J317" i="2"/>
  <c r="J318" i="2"/>
  <c r="J322" i="2"/>
  <c r="J323" i="2"/>
  <c r="J326" i="2"/>
  <c r="J327" i="2"/>
  <c r="J328" i="2"/>
  <c r="J329" i="2"/>
  <c r="J330" i="2"/>
  <c r="J334" i="2"/>
  <c r="J335" i="2"/>
  <c r="J338" i="2"/>
  <c r="J339" i="2"/>
  <c r="J340" i="2"/>
  <c r="J341" i="2"/>
  <c r="J342" i="2"/>
  <c r="J346" i="2"/>
  <c r="J347" i="2"/>
  <c r="J350" i="2"/>
  <c r="J351" i="2"/>
  <c r="J352" i="2"/>
  <c r="J353" i="2"/>
  <c r="J354" i="2"/>
  <c r="J358" i="2"/>
  <c r="J359" i="2"/>
  <c r="J362" i="2"/>
  <c r="J363" i="2"/>
  <c r="J364" i="2"/>
  <c r="J365" i="2"/>
  <c r="J366" i="2"/>
  <c r="J370" i="2"/>
  <c r="J371" i="2"/>
  <c r="J374" i="2"/>
  <c r="J375" i="2"/>
  <c r="J376" i="2"/>
  <c r="J377" i="2"/>
  <c r="J378" i="2"/>
  <c r="J382" i="2"/>
  <c r="J383" i="2"/>
  <c r="J386" i="2"/>
  <c r="J387" i="2"/>
  <c r="J388" i="2"/>
  <c r="J389" i="2"/>
  <c r="J390" i="2"/>
  <c r="J394" i="2"/>
  <c r="J395" i="2"/>
  <c r="J398" i="2"/>
  <c r="J399" i="2"/>
  <c r="J400" i="2"/>
  <c r="J401" i="2"/>
  <c r="J402" i="2"/>
  <c r="J406" i="2"/>
  <c r="J407" i="2"/>
  <c r="J410" i="2"/>
  <c r="J411" i="2"/>
  <c r="J412" i="2"/>
  <c r="J413" i="2"/>
  <c r="J414" i="2"/>
  <c r="J418" i="2"/>
  <c r="J419" i="2"/>
  <c r="J422" i="2"/>
  <c r="J423" i="2"/>
  <c r="J424" i="2"/>
  <c r="J425" i="2"/>
  <c r="J426" i="2"/>
  <c r="J430" i="2"/>
  <c r="J431" i="2"/>
  <c r="J434" i="2"/>
  <c r="J435" i="2"/>
  <c r="J436" i="2"/>
  <c r="J437" i="2"/>
  <c r="J438" i="2"/>
  <c r="J442" i="2"/>
  <c r="J443" i="2"/>
  <c r="J446" i="2"/>
  <c r="J447" i="2"/>
  <c r="J448" i="2"/>
  <c r="J449" i="2"/>
  <c r="J450" i="2"/>
  <c r="J454" i="2"/>
  <c r="J455" i="2"/>
  <c r="J458" i="2"/>
  <c r="J459" i="2"/>
  <c r="J460" i="2"/>
  <c r="J461" i="2"/>
  <c r="J462" i="2"/>
  <c r="J466" i="2"/>
  <c r="J467" i="2"/>
  <c r="J470" i="2"/>
  <c r="J471" i="2"/>
  <c r="J472" i="2"/>
  <c r="J473" i="2"/>
  <c r="J474" i="2"/>
  <c r="J478" i="2"/>
  <c r="J479" i="2"/>
  <c r="J482" i="2"/>
  <c r="J483" i="2"/>
  <c r="J484" i="2"/>
  <c r="J485" i="2"/>
  <c r="J486" i="2"/>
  <c r="J490" i="2"/>
  <c r="J491" i="2"/>
  <c r="J494" i="2"/>
  <c r="J495" i="2"/>
  <c r="J496" i="2"/>
  <c r="J497" i="2"/>
  <c r="J498" i="2"/>
  <c r="J502" i="2"/>
  <c r="J503" i="2"/>
  <c r="J506" i="2"/>
  <c r="J507" i="2"/>
  <c r="J508" i="2"/>
  <c r="J509" i="2"/>
  <c r="J510" i="2"/>
  <c r="J514" i="2"/>
  <c r="J515" i="2"/>
  <c r="J518" i="2"/>
  <c r="J519" i="2"/>
  <c r="J520" i="2"/>
  <c r="J521" i="2"/>
  <c r="J522" i="2"/>
  <c r="J526" i="2"/>
  <c r="J527" i="2"/>
  <c r="J530" i="2"/>
  <c r="J531" i="2"/>
  <c r="J532" i="2"/>
  <c r="J533" i="2"/>
  <c r="J534" i="2"/>
  <c r="J538" i="2"/>
  <c r="J539" i="2"/>
  <c r="J542" i="2"/>
  <c r="J543" i="2"/>
  <c r="J544" i="2"/>
  <c r="J545" i="2"/>
  <c r="J546" i="2"/>
  <c r="J550" i="2"/>
  <c r="J551" i="2"/>
  <c r="J554" i="2"/>
  <c r="J555" i="2"/>
  <c r="J556" i="2"/>
  <c r="J557" i="2"/>
  <c r="J558" i="2"/>
  <c r="J562" i="2"/>
  <c r="J563" i="2"/>
  <c r="J566" i="2"/>
  <c r="J567" i="2"/>
  <c r="J568" i="2"/>
  <c r="J569" i="2"/>
  <c r="J570" i="2"/>
  <c r="J574" i="2"/>
  <c r="J575" i="2"/>
  <c r="J578" i="2"/>
  <c r="J579" i="2"/>
  <c r="J580" i="2"/>
  <c r="J581" i="2"/>
  <c r="J582" i="2"/>
  <c r="J586" i="2"/>
  <c r="J587" i="2"/>
  <c r="J590" i="2"/>
  <c r="J591" i="2"/>
  <c r="J592" i="2"/>
  <c r="J593" i="2"/>
  <c r="J594" i="2"/>
  <c r="J598" i="2"/>
  <c r="J599" i="2"/>
  <c r="J602" i="2"/>
  <c r="J603" i="2"/>
  <c r="J604" i="2"/>
  <c r="J605" i="2"/>
  <c r="J606" i="2"/>
  <c r="J608" i="2"/>
  <c r="J609" i="2"/>
  <c r="J610" i="2"/>
  <c r="J611" i="2"/>
  <c r="J614" i="2"/>
  <c r="J615" i="2"/>
  <c r="J616" i="2"/>
  <c r="J617" i="2"/>
  <c r="J618" i="2"/>
  <c r="J622" i="2"/>
  <c r="J623" i="2"/>
  <c r="J626" i="2"/>
  <c r="J627" i="2"/>
  <c r="J628" i="2"/>
  <c r="J629" i="2"/>
  <c r="J630" i="2"/>
  <c r="J634" i="2"/>
  <c r="J635" i="2"/>
  <c r="J638" i="2"/>
  <c r="J639" i="2"/>
  <c r="J640" i="2"/>
  <c r="J641" i="2"/>
  <c r="J642" i="2"/>
  <c r="J644" i="2"/>
  <c r="J645" i="2"/>
  <c r="J646" i="2"/>
  <c r="J647" i="2"/>
  <c r="J650" i="2"/>
  <c r="J651" i="2"/>
  <c r="J652" i="2"/>
  <c r="J653" i="2"/>
  <c r="J654" i="2"/>
  <c r="J656" i="2"/>
  <c r="J658" i="2"/>
  <c r="J659" i="2"/>
  <c r="J662" i="2"/>
  <c r="J663" i="2"/>
  <c r="J664" i="2"/>
  <c r="J665" i="2"/>
  <c r="J666" i="2"/>
  <c r="J670" i="2"/>
  <c r="J671" i="2"/>
  <c r="J674" i="2"/>
  <c r="J675" i="2"/>
  <c r="J676" i="2"/>
  <c r="J677" i="2"/>
  <c r="J678" i="2"/>
  <c r="J681" i="2"/>
  <c r="J682" i="2"/>
  <c r="J683" i="2"/>
  <c r="J686" i="2"/>
  <c r="J687" i="2"/>
  <c r="J688" i="2"/>
  <c r="J689" i="2"/>
  <c r="J690" i="2"/>
  <c r="J692" i="2"/>
  <c r="J694" i="2"/>
  <c r="J695" i="2"/>
  <c r="J698" i="2"/>
  <c r="J699" i="2"/>
  <c r="J700" i="2"/>
  <c r="J701" i="2"/>
  <c r="J702" i="2"/>
  <c r="J706" i="2"/>
  <c r="J707" i="2"/>
  <c r="J710" i="2"/>
  <c r="J711" i="2"/>
  <c r="J712" i="2"/>
  <c r="J713" i="2"/>
  <c r="J714" i="2"/>
  <c r="J718" i="2"/>
  <c r="J719" i="2"/>
  <c r="J722" i="2"/>
  <c r="J723" i="2"/>
  <c r="J724" i="2"/>
  <c r="J725" i="2"/>
  <c r="J726" i="2"/>
  <c r="J730" i="2"/>
  <c r="J731" i="2"/>
  <c r="J734" i="2"/>
  <c r="J735" i="2"/>
  <c r="J736" i="2"/>
  <c r="J737" i="2"/>
  <c r="J738" i="2"/>
  <c r="J742" i="2"/>
  <c r="J743" i="2"/>
  <c r="J746" i="2"/>
  <c r="J747" i="2"/>
  <c r="J748" i="2"/>
  <c r="J749" i="2"/>
  <c r="J750" i="2"/>
  <c r="J754" i="2"/>
  <c r="J755" i="2"/>
  <c r="J758" i="2"/>
  <c r="J759" i="2"/>
  <c r="J760" i="2"/>
  <c r="J761" i="2"/>
  <c r="J762" i="2"/>
  <c r="J766" i="2"/>
  <c r="J767" i="2"/>
  <c r="J770" i="2"/>
  <c r="J771" i="2"/>
  <c r="J772" i="2"/>
  <c r="J773" i="2"/>
  <c r="J774" i="2"/>
  <c r="J778" i="2"/>
  <c r="J779" i="2"/>
  <c r="J782" i="2"/>
  <c r="J783" i="2"/>
  <c r="J784" i="2"/>
  <c r="J785" i="2"/>
  <c r="J786" i="2"/>
  <c r="J790" i="2"/>
  <c r="J791" i="2"/>
  <c r="J794" i="2"/>
  <c r="J795" i="2"/>
  <c r="J796" i="2"/>
  <c r="J797" i="2"/>
  <c r="J798" i="2"/>
  <c r="J800" i="2"/>
  <c r="J801" i="2"/>
  <c r="J802" i="2"/>
  <c r="J803" i="2"/>
  <c r="J806" i="2"/>
  <c r="J807" i="2"/>
  <c r="J808" i="2"/>
  <c r="J809" i="2"/>
  <c r="J810" i="2"/>
  <c r="J814" i="2"/>
  <c r="J815" i="2"/>
  <c r="J818" i="2"/>
  <c r="J819" i="2"/>
  <c r="J820" i="2"/>
  <c r="J821" i="2"/>
  <c r="J822" i="2"/>
  <c r="J826" i="2"/>
  <c r="J827" i="2"/>
  <c r="J830" i="2"/>
  <c r="J831" i="2"/>
  <c r="J832" i="2"/>
  <c r="J833" i="2"/>
  <c r="J834" i="2"/>
  <c r="J836" i="2"/>
  <c r="J837" i="2"/>
  <c r="J838" i="2"/>
  <c r="J839" i="2"/>
  <c r="J842" i="2"/>
  <c r="J843" i="2"/>
  <c r="J844" i="2"/>
  <c r="J845" i="2"/>
  <c r="J846" i="2"/>
  <c r="J848" i="2"/>
  <c r="J850" i="2"/>
  <c r="J851" i="2"/>
  <c r="J854" i="2"/>
  <c r="J855" i="2"/>
  <c r="J856" i="2"/>
  <c r="J857" i="2"/>
  <c r="J858" i="2"/>
  <c r="J862" i="2"/>
  <c r="J863" i="2"/>
  <c r="J866" i="2"/>
  <c r="J867" i="2"/>
  <c r="J868" i="2"/>
  <c r="J869" i="2"/>
  <c r="J870" i="2"/>
  <c r="J871" i="2"/>
  <c r="J874" i="2"/>
  <c r="J875" i="2"/>
  <c r="J878" i="2"/>
  <c r="J879" i="2"/>
  <c r="J880" i="2"/>
  <c r="J881" i="2"/>
  <c r="J882" i="2"/>
  <c r="J883" i="2"/>
  <c r="J886" i="2"/>
  <c r="J887" i="2"/>
  <c r="J890" i="2"/>
  <c r="J891" i="2"/>
  <c r="J892" i="2"/>
  <c r="J893" i="2"/>
  <c r="J894" i="2"/>
  <c r="J895" i="2"/>
  <c r="J896" i="2"/>
  <c r="J897" i="2"/>
  <c r="J898" i="2"/>
  <c r="J899" i="2"/>
  <c r="J902" i="2"/>
  <c r="J903" i="2"/>
  <c r="J904" i="2"/>
  <c r="J905" i="2"/>
  <c r="J906" i="2"/>
  <c r="J907" i="2"/>
  <c r="J910" i="2"/>
  <c r="J911" i="2"/>
  <c r="J914" i="2"/>
  <c r="J915" i="2"/>
  <c r="J916" i="2"/>
  <c r="J917" i="2"/>
  <c r="J918" i="2"/>
  <c r="J922" i="2"/>
  <c r="J923" i="2"/>
  <c r="J926" i="2"/>
  <c r="J927" i="2"/>
  <c r="J928" i="2"/>
  <c r="J929" i="2"/>
  <c r="J930" i="2"/>
  <c r="J931" i="2"/>
  <c r="J934" i="2"/>
  <c r="J935" i="2"/>
  <c r="J938" i="2"/>
  <c r="J939" i="2"/>
  <c r="J940" i="2"/>
  <c r="J941" i="2"/>
  <c r="J942" i="2"/>
  <c r="J943" i="2"/>
  <c r="J944" i="2"/>
  <c r="J945" i="2"/>
  <c r="J946" i="2"/>
  <c r="J947" i="2"/>
  <c r="J950" i="2"/>
  <c r="J951" i="2"/>
  <c r="J952" i="2"/>
  <c r="J953" i="2"/>
  <c r="J954" i="2"/>
  <c r="J955" i="2"/>
  <c r="J958" i="2"/>
  <c r="J959" i="2"/>
  <c r="J962" i="2"/>
  <c r="J963" i="2"/>
  <c r="J964" i="2"/>
  <c r="J965" i="2"/>
  <c r="J966" i="2"/>
  <c r="J967" i="2"/>
  <c r="J970" i="2"/>
  <c r="J971" i="2"/>
  <c r="J974" i="2"/>
  <c r="J975" i="2"/>
  <c r="J976" i="2"/>
  <c r="J977" i="2"/>
  <c r="J978" i="2"/>
  <c r="J979" i="2"/>
  <c r="J980" i="2"/>
  <c r="J981" i="2"/>
  <c r="J982" i="2"/>
  <c r="J983" i="2"/>
  <c r="J986" i="2"/>
  <c r="J987" i="2"/>
  <c r="J988" i="2"/>
  <c r="J989" i="2"/>
  <c r="J990" i="2"/>
  <c r="J993" i="2"/>
  <c r="J994" i="2"/>
  <c r="J995" i="2"/>
  <c r="J998" i="2"/>
  <c r="J999" i="2"/>
  <c r="J1000" i="2"/>
  <c r="J1001" i="2"/>
  <c r="I2" i="2"/>
  <c r="I3" i="2"/>
  <c r="I4" i="2"/>
  <c r="I5" i="2"/>
  <c r="I6" i="2"/>
  <c r="I10" i="2"/>
  <c r="I11" i="2"/>
  <c r="I14" i="2"/>
  <c r="I15" i="2"/>
  <c r="I16" i="2"/>
  <c r="I17" i="2"/>
  <c r="I18" i="2"/>
  <c r="I19" i="2"/>
  <c r="I22" i="2"/>
  <c r="I23" i="2"/>
  <c r="I24" i="2"/>
  <c r="I26" i="2"/>
  <c r="I27" i="2"/>
  <c r="I28" i="2"/>
  <c r="I29" i="2"/>
  <c r="I30" i="2"/>
  <c r="I31" i="2"/>
  <c r="I34" i="2"/>
  <c r="I35" i="2"/>
  <c r="I38" i="2"/>
  <c r="I39" i="2"/>
  <c r="I40" i="2"/>
  <c r="I41" i="2"/>
  <c r="I42" i="2"/>
  <c r="I43" i="2"/>
  <c r="I46" i="2"/>
  <c r="I47" i="2"/>
  <c r="I50" i="2"/>
  <c r="I51" i="2"/>
  <c r="I52" i="2"/>
  <c r="I53" i="2"/>
  <c r="I54" i="2"/>
  <c r="I55" i="2"/>
  <c r="I58" i="2"/>
  <c r="I59" i="2"/>
  <c r="I62" i="2"/>
  <c r="I63" i="2"/>
  <c r="I64" i="2"/>
  <c r="I65" i="2"/>
  <c r="I66" i="2"/>
  <c r="I67" i="2"/>
  <c r="I70" i="2"/>
  <c r="I71" i="2"/>
  <c r="I72" i="2"/>
  <c r="I74" i="2"/>
  <c r="I75" i="2"/>
  <c r="I76" i="2"/>
  <c r="I77" i="2"/>
  <c r="I78" i="2"/>
  <c r="I79" i="2"/>
  <c r="I82" i="2"/>
  <c r="I83" i="2"/>
  <c r="I86" i="2"/>
  <c r="I87" i="2"/>
  <c r="I88" i="2"/>
  <c r="I89" i="2"/>
  <c r="I90" i="2"/>
  <c r="I91" i="2"/>
  <c r="I94" i="2"/>
  <c r="I95" i="2"/>
  <c r="I96" i="2"/>
  <c r="I98" i="2"/>
  <c r="I99" i="2"/>
  <c r="I100" i="2"/>
  <c r="I101" i="2"/>
  <c r="I102" i="2"/>
  <c r="I103" i="2"/>
  <c r="I106" i="2"/>
  <c r="I107" i="2"/>
  <c r="I110" i="2"/>
  <c r="I111" i="2"/>
  <c r="I112" i="2"/>
  <c r="I113" i="2"/>
  <c r="I114" i="2"/>
  <c r="I115" i="2"/>
  <c r="I118" i="2"/>
  <c r="I119" i="2"/>
  <c r="I122" i="2"/>
  <c r="I123" i="2"/>
  <c r="I124" i="2"/>
  <c r="I125" i="2"/>
  <c r="I126" i="2"/>
  <c r="I127" i="2"/>
  <c r="I130" i="2"/>
  <c r="I131" i="2"/>
  <c r="I134" i="2"/>
  <c r="I135" i="2"/>
  <c r="I136" i="2"/>
  <c r="I137" i="2"/>
  <c r="I138" i="2"/>
  <c r="I139" i="2"/>
  <c r="I142" i="2"/>
  <c r="I143" i="2"/>
  <c r="I144" i="2"/>
  <c r="I146" i="2"/>
  <c r="I147" i="2"/>
  <c r="I148" i="2"/>
  <c r="I149" i="2"/>
  <c r="I150" i="2"/>
  <c r="I151" i="2"/>
  <c r="I154" i="2"/>
  <c r="I155" i="2"/>
  <c r="I158" i="2"/>
  <c r="I159" i="2"/>
  <c r="I160" i="2"/>
  <c r="I161" i="2"/>
  <c r="I162" i="2"/>
  <c r="I163" i="2"/>
  <c r="I166" i="2"/>
  <c r="I167" i="2"/>
  <c r="I168" i="2"/>
  <c r="I170" i="2"/>
  <c r="I171" i="2"/>
  <c r="I172" i="2"/>
  <c r="I173" i="2"/>
  <c r="I174" i="2"/>
  <c r="I175" i="2"/>
  <c r="I178" i="2"/>
  <c r="I179" i="2"/>
  <c r="I182" i="2"/>
  <c r="I183" i="2"/>
  <c r="I184" i="2"/>
  <c r="I185" i="2"/>
  <c r="I186" i="2"/>
  <c r="I187" i="2"/>
  <c r="I190" i="2"/>
  <c r="I191" i="2"/>
  <c r="I194" i="2"/>
  <c r="I195" i="2"/>
  <c r="I196" i="2"/>
  <c r="I197" i="2"/>
  <c r="I198" i="2"/>
  <c r="I199" i="2"/>
  <c r="I202" i="2"/>
  <c r="I203" i="2"/>
  <c r="I206" i="2"/>
  <c r="I207" i="2"/>
  <c r="I208" i="2"/>
  <c r="I209" i="2"/>
  <c r="I210" i="2"/>
  <c r="I211" i="2"/>
  <c r="I214" i="2"/>
  <c r="I215" i="2"/>
  <c r="I216" i="2"/>
  <c r="I218" i="2"/>
  <c r="I219" i="2"/>
  <c r="I220" i="2"/>
  <c r="I221" i="2"/>
  <c r="I222" i="2"/>
  <c r="I223" i="2"/>
  <c r="I226" i="2"/>
  <c r="I227" i="2"/>
  <c r="I230" i="2"/>
  <c r="I231" i="2"/>
  <c r="I232" i="2"/>
  <c r="I233" i="2"/>
  <c r="I234" i="2"/>
  <c r="I235" i="2"/>
  <c r="I238" i="2"/>
  <c r="I239" i="2"/>
  <c r="I240" i="2"/>
  <c r="I242" i="2"/>
  <c r="I243" i="2"/>
  <c r="I244" i="2"/>
  <c r="I245" i="2"/>
  <c r="I246" i="2"/>
  <c r="I247" i="2"/>
  <c r="I250" i="2"/>
  <c r="I251" i="2"/>
  <c r="I254" i="2"/>
  <c r="I255" i="2"/>
  <c r="I256" i="2"/>
  <c r="I257" i="2"/>
  <c r="I258" i="2"/>
  <c r="I259" i="2"/>
  <c r="I262" i="2"/>
  <c r="I263" i="2"/>
  <c r="I266" i="2"/>
  <c r="I267" i="2"/>
  <c r="I268" i="2"/>
  <c r="I269" i="2"/>
  <c r="I270" i="2"/>
  <c r="I271" i="2"/>
  <c r="I274" i="2"/>
  <c r="I275" i="2"/>
  <c r="I278" i="2"/>
  <c r="I279" i="2"/>
  <c r="I280" i="2"/>
  <c r="I281" i="2"/>
  <c r="I282" i="2"/>
  <c r="I283" i="2"/>
  <c r="I286" i="2"/>
  <c r="I287" i="2"/>
  <c r="I288" i="2"/>
  <c r="I290" i="2"/>
  <c r="I291" i="2"/>
  <c r="I292" i="2"/>
  <c r="I293" i="2"/>
  <c r="I294" i="2"/>
  <c r="I295" i="2"/>
  <c r="I298" i="2"/>
  <c r="I299" i="2"/>
  <c r="I302" i="2"/>
  <c r="I303" i="2"/>
  <c r="I304" i="2"/>
  <c r="I305" i="2"/>
  <c r="I306" i="2"/>
  <c r="I307" i="2"/>
  <c r="I310" i="2"/>
  <c r="I311" i="2"/>
  <c r="I312" i="2"/>
  <c r="I314" i="2"/>
  <c r="I315" i="2"/>
  <c r="I316" i="2"/>
  <c r="I317" i="2"/>
  <c r="I318" i="2"/>
  <c r="I319" i="2"/>
  <c r="I322" i="2"/>
  <c r="I323" i="2"/>
  <c r="I326" i="2"/>
  <c r="I327" i="2"/>
  <c r="I328" i="2"/>
  <c r="I329" i="2"/>
  <c r="I330" i="2"/>
  <c r="I331" i="2"/>
  <c r="I334" i="2"/>
  <c r="I335" i="2"/>
  <c r="I338" i="2"/>
  <c r="I339" i="2"/>
  <c r="I340" i="2"/>
  <c r="I341" i="2"/>
  <c r="I342" i="2"/>
  <c r="I343" i="2"/>
  <c r="I346" i="2"/>
  <c r="I347" i="2"/>
  <c r="I350" i="2"/>
  <c r="I351" i="2"/>
  <c r="I352" i="2"/>
  <c r="I353" i="2"/>
  <c r="I354" i="2"/>
  <c r="I355" i="2"/>
  <c r="I358" i="2"/>
  <c r="I359" i="2"/>
  <c r="I360" i="2"/>
  <c r="I362" i="2"/>
  <c r="I363" i="2"/>
  <c r="I364" i="2"/>
  <c r="I365" i="2"/>
  <c r="I366" i="2"/>
  <c r="I367" i="2"/>
  <c r="I370" i="2"/>
  <c r="I371" i="2"/>
  <c r="I374" i="2"/>
  <c r="I375" i="2"/>
  <c r="I376" i="2"/>
  <c r="I377" i="2"/>
  <c r="I378" i="2"/>
  <c r="I379" i="2"/>
  <c r="I382" i="2"/>
  <c r="I383" i="2"/>
  <c r="I384" i="2"/>
  <c r="I386" i="2"/>
  <c r="I387" i="2"/>
  <c r="I388" i="2"/>
  <c r="I389" i="2"/>
  <c r="I390" i="2"/>
  <c r="I391" i="2"/>
  <c r="I394" i="2"/>
  <c r="I395" i="2"/>
  <c r="I398" i="2"/>
  <c r="I399" i="2"/>
  <c r="I400" i="2"/>
  <c r="I401" i="2"/>
  <c r="I402" i="2"/>
  <c r="I403" i="2"/>
  <c r="I406" i="2"/>
  <c r="I407" i="2"/>
  <c r="I410" i="2"/>
  <c r="I411" i="2"/>
  <c r="I412" i="2"/>
  <c r="I413" i="2"/>
  <c r="I414" i="2"/>
  <c r="I415" i="2"/>
  <c r="I418" i="2"/>
  <c r="I419" i="2"/>
  <c r="I422" i="2"/>
  <c r="I423" i="2"/>
  <c r="I424" i="2"/>
  <c r="I425" i="2"/>
  <c r="I426" i="2"/>
  <c r="I427" i="2"/>
  <c r="I430" i="2"/>
  <c r="I431" i="2"/>
  <c r="I432" i="2"/>
  <c r="I434" i="2"/>
  <c r="I435" i="2"/>
  <c r="I436" i="2"/>
  <c r="I437" i="2"/>
  <c r="I438" i="2"/>
  <c r="I439" i="2"/>
  <c r="I442" i="2"/>
  <c r="I443" i="2"/>
  <c r="I446" i="2"/>
  <c r="I447" i="2"/>
  <c r="I448" i="2"/>
  <c r="I449" i="2"/>
  <c r="I450" i="2"/>
  <c r="I451" i="2"/>
  <c r="I454" i="2"/>
  <c r="I455" i="2"/>
  <c r="I456" i="2"/>
  <c r="I458" i="2"/>
  <c r="I459" i="2"/>
  <c r="I460" i="2"/>
  <c r="I461" i="2"/>
  <c r="I462" i="2"/>
  <c r="I463" i="2"/>
  <c r="I466" i="2"/>
  <c r="I467" i="2"/>
  <c r="I470" i="2"/>
  <c r="I471" i="2"/>
  <c r="I472" i="2"/>
  <c r="I473" i="2"/>
  <c r="I474" i="2"/>
  <c r="I475" i="2"/>
  <c r="I478" i="2"/>
  <c r="I479" i="2"/>
  <c r="I482" i="2"/>
  <c r="I483" i="2"/>
  <c r="I484" i="2"/>
  <c r="I485" i="2"/>
  <c r="I486" i="2"/>
  <c r="I487" i="2"/>
  <c r="I490" i="2"/>
  <c r="I491" i="2"/>
  <c r="I494" i="2"/>
  <c r="I495" i="2"/>
  <c r="I496" i="2"/>
  <c r="I497" i="2"/>
  <c r="I498" i="2"/>
  <c r="I499" i="2"/>
  <c r="I502" i="2"/>
  <c r="I503" i="2"/>
  <c r="I504" i="2"/>
  <c r="I506" i="2"/>
  <c r="I507" i="2"/>
  <c r="I508" i="2"/>
  <c r="I509" i="2"/>
  <c r="I510" i="2"/>
  <c r="I511" i="2"/>
  <c r="I514" i="2"/>
  <c r="I515" i="2"/>
  <c r="I518" i="2"/>
  <c r="I519" i="2"/>
  <c r="I520" i="2"/>
  <c r="I521" i="2"/>
  <c r="I522" i="2"/>
  <c r="I523" i="2"/>
  <c r="I526" i="2"/>
  <c r="I527" i="2"/>
  <c r="I528" i="2"/>
  <c r="I530" i="2"/>
  <c r="I531" i="2"/>
  <c r="I532" i="2"/>
  <c r="I533" i="2"/>
  <c r="I534" i="2"/>
  <c r="I535" i="2"/>
  <c r="I538" i="2"/>
  <c r="I539" i="2"/>
  <c r="I542" i="2"/>
  <c r="I543" i="2"/>
  <c r="I544" i="2"/>
  <c r="I545" i="2"/>
  <c r="I546" i="2"/>
  <c r="I547" i="2"/>
  <c r="I550" i="2"/>
  <c r="I551" i="2"/>
  <c r="I554" i="2"/>
  <c r="I555" i="2"/>
  <c r="I556" i="2"/>
  <c r="I557" i="2"/>
  <c r="I558" i="2"/>
  <c r="I559" i="2"/>
  <c r="I562" i="2"/>
  <c r="I563" i="2"/>
  <c r="I566" i="2"/>
  <c r="I567" i="2"/>
  <c r="I568" i="2"/>
  <c r="I569" i="2"/>
  <c r="I570" i="2"/>
  <c r="I571" i="2"/>
  <c r="I574" i="2"/>
  <c r="I575" i="2"/>
  <c r="I576" i="2"/>
  <c r="I578" i="2"/>
  <c r="I579" i="2"/>
  <c r="I580" i="2"/>
  <c r="I581" i="2"/>
  <c r="I582" i="2"/>
  <c r="I583" i="2"/>
  <c r="I586" i="2"/>
  <c r="I587" i="2"/>
  <c r="I590" i="2"/>
  <c r="I591" i="2"/>
  <c r="I592" i="2"/>
  <c r="I593" i="2"/>
  <c r="I594" i="2"/>
  <c r="I595" i="2"/>
  <c r="I598" i="2"/>
  <c r="I599" i="2"/>
  <c r="I600" i="2"/>
  <c r="I602" i="2"/>
  <c r="I603" i="2"/>
  <c r="I604" i="2"/>
  <c r="I605" i="2"/>
  <c r="I606" i="2"/>
  <c r="I607" i="2"/>
  <c r="I610" i="2"/>
  <c r="I611" i="2"/>
  <c r="I614" i="2"/>
  <c r="I615" i="2"/>
  <c r="I616" i="2"/>
  <c r="I617" i="2"/>
  <c r="I618" i="2"/>
  <c r="I619" i="2"/>
  <c r="I622" i="2"/>
  <c r="I623" i="2"/>
  <c r="I626" i="2"/>
  <c r="I627" i="2"/>
  <c r="I628" i="2"/>
  <c r="I629" i="2"/>
  <c r="I630" i="2"/>
  <c r="I631" i="2"/>
  <c r="I634" i="2"/>
  <c r="I635" i="2"/>
  <c r="I638" i="2"/>
  <c r="I639" i="2"/>
  <c r="I640" i="2"/>
  <c r="I641" i="2"/>
  <c r="I642" i="2"/>
  <c r="I643" i="2"/>
  <c r="I646" i="2"/>
  <c r="I647" i="2"/>
  <c r="I648" i="2"/>
  <c r="I650" i="2"/>
  <c r="I651" i="2"/>
  <c r="I652" i="2"/>
  <c r="I653" i="2"/>
  <c r="I654" i="2"/>
  <c r="I655" i="2"/>
  <c r="I658" i="2"/>
  <c r="I659" i="2"/>
  <c r="I662" i="2"/>
  <c r="I663" i="2"/>
  <c r="I664" i="2"/>
  <c r="I665" i="2"/>
  <c r="I666" i="2"/>
  <c r="I667" i="2"/>
  <c r="I670" i="2"/>
  <c r="I671" i="2"/>
  <c r="I672" i="2"/>
  <c r="I674" i="2"/>
  <c r="I675" i="2"/>
  <c r="I676" i="2"/>
  <c r="I677" i="2"/>
  <c r="I678" i="2"/>
  <c r="I679" i="2"/>
  <c r="I682" i="2"/>
  <c r="I683" i="2"/>
  <c r="I686" i="2"/>
  <c r="I687" i="2"/>
  <c r="I688" i="2"/>
  <c r="I689" i="2"/>
  <c r="I690" i="2"/>
  <c r="I691" i="2"/>
  <c r="I694" i="2"/>
  <c r="I695" i="2"/>
  <c r="I698" i="2"/>
  <c r="I699" i="2"/>
  <c r="I700" i="2"/>
  <c r="I701" i="2"/>
  <c r="I702" i="2"/>
  <c r="I703" i="2"/>
  <c r="I706" i="2"/>
  <c r="I707" i="2"/>
  <c r="I710" i="2"/>
  <c r="I711" i="2"/>
  <c r="I712" i="2"/>
  <c r="I713" i="2"/>
  <c r="I714" i="2"/>
  <c r="I715" i="2"/>
  <c r="I718" i="2"/>
  <c r="I719" i="2"/>
  <c r="I720" i="2"/>
  <c r="I722" i="2"/>
  <c r="I723" i="2"/>
  <c r="I724" i="2"/>
  <c r="I725" i="2"/>
  <c r="I726" i="2"/>
  <c r="I727" i="2"/>
  <c r="I730" i="2"/>
  <c r="I731" i="2"/>
  <c r="I734" i="2"/>
  <c r="I735" i="2"/>
  <c r="I736" i="2"/>
  <c r="I737" i="2"/>
  <c r="I738" i="2"/>
  <c r="I739" i="2"/>
  <c r="I742" i="2"/>
  <c r="I743" i="2"/>
  <c r="I744" i="2"/>
  <c r="I746" i="2"/>
  <c r="I747" i="2"/>
  <c r="I748" i="2"/>
  <c r="I749" i="2"/>
  <c r="I750" i="2"/>
  <c r="I751" i="2"/>
  <c r="I754" i="2"/>
  <c r="I755" i="2"/>
  <c r="I758" i="2"/>
  <c r="I759" i="2"/>
  <c r="I760" i="2"/>
  <c r="I761" i="2"/>
  <c r="I762" i="2"/>
  <c r="I763" i="2"/>
  <c r="I766" i="2"/>
  <c r="I767" i="2"/>
  <c r="I770" i="2"/>
  <c r="I771" i="2"/>
  <c r="I772" i="2"/>
  <c r="I773" i="2"/>
  <c r="I774" i="2"/>
  <c r="I775" i="2"/>
  <c r="I778" i="2"/>
  <c r="I779" i="2"/>
  <c r="I782" i="2"/>
  <c r="I783" i="2"/>
  <c r="I784" i="2"/>
  <c r="I785" i="2"/>
  <c r="I786" i="2"/>
  <c r="I787" i="2"/>
  <c r="I790" i="2"/>
  <c r="I791" i="2"/>
  <c r="I794" i="2"/>
  <c r="I795" i="2"/>
  <c r="I796" i="2"/>
  <c r="I797" i="2"/>
  <c r="I798" i="2"/>
  <c r="I799" i="2"/>
  <c r="I802" i="2"/>
  <c r="I803" i="2"/>
  <c r="I806" i="2"/>
  <c r="I807" i="2"/>
  <c r="I808" i="2"/>
  <c r="I809" i="2"/>
  <c r="I810" i="2"/>
  <c r="I811" i="2"/>
  <c r="I814" i="2"/>
  <c r="I815" i="2"/>
  <c r="I818" i="2"/>
  <c r="I819" i="2"/>
  <c r="I820" i="2"/>
  <c r="I821" i="2"/>
  <c r="I822" i="2"/>
  <c r="I823" i="2"/>
  <c r="I826" i="2"/>
  <c r="I827" i="2"/>
  <c r="I830" i="2"/>
  <c r="I831" i="2"/>
  <c r="I832" i="2"/>
  <c r="I833" i="2"/>
  <c r="I834" i="2"/>
  <c r="I835" i="2"/>
  <c r="I838" i="2"/>
  <c r="I839" i="2"/>
  <c r="I842" i="2"/>
  <c r="I843" i="2"/>
  <c r="I844" i="2"/>
  <c r="I845" i="2"/>
  <c r="I846" i="2"/>
  <c r="I847" i="2"/>
  <c r="I850" i="2"/>
  <c r="I851" i="2"/>
  <c r="I854" i="2"/>
  <c r="I855" i="2"/>
  <c r="I856" i="2"/>
  <c r="I857" i="2"/>
  <c r="I858" i="2"/>
  <c r="I859" i="2"/>
  <c r="I862" i="2"/>
  <c r="I863" i="2"/>
  <c r="I866" i="2"/>
  <c r="I867" i="2"/>
  <c r="I868" i="2"/>
  <c r="I869" i="2"/>
  <c r="I870" i="2"/>
  <c r="I871" i="2"/>
  <c r="I874" i="2"/>
  <c r="I875" i="2"/>
  <c r="I878" i="2"/>
  <c r="I879" i="2"/>
  <c r="I880" i="2"/>
  <c r="I881" i="2"/>
  <c r="I882" i="2"/>
  <c r="I883" i="2"/>
  <c r="I886" i="2"/>
  <c r="I887" i="2"/>
  <c r="I890" i="2"/>
  <c r="I891" i="2"/>
  <c r="I892" i="2"/>
  <c r="I893" i="2"/>
  <c r="I894" i="2"/>
  <c r="I895" i="2"/>
  <c r="I898" i="2"/>
  <c r="I899" i="2"/>
  <c r="I902" i="2"/>
  <c r="I903" i="2"/>
  <c r="I904" i="2"/>
  <c r="I905" i="2"/>
  <c r="I906" i="2"/>
  <c r="I907" i="2"/>
  <c r="I910" i="2"/>
  <c r="I911" i="2"/>
  <c r="I914" i="2"/>
  <c r="I915" i="2"/>
  <c r="I916" i="2"/>
  <c r="I917" i="2"/>
  <c r="I918" i="2"/>
  <c r="I919" i="2"/>
  <c r="I922" i="2"/>
  <c r="I923" i="2"/>
  <c r="I926" i="2"/>
  <c r="I927" i="2"/>
  <c r="I928" i="2"/>
  <c r="I929" i="2"/>
  <c r="I930" i="2"/>
  <c r="I931" i="2"/>
  <c r="I934" i="2"/>
  <c r="I935" i="2"/>
  <c r="I938" i="2"/>
  <c r="I939" i="2"/>
  <c r="I940" i="2"/>
  <c r="I941" i="2"/>
  <c r="I942" i="2"/>
  <c r="I943" i="2"/>
  <c r="I946" i="2"/>
  <c r="I947" i="2"/>
  <c r="I950" i="2"/>
  <c r="I951" i="2"/>
  <c r="I952" i="2"/>
  <c r="I953" i="2"/>
  <c r="I954" i="2"/>
  <c r="I955" i="2"/>
  <c r="I958" i="2"/>
  <c r="I959" i="2"/>
  <c r="I962" i="2"/>
  <c r="I963" i="2"/>
  <c r="I964" i="2"/>
  <c r="I965" i="2"/>
  <c r="I966" i="2"/>
  <c r="I967" i="2"/>
  <c r="I970" i="2"/>
  <c r="I971" i="2"/>
  <c r="I974" i="2"/>
  <c r="I975" i="2"/>
  <c r="I976" i="2"/>
  <c r="I977" i="2"/>
  <c r="I978" i="2"/>
  <c r="I979" i="2"/>
  <c r="I982" i="2"/>
  <c r="I983" i="2"/>
  <c r="I986" i="2"/>
  <c r="I987" i="2"/>
  <c r="I988" i="2"/>
  <c r="I989" i="2"/>
  <c r="I990" i="2"/>
  <c r="I991" i="2"/>
  <c r="I994" i="2"/>
  <c r="I995" i="2"/>
  <c r="I998" i="2"/>
  <c r="I999" i="2"/>
  <c r="I1000" i="2"/>
  <c r="I1001" i="2"/>
  <c r="T558" i="2"/>
  <c r="T578" i="2"/>
  <c r="T591" i="2"/>
  <c r="T626" i="2"/>
  <c r="T686" i="2"/>
  <c r="T734" i="2"/>
  <c r="T735" i="2"/>
  <c r="T818" i="2"/>
  <c r="T870" i="2"/>
  <c r="T894" i="2"/>
  <c r="T907" i="2"/>
  <c r="T978" i="2"/>
  <c r="T990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T502" i="2"/>
  <c r="T510" i="2"/>
  <c r="T518" i="2"/>
  <c r="T519" i="2"/>
  <c r="T522" i="2"/>
  <c r="T530" i="2"/>
  <c r="T542" i="2"/>
  <c r="T543" i="2"/>
  <c r="T546" i="2"/>
  <c r="T550" i="2"/>
  <c r="T566" i="2"/>
  <c r="T570" i="2"/>
  <c r="T579" i="2"/>
  <c r="T590" i="2"/>
  <c r="T594" i="2"/>
  <c r="T598" i="2"/>
  <c r="T610" i="2"/>
  <c r="T614" i="2"/>
  <c r="T615" i="2"/>
  <c r="T630" i="2"/>
  <c r="T638" i="2"/>
  <c r="T639" i="2"/>
  <c r="T642" i="2"/>
  <c r="T662" i="2"/>
  <c r="T663" i="2"/>
  <c r="T666" i="2"/>
  <c r="T670" i="2"/>
  <c r="T702" i="2"/>
  <c r="T710" i="2"/>
  <c r="T714" i="2"/>
  <c r="T722" i="2"/>
  <c r="T723" i="2"/>
  <c r="T730" i="2"/>
  <c r="T742" i="2"/>
  <c r="T750" i="2"/>
  <c r="T770" i="2"/>
  <c r="T771" i="2"/>
  <c r="T774" i="2"/>
  <c r="T782" i="2"/>
  <c r="T802" i="2"/>
  <c r="T810" i="2"/>
  <c r="T814" i="2"/>
  <c r="T826" i="2"/>
  <c r="T854" i="2"/>
  <c r="T858" i="2"/>
  <c r="T866" i="2"/>
  <c r="T878" i="2"/>
  <c r="T882" i="2"/>
  <c r="T886" i="2"/>
  <c r="T898" i="2"/>
  <c r="T903" i="2"/>
  <c r="T906" i="2"/>
  <c r="T930" i="2"/>
  <c r="T931" i="2"/>
  <c r="T939" i="2"/>
  <c r="T951" i="2"/>
  <c r="T958" i="2"/>
  <c r="T970" i="2"/>
  <c r="T982" i="2"/>
  <c r="T998" i="2"/>
  <c r="I589" i="2" l="1"/>
  <c r="I445" i="2"/>
  <c r="I373" i="2"/>
  <c r="I229" i="2"/>
  <c r="J501" i="2"/>
  <c r="J465" i="2"/>
  <c r="J357" i="2"/>
  <c r="J321" i="2"/>
  <c r="J213" i="2"/>
  <c r="I969" i="2"/>
  <c r="I957" i="2"/>
  <c r="I933" i="2"/>
  <c r="I921" i="2"/>
  <c r="I909" i="2"/>
  <c r="I885" i="2"/>
  <c r="I873" i="2"/>
  <c r="I861" i="2"/>
  <c r="I849" i="2"/>
  <c r="I825" i="2"/>
  <c r="I813" i="2"/>
  <c r="I789" i="2"/>
  <c r="I732" i="2"/>
  <c r="I660" i="2"/>
  <c r="I588" i="2"/>
  <c r="I516" i="2"/>
  <c r="I444" i="2"/>
  <c r="I372" i="2"/>
  <c r="I300" i="2"/>
  <c r="I228" i="2"/>
  <c r="I156" i="2"/>
  <c r="I84" i="2"/>
  <c r="I12" i="2"/>
  <c r="J537" i="2"/>
  <c r="J500" i="2"/>
  <c r="J393" i="2"/>
  <c r="J356" i="2"/>
  <c r="J249" i="2"/>
  <c r="J212" i="2"/>
  <c r="J9" i="2"/>
  <c r="I733" i="2"/>
  <c r="I661" i="2"/>
  <c r="I517" i="2"/>
  <c r="I301" i="2"/>
  <c r="I157" i="2"/>
  <c r="I85" i="2"/>
  <c r="I13" i="2"/>
  <c r="I992" i="2"/>
  <c r="I968" i="2"/>
  <c r="I956" i="2"/>
  <c r="I932" i="2"/>
  <c r="I920" i="2"/>
  <c r="I908" i="2"/>
  <c r="I884" i="2"/>
  <c r="I872" i="2"/>
  <c r="I860" i="2"/>
  <c r="I824" i="2"/>
  <c r="I812" i="2"/>
  <c r="I745" i="2"/>
  <c r="I673" i="2"/>
  <c r="I601" i="2"/>
  <c r="I529" i="2"/>
  <c r="I457" i="2"/>
  <c r="I385" i="2"/>
  <c r="I313" i="2"/>
  <c r="I241" i="2"/>
  <c r="I169" i="2"/>
  <c r="I97" i="2"/>
  <c r="I25" i="2"/>
  <c r="J729" i="2"/>
  <c r="J693" i="2"/>
  <c r="J657" i="2"/>
  <c r="J117" i="2"/>
  <c r="I177" i="2"/>
  <c r="J177" i="2"/>
  <c r="I129" i="2"/>
  <c r="J129" i="2"/>
  <c r="I757" i="2"/>
  <c r="I685" i="2"/>
  <c r="I109" i="2"/>
  <c r="J549" i="2"/>
  <c r="J405" i="2"/>
  <c r="J225" i="2"/>
  <c r="J21" i="2"/>
  <c r="J716" i="2"/>
  <c r="I716" i="2"/>
  <c r="J572" i="2"/>
  <c r="I572" i="2"/>
  <c r="J524" i="2"/>
  <c r="I524" i="2"/>
  <c r="I464" i="2"/>
  <c r="J464" i="2"/>
  <c r="I416" i="2"/>
  <c r="J416" i="2"/>
  <c r="I320" i="2"/>
  <c r="J320" i="2"/>
  <c r="J284" i="2"/>
  <c r="I284" i="2"/>
  <c r="I248" i="2"/>
  <c r="J248" i="2"/>
  <c r="I200" i="2"/>
  <c r="J200" i="2"/>
  <c r="I8" i="2"/>
  <c r="J8" i="2"/>
  <c r="I756" i="2"/>
  <c r="I684" i="2"/>
  <c r="I612" i="2"/>
  <c r="I540" i="2"/>
  <c r="I468" i="2"/>
  <c r="I396" i="2"/>
  <c r="I324" i="2"/>
  <c r="I252" i="2"/>
  <c r="I180" i="2"/>
  <c r="I108" i="2"/>
  <c r="I36" i="2"/>
  <c r="J777" i="2"/>
  <c r="J741" i="2"/>
  <c r="J705" i="2"/>
  <c r="J585" i="2"/>
  <c r="J548" i="2"/>
  <c r="J441" i="2"/>
  <c r="J404" i="2"/>
  <c r="J297" i="2"/>
  <c r="J260" i="2"/>
  <c r="J20" i="2"/>
  <c r="I56" i="2"/>
  <c r="J56" i="2"/>
  <c r="I769" i="2"/>
  <c r="I697" i="2"/>
  <c r="I625" i="2"/>
  <c r="I553" i="2"/>
  <c r="I481" i="2"/>
  <c r="I409" i="2"/>
  <c r="I337" i="2"/>
  <c r="I265" i="2"/>
  <c r="I193" i="2"/>
  <c r="I121" i="2"/>
  <c r="I49" i="2"/>
  <c r="J740" i="2"/>
  <c r="J704" i="2"/>
  <c r="J57" i="2"/>
  <c r="J669" i="2"/>
  <c r="I669" i="2"/>
  <c r="J477" i="2"/>
  <c r="I477" i="2"/>
  <c r="J429" i="2"/>
  <c r="I429" i="2"/>
  <c r="J381" i="2"/>
  <c r="I381" i="2"/>
  <c r="J285" i="2"/>
  <c r="I285" i="2"/>
  <c r="J189" i="2"/>
  <c r="I189" i="2"/>
  <c r="I181" i="2"/>
  <c r="J369" i="2"/>
  <c r="J261" i="2"/>
  <c r="J153" i="2"/>
  <c r="J764" i="2"/>
  <c r="I764" i="2"/>
  <c r="I728" i="2"/>
  <c r="J728" i="2"/>
  <c r="I680" i="2"/>
  <c r="J680" i="2"/>
  <c r="I632" i="2"/>
  <c r="J632" i="2"/>
  <c r="I584" i="2"/>
  <c r="J584" i="2"/>
  <c r="I368" i="2"/>
  <c r="J368" i="2"/>
  <c r="J332" i="2"/>
  <c r="I332" i="2"/>
  <c r="I296" i="2"/>
  <c r="J296" i="2"/>
  <c r="I224" i="2"/>
  <c r="J224" i="2"/>
  <c r="I176" i="2"/>
  <c r="J176" i="2"/>
  <c r="I128" i="2"/>
  <c r="J128" i="2"/>
  <c r="I768" i="2"/>
  <c r="I696" i="2"/>
  <c r="I624" i="2"/>
  <c r="I552" i="2"/>
  <c r="I480" i="2"/>
  <c r="I408" i="2"/>
  <c r="I336" i="2"/>
  <c r="I264" i="2"/>
  <c r="I192" i="2"/>
  <c r="I120" i="2"/>
  <c r="I48" i="2"/>
  <c r="J165" i="2"/>
  <c r="J765" i="2"/>
  <c r="I765" i="2"/>
  <c r="J717" i="2"/>
  <c r="I717" i="2"/>
  <c r="J621" i="2"/>
  <c r="I621" i="2"/>
  <c r="J525" i="2"/>
  <c r="I525" i="2"/>
  <c r="J333" i="2"/>
  <c r="I333" i="2"/>
  <c r="J237" i="2"/>
  <c r="I237" i="2"/>
  <c r="J141" i="2"/>
  <c r="I141" i="2"/>
  <c r="J93" i="2"/>
  <c r="I93" i="2"/>
  <c r="I33" i="2"/>
  <c r="J33" i="2"/>
  <c r="I325" i="2"/>
  <c r="J668" i="2"/>
  <c r="I668" i="2"/>
  <c r="J620" i="2"/>
  <c r="I620" i="2"/>
  <c r="I512" i="2"/>
  <c r="J512" i="2"/>
  <c r="J476" i="2"/>
  <c r="I476" i="2"/>
  <c r="J428" i="2"/>
  <c r="I428" i="2"/>
  <c r="J380" i="2"/>
  <c r="I380" i="2"/>
  <c r="I272" i="2"/>
  <c r="J272" i="2"/>
  <c r="J236" i="2"/>
  <c r="I236" i="2"/>
  <c r="J140" i="2"/>
  <c r="I140" i="2"/>
  <c r="J92" i="2"/>
  <c r="I92" i="2"/>
  <c r="I80" i="2"/>
  <c r="J80" i="2"/>
  <c r="J44" i="2"/>
  <c r="I44" i="2"/>
  <c r="I781" i="2"/>
  <c r="I709" i="2"/>
  <c r="I637" i="2"/>
  <c r="I565" i="2"/>
  <c r="I493" i="2"/>
  <c r="I421" i="2"/>
  <c r="I349" i="2"/>
  <c r="I277" i="2"/>
  <c r="I205" i="2"/>
  <c r="I133" i="2"/>
  <c r="I61" i="2"/>
  <c r="J753" i="2"/>
  <c r="J633" i="2"/>
  <c r="J597" i="2"/>
  <c r="J561" i="2"/>
  <c r="J453" i="2"/>
  <c r="J417" i="2"/>
  <c r="J309" i="2"/>
  <c r="J273" i="2"/>
  <c r="J164" i="2"/>
  <c r="J573" i="2"/>
  <c r="I573" i="2"/>
  <c r="I81" i="2"/>
  <c r="J81" i="2"/>
  <c r="J45" i="2"/>
  <c r="I45" i="2"/>
  <c r="I613" i="2"/>
  <c r="I541" i="2"/>
  <c r="I469" i="2"/>
  <c r="I397" i="2"/>
  <c r="I253" i="2"/>
  <c r="I37" i="2"/>
  <c r="J513" i="2"/>
  <c r="I776" i="2"/>
  <c r="J776" i="2"/>
  <c r="I560" i="2"/>
  <c r="J560" i="2"/>
  <c r="I536" i="2"/>
  <c r="J536" i="2"/>
  <c r="I488" i="2"/>
  <c r="J488" i="2"/>
  <c r="I440" i="2"/>
  <c r="J440" i="2"/>
  <c r="I392" i="2"/>
  <c r="J392" i="2"/>
  <c r="I344" i="2"/>
  <c r="J344" i="2"/>
  <c r="J188" i="2"/>
  <c r="I188" i="2"/>
  <c r="I152" i="2"/>
  <c r="J152" i="2"/>
  <c r="I104" i="2"/>
  <c r="J104" i="2"/>
  <c r="I32" i="2"/>
  <c r="J32" i="2"/>
  <c r="I997" i="2"/>
  <c r="I985" i="2"/>
  <c r="I973" i="2"/>
  <c r="I961" i="2"/>
  <c r="I949" i="2"/>
  <c r="I937" i="2"/>
  <c r="I925" i="2"/>
  <c r="I913" i="2"/>
  <c r="I901" i="2"/>
  <c r="I889" i="2"/>
  <c r="I877" i="2"/>
  <c r="I865" i="2"/>
  <c r="I853" i="2"/>
  <c r="I841" i="2"/>
  <c r="I829" i="2"/>
  <c r="I817" i="2"/>
  <c r="I805" i="2"/>
  <c r="I793" i="2"/>
  <c r="I780" i="2"/>
  <c r="I708" i="2"/>
  <c r="I636" i="2"/>
  <c r="I564" i="2"/>
  <c r="I492" i="2"/>
  <c r="I420" i="2"/>
  <c r="I348" i="2"/>
  <c r="I276" i="2"/>
  <c r="I204" i="2"/>
  <c r="I132" i="2"/>
  <c r="I60" i="2"/>
  <c r="J788" i="2"/>
  <c r="J752" i="2"/>
  <c r="J596" i="2"/>
  <c r="J489" i="2"/>
  <c r="J452" i="2"/>
  <c r="J345" i="2"/>
  <c r="J308" i="2"/>
  <c r="J201" i="2"/>
  <c r="J69" i="2"/>
  <c r="I996" i="2"/>
  <c r="I984" i="2"/>
  <c r="I972" i="2"/>
  <c r="I960" i="2"/>
  <c r="I948" i="2"/>
  <c r="I936" i="2"/>
  <c r="I924" i="2"/>
  <c r="I912" i="2"/>
  <c r="I900" i="2"/>
  <c r="I888" i="2"/>
  <c r="I876" i="2"/>
  <c r="I864" i="2"/>
  <c r="I852" i="2"/>
  <c r="I840" i="2"/>
  <c r="I828" i="2"/>
  <c r="I816" i="2"/>
  <c r="I804" i="2"/>
  <c r="I792" i="2"/>
  <c r="I721" i="2"/>
  <c r="I649" i="2"/>
  <c r="I577" i="2"/>
  <c r="I505" i="2"/>
  <c r="I433" i="2"/>
  <c r="I361" i="2"/>
  <c r="I289" i="2"/>
  <c r="I217" i="2"/>
  <c r="I145" i="2"/>
  <c r="I73" i="2"/>
  <c r="J68" i="2"/>
  <c r="I7" i="2"/>
  <c r="J7" i="2"/>
  <c r="T646" i="2"/>
  <c r="T718" i="2"/>
  <c r="T934" i="2"/>
  <c r="T778" i="2"/>
  <c r="T862" i="2"/>
  <c r="T706" i="2"/>
  <c r="T850" i="2"/>
  <c r="T514" i="2"/>
  <c r="T751" i="2"/>
  <c r="T679" i="2"/>
  <c r="T838" i="2"/>
  <c r="T932" i="2"/>
  <c r="T654" i="2"/>
  <c r="T926" i="2"/>
  <c r="T975" i="2"/>
  <c r="T786" i="2"/>
  <c r="T726" i="2"/>
  <c r="T678" i="2"/>
  <c r="T572" i="2"/>
  <c r="T819" i="2"/>
  <c r="T974" i="2"/>
  <c r="T992" i="2"/>
  <c r="T956" i="2"/>
  <c r="T812" i="2"/>
  <c r="T740" i="2"/>
  <c r="T524" i="2"/>
  <c r="T675" i="2"/>
  <c r="T902" i="2"/>
  <c r="T834" i="2"/>
  <c r="T908" i="2"/>
  <c r="T938" i="2"/>
  <c r="T548" i="2"/>
  <c r="T954" i="2"/>
  <c r="T655" i="2"/>
  <c r="T979" i="2"/>
  <c r="T831" i="2"/>
  <c r="T806" i="2"/>
  <c r="T758" i="2"/>
  <c r="T940" i="2"/>
  <c r="T738" i="2"/>
  <c r="T807" i="2"/>
  <c r="T830" i="2"/>
  <c r="T619" i="2"/>
  <c r="T763" i="2"/>
  <c r="T531" i="2"/>
  <c r="T986" i="2"/>
  <c r="T759" i="2"/>
  <c r="T627" i="2"/>
  <c r="T943" i="2"/>
  <c r="T799" i="2"/>
  <c r="T618" i="2"/>
  <c r="T798" i="2"/>
  <c r="T674" i="2"/>
  <c r="T966" i="2"/>
  <c r="T511" i="2"/>
  <c r="T914" i="2"/>
  <c r="T867" i="2"/>
  <c r="T942" i="2"/>
  <c r="T918" i="2"/>
  <c r="T846" i="2"/>
  <c r="T973" i="2"/>
  <c r="T925" i="2"/>
  <c r="T901" i="2"/>
  <c r="T877" i="2"/>
  <c r="T865" i="2"/>
  <c r="T829" i="2"/>
  <c r="T817" i="2"/>
  <c r="T805" i="2"/>
  <c r="T769" i="2"/>
  <c r="T733" i="2"/>
  <c r="T721" i="2"/>
  <c r="T687" i="2"/>
  <c r="T984" i="2"/>
  <c r="T960" i="2"/>
  <c r="T936" i="2"/>
  <c r="T924" i="2"/>
  <c r="T888" i="2"/>
  <c r="T864" i="2"/>
  <c r="T780" i="2"/>
  <c r="T744" i="2"/>
  <c r="T720" i="2"/>
  <c r="T672" i="2"/>
  <c r="T612" i="2"/>
  <c r="T528" i="2"/>
  <c r="T995" i="2"/>
  <c r="T983" i="2"/>
  <c r="T935" i="2"/>
  <c r="T911" i="2"/>
  <c r="T875" i="2"/>
  <c r="T851" i="2"/>
  <c r="T839" i="2"/>
  <c r="T815" i="2"/>
  <c r="T779" i="2"/>
  <c r="T767" i="2"/>
  <c r="T731" i="2"/>
  <c r="T647" i="2"/>
  <c r="T623" i="2"/>
  <c r="T587" i="2"/>
  <c r="T563" i="2"/>
  <c r="T988" i="2"/>
  <c r="T853" i="2"/>
  <c r="T673" i="2"/>
  <c r="T987" i="2"/>
  <c r="T855" i="2"/>
  <c r="T871" i="2"/>
  <c r="T937" i="2"/>
  <c r="T801" i="2"/>
  <c r="T536" i="2"/>
  <c r="T513" i="2"/>
  <c r="T823" i="2"/>
  <c r="T535" i="2"/>
  <c r="T920" i="2"/>
  <c r="T884" i="2"/>
  <c r="T848" i="2"/>
  <c r="T704" i="2"/>
  <c r="T668" i="2"/>
  <c r="T560" i="2"/>
  <c r="T999" i="2"/>
  <c r="T711" i="2"/>
  <c r="T793" i="2"/>
  <c r="T727" i="2"/>
  <c r="T789" i="2"/>
  <c r="T961" i="2"/>
  <c r="T680" i="2"/>
  <c r="T997" i="2"/>
  <c r="T757" i="2"/>
  <c r="T967" i="2"/>
  <c r="T996" i="2"/>
  <c r="T912" i="2"/>
  <c r="T876" i="2"/>
  <c r="T852" i="2"/>
  <c r="T708" i="2"/>
  <c r="T648" i="2"/>
  <c r="T636" i="2"/>
  <c r="T564" i="2"/>
  <c r="T787" i="2"/>
  <c r="T643" i="2"/>
  <c r="T971" i="2"/>
  <c r="T959" i="2"/>
  <c r="T947" i="2"/>
  <c r="T899" i="2"/>
  <c r="T887" i="2"/>
  <c r="T803" i="2"/>
  <c r="T743" i="2"/>
  <c r="T707" i="2"/>
  <c r="T695" i="2"/>
  <c r="T599" i="2"/>
  <c r="T515" i="2"/>
  <c r="T927" i="2"/>
  <c r="T955" i="2"/>
  <c r="T919" i="2"/>
  <c r="T847" i="2"/>
  <c r="T811" i="2"/>
  <c r="T667" i="2"/>
  <c r="T559" i="2"/>
  <c r="T523" i="2"/>
  <c r="T716" i="2"/>
  <c r="T879" i="2"/>
  <c r="T859" i="2"/>
  <c r="T715" i="2"/>
  <c r="T571" i="2"/>
  <c r="T835" i="2"/>
  <c r="T691" i="2"/>
  <c r="T915" i="2"/>
  <c r="T783" i="2"/>
  <c r="T916" i="2"/>
  <c r="T703" i="2"/>
  <c r="T883" i="2"/>
  <c r="T895" i="2"/>
  <c r="T607" i="2"/>
  <c r="T547" i="2"/>
  <c r="T567" i="2"/>
  <c r="T762" i="2"/>
  <c r="T606" i="2"/>
  <c r="T582" i="2"/>
  <c r="T583" i="2"/>
  <c r="T690" i="2"/>
  <c r="T822" i="2"/>
  <c r="T534" i="2"/>
  <c r="T512" i="2"/>
  <c r="T725" i="2"/>
  <c r="T1000" i="2"/>
  <c r="T772" i="2"/>
  <c r="T724" i="2"/>
  <c r="T676" i="2"/>
  <c r="T628" i="2"/>
  <c r="T580" i="2"/>
  <c r="T532" i="2"/>
  <c r="T773" i="2"/>
  <c r="T928" i="2"/>
  <c r="T868" i="2"/>
  <c r="T820" i="2"/>
  <c r="T941" i="2"/>
  <c r="T545" i="2"/>
  <c r="T953" i="2"/>
  <c r="T544" i="2"/>
  <c r="T677" i="2"/>
  <c r="T833" i="2"/>
  <c r="T785" i="2"/>
  <c r="T737" i="2"/>
  <c r="T593" i="2"/>
  <c r="T592" i="2"/>
  <c r="T749" i="2"/>
  <c r="T605" i="2"/>
  <c r="T821" i="2"/>
  <c r="T581" i="2"/>
  <c r="T641" i="2"/>
  <c r="T832" i="2"/>
  <c r="T736" i="2"/>
  <c r="T640" i="2"/>
  <c r="T964" i="2"/>
  <c r="T950" i="2"/>
  <c r="T892" i="2"/>
  <c r="T844" i="2"/>
  <c r="T796" i="2"/>
  <c r="T748" i="2"/>
  <c r="T700" i="2"/>
  <c r="T652" i="2"/>
  <c r="T604" i="2"/>
  <c r="T556" i="2"/>
  <c r="T508" i="2"/>
  <c r="T929" i="2"/>
  <c r="T629" i="2"/>
  <c r="T533" i="2"/>
  <c r="T952" i="2"/>
  <c r="T965" i="2"/>
  <c r="T797" i="2"/>
  <c r="T701" i="2"/>
  <c r="T509" i="2"/>
  <c r="T891" i="2"/>
  <c r="T795" i="2"/>
  <c r="T747" i="2"/>
  <c r="T699" i="2"/>
  <c r="T651" i="2"/>
  <c r="T603" i="2"/>
  <c r="T555" i="2"/>
  <c r="T507" i="2"/>
  <c r="T881" i="2"/>
  <c r="T689" i="2"/>
  <c r="T893" i="2"/>
  <c r="T977" i="2"/>
  <c r="T963" i="2"/>
  <c r="T905" i="2"/>
  <c r="T843" i="2"/>
  <c r="T976" i="2"/>
  <c r="T962" i="2"/>
  <c r="T904" i="2"/>
  <c r="T890" i="2"/>
  <c r="T857" i="2"/>
  <c r="T842" i="2"/>
  <c r="T809" i="2"/>
  <c r="T794" i="2"/>
  <c r="T761" i="2"/>
  <c r="T746" i="2"/>
  <c r="T713" i="2"/>
  <c r="T698" i="2"/>
  <c r="T665" i="2"/>
  <c r="T650" i="2"/>
  <c r="T617" i="2"/>
  <c r="T602" i="2"/>
  <c r="T569" i="2"/>
  <c r="T554" i="2"/>
  <c r="T521" i="2"/>
  <c r="T506" i="2"/>
  <c r="T1001" i="2"/>
  <c r="T869" i="2"/>
  <c r="T880" i="2"/>
  <c r="T784" i="2"/>
  <c r="T688" i="2"/>
  <c r="T845" i="2"/>
  <c r="T653" i="2"/>
  <c r="T557" i="2"/>
  <c r="T989" i="2"/>
  <c r="T917" i="2"/>
  <c r="T856" i="2"/>
  <c r="T808" i="2"/>
  <c r="T760" i="2"/>
  <c r="T712" i="2"/>
  <c r="T664" i="2"/>
  <c r="T616" i="2"/>
  <c r="T568" i="2"/>
  <c r="T520" i="2"/>
  <c r="B25" i="4"/>
  <c r="T600" i="2" l="1"/>
  <c r="T985" i="2"/>
  <c r="T841" i="2"/>
  <c r="T776" i="2"/>
  <c r="T596" i="2"/>
  <c r="T632" i="2"/>
  <c r="T756" i="2"/>
  <c r="T644" i="2"/>
  <c r="T948" i="2"/>
  <c r="T836" i="2"/>
  <c r="T972" i="2"/>
  <c r="T824" i="2"/>
  <c r="T552" i="2"/>
  <c r="T840" i="2"/>
  <c r="T527" i="2"/>
  <c r="T745" i="2"/>
  <c r="T539" i="2"/>
  <c r="T683" i="2"/>
  <c r="T827" i="2"/>
  <c r="T656" i="2"/>
  <c r="T968" i="2"/>
  <c r="T620" i="2"/>
  <c r="T944" i="2"/>
  <c r="T791" i="2"/>
  <c r="T516" i="2"/>
  <c r="T684" i="2"/>
  <c r="T804" i="2"/>
  <c r="T889" i="2"/>
  <c r="T764" i="2"/>
  <c r="T608" i="2"/>
  <c r="T828" i="2"/>
  <c r="T576" i="2"/>
  <c r="T551" i="2"/>
  <c r="T816" i="2"/>
  <c r="T575" i="2"/>
  <c r="T719" i="2"/>
  <c r="T896" i="2"/>
  <c r="T788" i="2"/>
  <c r="T659" i="2"/>
  <c r="T923" i="2"/>
  <c r="T781" i="2"/>
  <c r="T900" i="2"/>
  <c r="T980" i="2"/>
  <c r="T728" i="2"/>
  <c r="T635" i="2"/>
  <c r="T696" i="2"/>
  <c r="T800" i="2"/>
  <c r="T913" i="2"/>
  <c r="T624" i="2"/>
  <c r="T768" i="2"/>
  <c r="T752" i="2"/>
  <c r="T671" i="2"/>
  <c r="T863" i="2"/>
  <c r="T611" i="2"/>
  <c r="T755" i="2"/>
  <c r="T660" i="2"/>
  <c r="T503" i="2"/>
  <c r="T692" i="2"/>
  <c r="T860" i="2"/>
  <c r="T732" i="2"/>
  <c r="T872" i="2"/>
  <c r="T540" i="2"/>
  <c r="T949" i="2"/>
  <c r="T588" i="2"/>
  <c r="T504" i="2"/>
  <c r="T792" i="2"/>
  <c r="T584" i="2"/>
  <c r="T517" i="2"/>
  <c r="T657" i="2"/>
  <c r="T645" i="2"/>
  <c r="T525" i="2"/>
  <c r="T597" i="2"/>
  <c r="T993" i="2"/>
  <c r="T709" i="2"/>
  <c r="T537" i="2"/>
  <c r="T609" i="2"/>
  <c r="T693" i="2"/>
  <c r="T765" i="2"/>
  <c r="T849" i="2"/>
  <c r="T921" i="2"/>
  <c r="T505" i="2"/>
  <c r="T541" i="2"/>
  <c r="T945" i="2"/>
  <c r="T549" i="2"/>
  <c r="T621" i="2"/>
  <c r="T861" i="2"/>
  <c r="T933" i="2"/>
  <c r="T717" i="2"/>
  <c r="T529" i="2"/>
  <c r="T561" i="2"/>
  <c r="T633" i="2"/>
  <c r="T873" i="2"/>
  <c r="T957" i="2"/>
  <c r="T601" i="2"/>
  <c r="T589" i="2"/>
  <c r="T625" i="2"/>
  <c r="T573" i="2"/>
  <c r="T969" i="2"/>
  <c r="T577" i="2"/>
  <c r="T729" i="2"/>
  <c r="T813" i="2"/>
  <c r="T885" i="2"/>
  <c r="T661" i="2"/>
  <c r="T697" i="2"/>
  <c r="T565" i="2"/>
  <c r="T825" i="2"/>
  <c r="T897" i="2"/>
  <c r="T981" i="2"/>
  <c r="T637" i="2"/>
  <c r="T585" i="2"/>
  <c r="T669" i="2"/>
  <c r="T741" i="2"/>
  <c r="T685" i="2"/>
  <c r="T705" i="2"/>
  <c r="T777" i="2"/>
  <c r="T553" i="2"/>
  <c r="T649" i="2"/>
  <c r="T613" i="2"/>
  <c r="T681" i="2"/>
  <c r="T753" i="2"/>
  <c r="T837" i="2"/>
  <c r="T909" i="2"/>
  <c r="B15" i="4"/>
  <c r="T6" i="2" l="1"/>
  <c r="T7" i="2"/>
  <c r="T8" i="2"/>
  <c r="T9" i="2"/>
  <c r="T10" i="2"/>
  <c r="T11" i="2"/>
  <c r="T18" i="2"/>
  <c r="T19" i="2"/>
  <c r="T20" i="2"/>
  <c r="T22" i="2"/>
  <c r="T23" i="2"/>
  <c r="T29" i="2"/>
  <c r="T30" i="2"/>
  <c r="T31" i="2"/>
  <c r="T32" i="2"/>
  <c r="T41" i="2"/>
  <c r="T42" i="2"/>
  <c r="T43" i="2"/>
  <c r="T44" i="2"/>
  <c r="T45" i="2"/>
  <c r="T46" i="2"/>
  <c r="T47" i="2"/>
  <c r="T48" i="2"/>
  <c r="T53" i="2"/>
  <c r="T54" i="2"/>
  <c r="T55" i="2"/>
  <c r="T56" i="2"/>
  <c r="T66" i="2"/>
  <c r="T67" i="2"/>
  <c r="T68" i="2"/>
  <c r="T70" i="2"/>
  <c r="T71" i="2"/>
  <c r="T77" i="2"/>
  <c r="T78" i="2"/>
  <c r="T79" i="2"/>
  <c r="T80" i="2"/>
  <c r="T81" i="2"/>
  <c r="T83" i="2"/>
  <c r="T84" i="2"/>
  <c r="T90" i="2"/>
  <c r="T91" i="2"/>
  <c r="T92" i="2"/>
  <c r="T102" i="2"/>
  <c r="T103" i="2"/>
  <c r="T104" i="2"/>
  <c r="T107" i="2"/>
  <c r="T113" i="2"/>
  <c r="T114" i="2"/>
  <c r="T115" i="2"/>
  <c r="T116" i="2"/>
  <c r="T117" i="2"/>
  <c r="T118" i="2"/>
  <c r="T119" i="2"/>
  <c r="T120" i="2"/>
  <c r="T126" i="2"/>
  <c r="T127" i="2"/>
  <c r="T128" i="2"/>
  <c r="T131" i="2"/>
  <c r="T137" i="2"/>
  <c r="T138" i="2"/>
  <c r="T139" i="2"/>
  <c r="T140" i="2"/>
  <c r="T142" i="2"/>
  <c r="T149" i="2"/>
  <c r="T150" i="2"/>
  <c r="T151" i="2"/>
  <c r="T152" i="2"/>
  <c r="T153" i="2"/>
  <c r="T162" i="2"/>
  <c r="T163" i="2"/>
  <c r="T164" i="2"/>
  <c r="T168" i="2"/>
  <c r="T173" i="2"/>
  <c r="T174" i="2"/>
  <c r="T175" i="2"/>
  <c r="T176" i="2"/>
  <c r="T185" i="2"/>
  <c r="T186" i="2"/>
  <c r="T187" i="2"/>
  <c r="T188" i="2"/>
  <c r="T189" i="2"/>
  <c r="T192" i="2"/>
  <c r="T197" i="2"/>
  <c r="T198" i="2"/>
  <c r="T199" i="2"/>
  <c r="T200" i="2"/>
  <c r="T203" i="2"/>
  <c r="T210" i="2"/>
  <c r="T211" i="2"/>
  <c r="T212" i="2"/>
  <c r="T222" i="2"/>
  <c r="T223" i="2"/>
  <c r="T224" i="2"/>
  <c r="T225" i="2"/>
  <c r="T226" i="2"/>
  <c r="T227" i="2"/>
  <c r="T228" i="2"/>
  <c r="T233" i="2"/>
  <c r="T234" i="2"/>
  <c r="T235" i="2"/>
  <c r="T236" i="2"/>
  <c r="T246" i="2"/>
  <c r="T247" i="2"/>
  <c r="T248" i="2"/>
  <c r="T251" i="2"/>
  <c r="T258" i="2"/>
  <c r="T259" i="2"/>
  <c r="T260" i="2"/>
  <c r="T261" i="2"/>
  <c r="T264" i="2"/>
  <c r="T269" i="2"/>
  <c r="T270" i="2"/>
  <c r="T271" i="2"/>
  <c r="T272" i="2"/>
  <c r="T275" i="2"/>
  <c r="T282" i="2"/>
  <c r="T283" i="2"/>
  <c r="T284" i="2"/>
  <c r="T286" i="2"/>
  <c r="T287" i="2"/>
  <c r="T294" i="2"/>
  <c r="T295" i="2"/>
  <c r="T296" i="2"/>
  <c r="T297" i="2"/>
  <c r="T298" i="2"/>
  <c r="T299" i="2"/>
  <c r="T306" i="2"/>
  <c r="T307" i="2"/>
  <c r="T308" i="2"/>
  <c r="T310" i="2"/>
  <c r="T311" i="2"/>
  <c r="T312" i="2"/>
  <c r="T318" i="2"/>
  <c r="T319" i="2"/>
  <c r="T320" i="2"/>
  <c r="T322" i="2"/>
  <c r="T323" i="2"/>
  <c r="T330" i="2"/>
  <c r="T331" i="2"/>
  <c r="T332" i="2"/>
  <c r="T333" i="2"/>
  <c r="T334" i="2"/>
  <c r="T336" i="2"/>
  <c r="T342" i="2"/>
  <c r="T343" i="2"/>
  <c r="T344" i="2"/>
  <c r="T346" i="2"/>
  <c r="T347" i="2"/>
  <c r="T354" i="2"/>
  <c r="T355" i="2"/>
  <c r="T356" i="2"/>
  <c r="T359" i="2"/>
  <c r="T366" i="2"/>
  <c r="T367" i="2"/>
  <c r="T368" i="2"/>
  <c r="T369" i="2"/>
  <c r="T370" i="2"/>
  <c r="T371" i="2"/>
  <c r="T372" i="2"/>
  <c r="T378" i="2"/>
  <c r="T379" i="2"/>
  <c r="T380" i="2"/>
  <c r="T390" i="2"/>
  <c r="T391" i="2"/>
  <c r="T392" i="2"/>
  <c r="T394" i="2"/>
  <c r="T395" i="2"/>
  <c r="T402" i="2"/>
  <c r="T403" i="2"/>
  <c r="T404" i="2"/>
  <c r="T405" i="2"/>
  <c r="T407" i="2"/>
  <c r="T408" i="2"/>
  <c r="T413" i="2"/>
  <c r="T414" i="2"/>
  <c r="T415" i="2"/>
  <c r="T416" i="2"/>
  <c r="T419" i="2"/>
  <c r="T420" i="2"/>
  <c r="T425" i="2"/>
  <c r="T426" i="2"/>
  <c r="T427" i="2"/>
  <c r="T428" i="2"/>
  <c r="T430" i="2"/>
  <c r="T431" i="2"/>
  <c r="T437" i="2"/>
  <c r="T438" i="2"/>
  <c r="T439" i="2"/>
  <c r="T440" i="2"/>
  <c r="T441" i="2"/>
  <c r="T442" i="2"/>
  <c r="T443" i="2"/>
  <c r="T449" i="2"/>
  <c r="T450" i="2"/>
  <c r="T451" i="2"/>
  <c r="T452" i="2"/>
  <c r="T454" i="2"/>
  <c r="T455" i="2"/>
  <c r="T461" i="2"/>
  <c r="T462" i="2"/>
  <c r="T463" i="2"/>
  <c r="T464" i="2"/>
  <c r="T466" i="2"/>
  <c r="T467" i="2"/>
  <c r="T473" i="2"/>
  <c r="T474" i="2"/>
  <c r="T475" i="2"/>
  <c r="T476" i="2"/>
  <c r="T477" i="2"/>
  <c r="T478" i="2"/>
  <c r="T480" i="2"/>
  <c r="T485" i="2"/>
  <c r="T486" i="2"/>
  <c r="T487" i="2"/>
  <c r="T488" i="2"/>
  <c r="T490" i="2"/>
  <c r="T491" i="2"/>
  <c r="T498" i="2"/>
  <c r="T499" i="2"/>
  <c r="T500" i="2"/>
  <c r="T2" i="2"/>
  <c r="T3" i="2"/>
  <c r="T4" i="2"/>
  <c r="T5" i="2"/>
  <c r="T14" i="2"/>
  <c r="T15" i="2"/>
  <c r="T16" i="2"/>
  <c r="T17" i="2"/>
  <c r="T26" i="2"/>
  <c r="T27" i="2"/>
  <c r="T28" i="2"/>
  <c r="T34" i="2"/>
  <c r="T38" i="2"/>
  <c r="T39" i="2"/>
  <c r="T40" i="2"/>
  <c r="T50" i="2"/>
  <c r="T51" i="2"/>
  <c r="T52" i="2"/>
  <c r="T58" i="2"/>
  <c r="T62" i="2"/>
  <c r="T63" i="2"/>
  <c r="T64" i="2"/>
  <c r="T65" i="2"/>
  <c r="T74" i="2"/>
  <c r="T75" i="2"/>
  <c r="T76" i="2"/>
  <c r="T82" i="2"/>
  <c r="T86" i="2"/>
  <c r="T87" i="2"/>
  <c r="T88" i="2"/>
  <c r="T89" i="2"/>
  <c r="T98" i="2"/>
  <c r="T99" i="2"/>
  <c r="T100" i="2"/>
  <c r="T101" i="2"/>
  <c r="T106" i="2"/>
  <c r="T110" i="2"/>
  <c r="T111" i="2"/>
  <c r="T112" i="2"/>
  <c r="T122" i="2"/>
  <c r="T123" i="2"/>
  <c r="T124" i="2"/>
  <c r="T125" i="2"/>
  <c r="T130" i="2"/>
  <c r="T134" i="2"/>
  <c r="T135" i="2"/>
  <c r="T136" i="2"/>
  <c r="T146" i="2"/>
  <c r="T147" i="2"/>
  <c r="T148" i="2"/>
  <c r="T154" i="2"/>
  <c r="T158" i="2"/>
  <c r="T159" i="2"/>
  <c r="T160" i="2"/>
  <c r="T161" i="2"/>
  <c r="T170" i="2"/>
  <c r="T171" i="2"/>
  <c r="T172" i="2"/>
  <c r="T178" i="2"/>
  <c r="T182" i="2"/>
  <c r="T183" i="2"/>
  <c r="T184" i="2"/>
  <c r="T194" i="2"/>
  <c r="T195" i="2"/>
  <c r="T196" i="2"/>
  <c r="T202" i="2"/>
  <c r="T206" i="2"/>
  <c r="T207" i="2"/>
  <c r="T208" i="2"/>
  <c r="T209" i="2"/>
  <c r="T218" i="2"/>
  <c r="T219" i="2"/>
  <c r="T220" i="2"/>
  <c r="T221" i="2"/>
  <c r="T230" i="2"/>
  <c r="T231" i="2"/>
  <c r="T232" i="2"/>
  <c r="T242" i="2"/>
  <c r="T243" i="2"/>
  <c r="T244" i="2"/>
  <c r="T245" i="2"/>
  <c r="T250" i="2"/>
  <c r="T254" i="2"/>
  <c r="T255" i="2"/>
  <c r="T256" i="2"/>
  <c r="T257" i="2"/>
  <c r="T266" i="2"/>
  <c r="T267" i="2"/>
  <c r="T268" i="2"/>
  <c r="T274" i="2"/>
  <c r="T278" i="2"/>
  <c r="T279" i="2"/>
  <c r="T280" i="2"/>
  <c r="T281" i="2"/>
  <c r="T290" i="2"/>
  <c r="T291" i="2"/>
  <c r="T292" i="2"/>
  <c r="T293" i="2"/>
  <c r="T302" i="2"/>
  <c r="T303" i="2"/>
  <c r="T304" i="2"/>
  <c r="T305" i="2"/>
  <c r="T314" i="2"/>
  <c r="T315" i="2"/>
  <c r="T316" i="2"/>
  <c r="T317" i="2"/>
  <c r="T326" i="2"/>
  <c r="T327" i="2"/>
  <c r="T328" i="2"/>
  <c r="T329" i="2"/>
  <c r="T338" i="2"/>
  <c r="T339" i="2"/>
  <c r="T340" i="2"/>
  <c r="T341" i="2"/>
  <c r="T350" i="2"/>
  <c r="T351" i="2"/>
  <c r="T352" i="2"/>
  <c r="T353" i="2"/>
  <c r="T362" i="2"/>
  <c r="T363" i="2"/>
  <c r="T364" i="2"/>
  <c r="T365" i="2"/>
  <c r="T374" i="2"/>
  <c r="T375" i="2"/>
  <c r="T376" i="2"/>
  <c r="T377" i="2"/>
  <c r="T386" i="2"/>
  <c r="T387" i="2"/>
  <c r="T388" i="2"/>
  <c r="T389" i="2"/>
  <c r="T398" i="2"/>
  <c r="T399" i="2"/>
  <c r="T400" i="2"/>
  <c r="T401" i="2"/>
  <c r="T410" i="2"/>
  <c r="T411" i="2"/>
  <c r="T412" i="2"/>
  <c r="T422" i="2"/>
  <c r="T423" i="2"/>
  <c r="T424" i="2"/>
  <c r="T434" i="2"/>
  <c r="T435" i="2"/>
  <c r="T436" i="2"/>
  <c r="T446" i="2"/>
  <c r="T447" i="2"/>
  <c r="T448" i="2"/>
  <c r="T458" i="2"/>
  <c r="T459" i="2"/>
  <c r="T460" i="2"/>
  <c r="T470" i="2"/>
  <c r="T471" i="2"/>
  <c r="T472" i="2"/>
  <c r="T482" i="2"/>
  <c r="T483" i="2"/>
  <c r="T484" i="2"/>
  <c r="T494" i="2"/>
  <c r="T495" i="2"/>
  <c r="T496" i="2"/>
  <c r="T49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T35" i="2" l="1"/>
  <c r="T155" i="2"/>
  <c r="T59" i="2"/>
  <c r="T179" i="2"/>
  <c r="T382" i="2"/>
  <c r="T358" i="2"/>
  <c r="T263" i="2"/>
  <c r="T239" i="2"/>
  <c r="T215" i="2"/>
  <c r="T191" i="2"/>
  <c r="T95" i="2"/>
  <c r="T72" i="2"/>
  <c r="T432" i="2"/>
  <c r="T479" i="2"/>
  <c r="T383" i="2"/>
  <c r="T216" i="2"/>
  <c r="T262" i="2"/>
  <c r="T238" i="2"/>
  <c r="T214" i="2"/>
  <c r="T190" i="2"/>
  <c r="T167" i="2"/>
  <c r="T143" i="2"/>
  <c r="T94" i="2"/>
  <c r="T166" i="2"/>
  <c r="T406" i="2"/>
  <c r="T335" i="2"/>
  <c r="T288" i="2"/>
  <c r="T396" i="2"/>
  <c r="T324" i="2"/>
  <c r="T418" i="2"/>
  <c r="T108" i="2"/>
  <c r="T180" i="2"/>
  <c r="T456" i="2"/>
  <c r="T348" i="2"/>
  <c r="T240" i="2"/>
  <c r="T132" i="2"/>
  <c r="T24" i="2"/>
  <c r="T492" i="2"/>
  <c r="T384" i="2"/>
  <c r="T276" i="2"/>
  <c r="T60" i="2"/>
  <c r="T468" i="2"/>
  <c r="T360" i="2"/>
  <c r="T252" i="2"/>
  <c r="T144" i="2"/>
  <c r="T36" i="2"/>
  <c r="T204" i="2"/>
  <c r="T96" i="2"/>
  <c r="T489" i="2"/>
  <c r="T453" i="2"/>
  <c r="T417" i="2"/>
  <c r="T381" i="2"/>
  <c r="T345" i="2"/>
  <c r="T309" i="2"/>
  <c r="T273" i="2"/>
  <c r="T237" i="2"/>
  <c r="T201" i="2"/>
  <c r="T165" i="2"/>
  <c r="T129" i="2"/>
  <c r="T93" i="2"/>
  <c r="T57" i="2"/>
  <c r="T21" i="2"/>
  <c r="T501" i="2"/>
  <c r="T465" i="2"/>
  <c r="T429" i="2"/>
  <c r="T393" i="2"/>
  <c r="T357" i="2"/>
  <c r="T321" i="2"/>
  <c r="T285" i="2"/>
  <c r="T249" i="2"/>
  <c r="T213" i="2"/>
  <c r="T177" i="2"/>
  <c r="T141" i="2"/>
  <c r="T105" i="2"/>
  <c r="T69" i="2"/>
  <c r="T33" i="2"/>
  <c r="T444" i="2"/>
  <c r="T300" i="2"/>
  <c r="T156" i="2"/>
  <c r="T12" i="2"/>
  <c r="B35" i="4"/>
  <c r="T493" i="2"/>
  <c r="T481" i="2"/>
  <c r="T469" i="2"/>
  <c r="T457" i="2"/>
  <c r="T445" i="2"/>
  <c r="T433" i="2"/>
  <c r="T421" i="2"/>
  <c r="T409" i="2"/>
  <c r="T397" i="2"/>
  <c r="T385" i="2"/>
  <c r="T373" i="2"/>
  <c r="T361" i="2"/>
  <c r="T349" i="2"/>
  <c r="T337" i="2"/>
  <c r="T325" i="2"/>
  <c r="T313" i="2"/>
  <c r="T301" i="2"/>
  <c r="T289" i="2"/>
  <c r="T277" i="2"/>
  <c r="T265" i="2"/>
  <c r="T253" i="2"/>
  <c r="T241" i="2"/>
  <c r="T229" i="2"/>
  <c r="T217" i="2"/>
  <c r="T205" i="2"/>
  <c r="T193" i="2"/>
  <c r="T181" i="2"/>
  <c r="T169" i="2"/>
  <c r="T157" i="2"/>
  <c r="T145" i="2"/>
  <c r="T133" i="2"/>
  <c r="T121" i="2"/>
  <c r="T109" i="2"/>
  <c r="T97" i="2"/>
  <c r="T85" i="2"/>
  <c r="T73" i="2"/>
  <c r="T61" i="2"/>
  <c r="T49" i="2"/>
  <c r="T37" i="2"/>
  <c r="T25" i="2"/>
  <c r="T13" i="2"/>
  <c r="P203" i="2"/>
  <c r="P476" i="2"/>
  <c r="P676" i="2"/>
  <c r="P148" i="2"/>
  <c r="P475" i="2"/>
  <c r="P745" i="2"/>
  <c r="P31" i="2"/>
  <c r="P553" i="2"/>
  <c r="P109" i="2"/>
  <c r="P196" i="2"/>
  <c r="N745" i="2"/>
  <c r="O745" i="2"/>
  <c r="P807" i="2"/>
  <c r="P322" i="2"/>
  <c r="P88" i="2"/>
  <c r="P187" i="2"/>
  <c r="P373" i="2"/>
  <c r="P743" i="2"/>
  <c r="P616" i="2"/>
  <c r="P729" i="2"/>
  <c r="P297" i="2"/>
  <c r="P79" i="2"/>
  <c r="P337" i="2"/>
  <c r="P272" i="2"/>
  <c r="P63" i="2"/>
  <c r="P851" i="2"/>
  <c r="P817" i="2"/>
  <c r="P536" i="2"/>
  <c r="P173" i="2"/>
  <c r="P506" i="2"/>
  <c r="P21" i="2"/>
  <c r="P388" i="2"/>
  <c r="P656" i="2"/>
  <c r="P711" i="2"/>
  <c r="P622" i="2"/>
  <c r="P532" i="2"/>
  <c r="P77" i="2"/>
  <c r="P358" i="2"/>
  <c r="P439" i="2"/>
  <c r="P47" i="2"/>
  <c r="P693" i="2"/>
  <c r="P221" i="2"/>
  <c r="P488" i="2"/>
  <c r="P359" i="2"/>
  <c r="P327" i="2"/>
  <c r="P269" i="2"/>
  <c r="P998" i="2"/>
  <c r="P934" i="2"/>
  <c r="N388" i="2"/>
  <c r="O388" i="2"/>
  <c r="P227" i="2"/>
  <c r="N359" i="2"/>
  <c r="O359" i="2"/>
  <c r="P19" i="2"/>
  <c r="P632" i="2"/>
  <c r="P922" i="2"/>
  <c r="P584" i="2"/>
  <c r="P318" i="2"/>
  <c r="P246" i="2"/>
  <c r="P994" i="2"/>
  <c r="P885" i="2"/>
  <c r="P781" i="2"/>
  <c r="N475" i="2"/>
  <c r="O475" i="2"/>
  <c r="P55" i="2"/>
  <c r="P898" i="2"/>
  <c r="N553" i="2"/>
  <c r="O553" i="2"/>
  <c r="P931" i="2"/>
  <c r="P192" i="2"/>
  <c r="P910" i="2"/>
  <c r="N31" i="2"/>
  <c r="O31" i="2"/>
  <c r="P551" i="2"/>
  <c r="P594" i="2"/>
  <c r="N322" i="2"/>
  <c r="O322" i="2"/>
  <c r="P971" i="2"/>
  <c r="P782" i="2"/>
  <c r="P980" i="2"/>
  <c r="P496" i="2"/>
  <c r="P160" i="2"/>
  <c r="P438" i="2"/>
  <c r="P472" i="2"/>
  <c r="P30" i="2"/>
  <c r="P550" i="2"/>
  <c r="P313" i="2"/>
  <c r="P392" i="2"/>
  <c r="P436" i="2"/>
  <c r="P259" i="2"/>
  <c r="N817" i="2"/>
  <c r="O817" i="2"/>
  <c r="P792" i="2"/>
  <c r="N173" i="2"/>
  <c r="O173" i="2"/>
  <c r="P317" i="2"/>
  <c r="N506" i="2"/>
  <c r="O506" i="2"/>
  <c r="P445" i="2"/>
  <c r="P976" i="2"/>
  <c r="P367" i="2"/>
  <c r="P645" i="2"/>
  <c r="N656" i="2"/>
  <c r="O656" i="2"/>
  <c r="P866" i="2"/>
  <c r="N622" i="2"/>
  <c r="O622" i="2"/>
  <c r="P170" i="2"/>
  <c r="N77" i="2"/>
  <c r="O77" i="2"/>
  <c r="P264" i="2"/>
  <c r="P918" i="2"/>
  <c r="P93" i="2"/>
  <c r="P378" i="2"/>
  <c r="N221" i="2"/>
  <c r="O221" i="2"/>
  <c r="P627" i="2"/>
  <c r="P612" i="2"/>
  <c r="P923" i="2"/>
  <c r="P992" i="2"/>
  <c r="P331" i="2"/>
  <c r="P122" i="2"/>
  <c r="P172" i="2"/>
  <c r="N227" i="2"/>
  <c r="O227" i="2"/>
  <c r="P842" i="2"/>
  <c r="P651" i="2"/>
  <c r="P561" i="2"/>
  <c r="N632" i="2"/>
  <c r="O632" i="2"/>
  <c r="P120" i="2"/>
  <c r="P492" i="2"/>
  <c r="N584" i="2"/>
  <c r="O584" i="2"/>
  <c r="P204" i="2"/>
  <c r="P568" i="2"/>
  <c r="P850" i="2"/>
  <c r="P928" i="2"/>
  <c r="P618" i="2"/>
  <c r="P549" i="2"/>
  <c r="P663" i="2"/>
  <c r="P572" i="2"/>
  <c r="P915" i="2"/>
  <c r="P762" i="2"/>
  <c r="P375" i="2"/>
  <c r="P415" i="2"/>
  <c r="P974" i="2"/>
  <c r="P76" i="2"/>
  <c r="P85" i="2"/>
  <c r="P1001" i="2"/>
  <c r="P69" i="2"/>
  <c r="P219" i="2"/>
  <c r="P722" i="2"/>
  <c r="P22" i="2"/>
  <c r="P369" i="2"/>
  <c r="P73" i="2"/>
  <c r="P301" i="2"/>
  <c r="P113" i="2"/>
  <c r="N898" i="2"/>
  <c r="O898" i="2"/>
  <c r="P456" i="2"/>
  <c r="P972" i="2"/>
  <c r="O972" i="2"/>
  <c r="N972" i="2"/>
  <c r="P398" i="2"/>
  <c r="P845" i="2"/>
  <c r="P310" i="2"/>
  <c r="P629" i="2"/>
  <c r="P487" i="2"/>
  <c r="P489" i="2"/>
  <c r="P483" i="2"/>
  <c r="P469" i="2"/>
  <c r="P133" i="2"/>
  <c r="N160" i="2"/>
  <c r="O160" i="2"/>
  <c r="N438" i="2"/>
  <c r="O438" i="2"/>
  <c r="P808" i="2"/>
  <c r="P258" i="2"/>
  <c r="P80" i="2"/>
  <c r="P537" i="2"/>
  <c r="P925" i="2"/>
  <c r="N436" i="2"/>
  <c r="O436" i="2"/>
  <c r="P582" i="2"/>
  <c r="P646" i="2"/>
  <c r="P96" i="2"/>
  <c r="P701" i="2"/>
  <c r="O701" i="2"/>
  <c r="N701" i="2"/>
  <c r="N317" i="2"/>
  <c r="O317" i="2"/>
  <c r="P640" i="2"/>
  <c r="P53" i="2"/>
  <c r="P453" i="2"/>
  <c r="N645" i="2"/>
  <c r="O645" i="2"/>
  <c r="P461" i="2"/>
  <c r="N866" i="2"/>
  <c r="O866" i="2"/>
  <c r="P834" i="2"/>
  <c r="P265" i="2"/>
  <c r="P890" i="2"/>
  <c r="P147" i="2"/>
  <c r="P793" i="2"/>
  <c r="P360" i="2"/>
  <c r="P62" i="2"/>
  <c r="P989" i="2"/>
  <c r="P715" i="2"/>
  <c r="N923" i="2"/>
  <c r="O923" i="2"/>
  <c r="P504" i="2"/>
  <c r="N331" i="2"/>
  <c r="O331" i="2"/>
  <c r="P403" i="2"/>
  <c r="P413" i="2"/>
  <c r="P245" i="2"/>
  <c r="N651" i="2"/>
  <c r="O651" i="2"/>
  <c r="P900" i="2"/>
  <c r="N120" i="2"/>
  <c r="O120" i="2"/>
  <c r="P996" i="2"/>
  <c r="P847" i="2"/>
  <c r="P519" i="2"/>
  <c r="P526" i="2"/>
  <c r="N568" i="2"/>
  <c r="O568" i="2"/>
  <c r="P401" i="2"/>
  <c r="P135" i="2"/>
  <c r="P725" i="2"/>
  <c r="P155" i="2"/>
  <c r="P106" i="2"/>
  <c r="P863" i="2"/>
  <c r="P412" i="2"/>
  <c r="N915" i="2"/>
  <c r="O915" i="2"/>
  <c r="P91" i="2"/>
  <c r="P320" i="2"/>
  <c r="P128" i="2"/>
  <c r="N76" i="2"/>
  <c r="O76" i="2"/>
  <c r="P365" i="2"/>
  <c r="P143" i="2"/>
  <c r="N1001" i="2"/>
  <c r="O1001" i="2"/>
  <c r="N69" i="2"/>
  <c r="O69" i="2"/>
  <c r="P458" i="2"/>
  <c r="N722" i="2"/>
  <c r="O722" i="2"/>
  <c r="P624" i="2"/>
  <c r="O624" i="2"/>
  <c r="N624" i="2"/>
  <c r="P540" i="2"/>
  <c r="P569" i="2"/>
  <c r="P319" i="2"/>
  <c r="P183" i="2"/>
  <c r="P854" i="2"/>
  <c r="P39" i="2"/>
  <c r="P766" i="2"/>
  <c r="P927" i="2"/>
  <c r="P541" i="2"/>
  <c r="P208" i="2"/>
  <c r="P814" i="2"/>
  <c r="N885" i="2"/>
  <c r="O885" i="2"/>
  <c r="P721" i="2"/>
  <c r="N487" i="2"/>
  <c r="O487" i="2"/>
  <c r="P376" i="2"/>
  <c r="P332" i="2"/>
  <c r="P833" i="2"/>
  <c r="P127" i="2"/>
  <c r="P738" i="2"/>
  <c r="P849" i="2"/>
  <c r="P251" i="2"/>
  <c r="P841" i="2"/>
  <c r="P293" i="2"/>
  <c r="P666" i="2"/>
  <c r="P583" i="2"/>
  <c r="P940" i="2"/>
  <c r="N582" i="2"/>
  <c r="O582" i="2"/>
  <c r="N646" i="2"/>
  <c r="O646" i="2"/>
  <c r="P459" i="2"/>
  <c r="P257" i="2"/>
  <c r="P27" i="2"/>
  <c r="P422" i="2"/>
  <c r="P820" i="2"/>
  <c r="N453" i="2"/>
  <c r="O453" i="2"/>
  <c r="P335" i="2"/>
  <c r="P232" i="2"/>
  <c r="P753" i="2"/>
  <c r="P804" i="2"/>
  <c r="P687" i="2"/>
  <c r="P688" i="2"/>
  <c r="P485" i="2"/>
  <c r="P728" i="2"/>
  <c r="P418" i="2"/>
  <c r="N62" i="2"/>
  <c r="O62" i="2"/>
  <c r="P819" i="2"/>
  <c r="N715" i="2"/>
  <c r="O715" i="2"/>
  <c r="P215" i="2"/>
  <c r="P381" i="2"/>
  <c r="P917" i="2"/>
  <c r="P238" i="2"/>
  <c r="P111" i="2"/>
  <c r="P662" i="2"/>
  <c r="P785" i="2"/>
  <c r="P455" i="2"/>
  <c r="P180" i="2"/>
  <c r="P780" i="2"/>
  <c r="P598" i="2"/>
  <c r="O598" i="2"/>
  <c r="N598" i="2"/>
  <c r="N847" i="2"/>
  <c r="O847" i="2"/>
  <c r="P427" i="2"/>
  <c r="P268" i="2"/>
  <c r="O268" i="2"/>
  <c r="N268" i="2"/>
  <c r="P619" i="2"/>
  <c r="N135" i="2"/>
  <c r="O135" i="2"/>
  <c r="P878" i="2"/>
  <c r="N369" i="2"/>
  <c r="O369" i="2"/>
  <c r="P894" i="2"/>
  <c r="P314" i="2"/>
  <c r="P171" i="2"/>
  <c r="N412" i="2"/>
  <c r="O412" i="2"/>
  <c r="P826" i="2"/>
  <c r="P936" i="2"/>
  <c r="N925" i="2"/>
  <c r="O925" i="2"/>
  <c r="P316" i="2"/>
  <c r="N128" i="2"/>
  <c r="O128" i="2"/>
  <c r="P478" i="2"/>
  <c r="N365" i="2"/>
  <c r="O365" i="2"/>
  <c r="P904" i="2"/>
  <c r="P75" i="2"/>
  <c r="P880" i="2"/>
  <c r="P756" i="2"/>
  <c r="P86" i="2"/>
  <c r="P626" i="2"/>
  <c r="P25" i="2"/>
  <c r="P13" i="2"/>
  <c r="P276" i="2"/>
  <c r="O276" i="2"/>
  <c r="N276" i="2"/>
  <c r="P829" i="2"/>
  <c r="P788" i="2"/>
  <c r="P468" i="2"/>
  <c r="P518" i="2"/>
  <c r="P534" i="2"/>
  <c r="P844" i="2"/>
  <c r="P578" i="2"/>
  <c r="P954" i="2"/>
  <c r="P726" i="2"/>
  <c r="P912" i="2"/>
  <c r="P838" i="2"/>
  <c r="P410" i="2"/>
  <c r="P509" i="2"/>
  <c r="P828" i="2"/>
  <c r="P592" i="2"/>
  <c r="N841" i="2"/>
  <c r="O841" i="2"/>
  <c r="P300" i="2"/>
  <c r="P970" i="2"/>
  <c r="P783" i="2"/>
  <c r="P464" i="2"/>
  <c r="P893" i="2"/>
  <c r="P585" i="2"/>
  <c r="P228" i="2"/>
  <c r="P409" i="2"/>
  <c r="P977" i="2"/>
  <c r="P364" i="2"/>
  <c r="P465" i="2"/>
  <c r="N820" i="2"/>
  <c r="O820" i="2"/>
  <c r="P635" i="2"/>
  <c r="P822" i="2"/>
  <c r="P899" i="2"/>
  <c r="P452" i="2"/>
  <c r="P402" i="2"/>
  <c r="P812" i="2"/>
  <c r="N728" i="2"/>
  <c r="O728" i="2"/>
  <c r="P916" i="2"/>
  <c r="N358" i="2"/>
  <c r="O358" i="2"/>
  <c r="P136" i="2"/>
  <c r="P108" i="2"/>
  <c r="N215" i="2"/>
  <c r="O215" i="2"/>
  <c r="N381" i="2"/>
  <c r="O381" i="2"/>
  <c r="N917" i="2"/>
  <c r="O917" i="2"/>
  <c r="N238" i="2"/>
  <c r="O238" i="2"/>
  <c r="P474" i="2"/>
  <c r="N662" i="2"/>
  <c r="O662" i="2"/>
  <c r="N785" i="2"/>
  <c r="O785" i="2"/>
  <c r="P760" i="2"/>
  <c r="N180" i="2"/>
  <c r="O180" i="2"/>
  <c r="N780" i="2"/>
  <c r="O780" i="2"/>
  <c r="P511" i="2"/>
  <c r="N793" i="2"/>
  <c r="O793" i="2"/>
  <c r="P400" i="2"/>
  <c r="P56" i="2"/>
  <c r="P423" i="2"/>
  <c r="N619" i="2"/>
  <c r="O619" i="2"/>
  <c r="P673" i="2"/>
  <c r="N878" i="2"/>
  <c r="O878" i="2"/>
  <c r="P979" i="2"/>
  <c r="P879" i="2"/>
  <c r="P50" i="2"/>
  <c r="P32" i="2"/>
  <c r="N826" i="2"/>
  <c r="O826" i="2"/>
  <c r="N936" i="2"/>
  <c r="O936" i="2"/>
  <c r="P556" i="2"/>
  <c r="P206" i="2"/>
  <c r="N478" i="2"/>
  <c r="O478" i="2"/>
  <c r="P586" i="2"/>
  <c r="N904" i="2"/>
  <c r="O904" i="2"/>
  <c r="N75" i="2"/>
  <c r="O75" i="2"/>
  <c r="N880" i="2"/>
  <c r="O880" i="2"/>
  <c r="N756" i="2"/>
  <c r="O756" i="2"/>
  <c r="P345" i="2"/>
  <c r="P825" i="2"/>
  <c r="P118" i="2"/>
  <c r="P848" i="2"/>
  <c r="P636" i="2"/>
  <c r="P308" i="2"/>
  <c r="P615" i="2"/>
  <c r="P575" i="2"/>
  <c r="P588" i="2"/>
  <c r="P742" i="2"/>
  <c r="P149" i="2"/>
  <c r="P213" i="2"/>
  <c r="P555" i="2"/>
  <c r="P153" i="2"/>
  <c r="P104" i="2"/>
  <c r="N551" i="2"/>
  <c r="O551" i="2"/>
  <c r="P544" i="2"/>
  <c r="N927" i="2"/>
  <c r="O927" i="2"/>
  <c r="P737" i="2"/>
  <c r="N971" i="2"/>
  <c r="O971" i="2"/>
  <c r="P304" i="2"/>
  <c r="P389" i="2"/>
  <c r="N849" i="2"/>
  <c r="O849" i="2"/>
  <c r="P92" i="2"/>
  <c r="P384" i="2"/>
  <c r="P353" i="2"/>
  <c r="P914" i="2"/>
  <c r="P564" i="2"/>
  <c r="P605" i="2"/>
  <c r="P477" i="2"/>
  <c r="N300" i="2"/>
  <c r="O300" i="2"/>
  <c r="P2" i="2"/>
  <c r="P178" i="2"/>
  <c r="P677" i="2"/>
  <c r="P697" i="2"/>
  <c r="P529" i="2"/>
  <c r="P330" i="2"/>
  <c r="P821" i="2"/>
  <c r="N845" i="2"/>
  <c r="O845" i="2"/>
  <c r="P260" i="2"/>
  <c r="P824" i="2"/>
  <c r="P686" i="2"/>
  <c r="P739" i="2"/>
  <c r="P311" i="2"/>
  <c r="P117" i="2"/>
  <c r="N588" i="2"/>
  <c r="O588" i="2"/>
  <c r="P95" i="2"/>
  <c r="P71" i="2"/>
  <c r="P548" i="2"/>
  <c r="P463" i="2"/>
  <c r="N153" i="2"/>
  <c r="O153" i="2"/>
  <c r="P126" i="2"/>
  <c r="P764" i="2"/>
  <c r="P46" i="2"/>
  <c r="P366" i="2"/>
  <c r="P240" i="2"/>
  <c r="O240" i="2"/>
  <c r="N240" i="2"/>
  <c r="P471" i="2"/>
  <c r="N187" i="2"/>
  <c r="O187" i="2"/>
  <c r="N373" i="2"/>
  <c r="O373" i="2"/>
  <c r="P114" i="2"/>
  <c r="P613" i="2"/>
  <c r="P18" i="2"/>
  <c r="P813" i="2"/>
  <c r="P924" i="2"/>
  <c r="P467" i="2"/>
  <c r="N228" i="2"/>
  <c r="O228" i="2"/>
  <c r="P44" i="2"/>
  <c r="P929" i="2"/>
  <c r="P161" i="2"/>
  <c r="N477" i="2"/>
  <c r="O477" i="2"/>
  <c r="P48" i="2"/>
  <c r="N2" i="2"/>
  <c r="O2" i="2"/>
  <c r="P790" i="2"/>
  <c r="P969" i="2"/>
  <c r="P202" i="2"/>
  <c r="N208" i="2"/>
  <c r="O208" i="2"/>
  <c r="P72" i="2"/>
  <c r="P789" i="2"/>
  <c r="O789" i="2"/>
  <c r="N789" i="2"/>
  <c r="N697" i="2"/>
  <c r="O697" i="2"/>
  <c r="N918" i="2"/>
  <c r="O918" i="2"/>
  <c r="P952" i="2"/>
  <c r="P818" i="2"/>
  <c r="P958" i="2"/>
  <c r="P515" i="2"/>
  <c r="P882" i="2"/>
  <c r="P67" i="2"/>
  <c r="N958" i="2"/>
  <c r="O958" i="2"/>
  <c r="P329" i="2"/>
  <c r="P909" i="2"/>
  <c r="P24" i="2"/>
  <c r="P552" i="2"/>
  <c r="P263" i="2"/>
  <c r="P28" i="2"/>
  <c r="P986" i="2"/>
  <c r="P806" i="2"/>
  <c r="P712" i="2"/>
  <c r="P447" i="2"/>
  <c r="P404" i="2"/>
  <c r="P440" i="2"/>
  <c r="P29" i="2"/>
  <c r="N989" i="2"/>
  <c r="O989" i="2"/>
  <c r="P691" i="2"/>
  <c r="P165" i="2"/>
  <c r="P700" i="2"/>
  <c r="P775" i="2"/>
  <c r="P20" i="2"/>
  <c r="N569" i="2"/>
  <c r="O569" i="2"/>
  <c r="P130" i="2"/>
  <c r="N95" i="2"/>
  <c r="O95" i="2"/>
  <c r="P647" i="2"/>
  <c r="P837" i="2"/>
  <c r="O837" i="2"/>
  <c r="N837" i="2"/>
  <c r="P978" i="2"/>
  <c r="P430" i="2"/>
  <c r="P514" i="2"/>
  <c r="P600" i="2"/>
  <c r="P105" i="2"/>
  <c r="P554" i="2"/>
  <c r="N133" i="2"/>
  <c r="O133" i="2"/>
  <c r="P921" i="2"/>
  <c r="P271" i="2"/>
  <c r="P698" i="2"/>
  <c r="N813" i="2"/>
  <c r="O813" i="2"/>
  <c r="P883" i="2"/>
  <c r="P595" i="2"/>
  <c r="P827" i="2"/>
  <c r="P655" i="2"/>
  <c r="P535" i="2"/>
  <c r="N161" i="2"/>
  <c r="O161" i="2"/>
  <c r="P862" i="2"/>
  <c r="N914" i="2"/>
  <c r="O914" i="2"/>
  <c r="P740" i="2"/>
  <c r="P580" i="2"/>
  <c r="P287" i="2"/>
  <c r="P125" i="2"/>
  <c r="P648" i="2"/>
  <c r="N196" i="2"/>
  <c r="O196" i="2"/>
  <c r="P802" i="2"/>
  <c r="P870" i="2"/>
  <c r="N893" i="2"/>
  <c r="O893" i="2"/>
  <c r="P982" i="2"/>
  <c r="N515" i="2"/>
  <c r="O515" i="2"/>
  <c r="P363" i="2"/>
  <c r="N753" i="2"/>
  <c r="O753" i="2"/>
  <c r="P608" i="2"/>
  <c r="O608" i="2"/>
  <c r="N608" i="2"/>
  <c r="N471" i="2"/>
  <c r="O471" i="2"/>
  <c r="N258" i="2"/>
  <c r="O258" i="2"/>
  <c r="P340" i="2"/>
  <c r="P102" i="2"/>
  <c r="N329" i="2"/>
  <c r="O329" i="2"/>
  <c r="P875" i="2"/>
  <c r="P255" i="2"/>
  <c r="N24" i="2"/>
  <c r="O24" i="2"/>
  <c r="P611" i="2"/>
  <c r="N44" i="2"/>
  <c r="O44" i="2"/>
  <c r="N552" i="2"/>
  <c r="O552" i="2"/>
  <c r="P603" i="2"/>
  <c r="N401" i="2"/>
  <c r="O401" i="2"/>
  <c r="P859" i="2"/>
  <c r="P597" i="2"/>
  <c r="P571" i="2"/>
  <c r="P279" i="2"/>
  <c r="P840" i="2"/>
  <c r="P679" i="2"/>
  <c r="N402" i="2"/>
  <c r="O402" i="2"/>
  <c r="P581" i="2"/>
  <c r="P888" i="2"/>
  <c r="P179" i="2"/>
  <c r="P503" i="2"/>
  <c r="N534" i="2"/>
  <c r="O534" i="2"/>
  <c r="P480" i="2"/>
  <c r="P955" i="2"/>
  <c r="N410" i="2"/>
  <c r="O410" i="2"/>
  <c r="P771" i="2"/>
  <c r="P241" i="2"/>
  <c r="P224" i="2"/>
  <c r="P4" i="2"/>
  <c r="P930" i="2"/>
  <c r="N465" i="2"/>
  <c r="O465" i="2"/>
  <c r="P831" i="2"/>
  <c r="N916" i="2"/>
  <c r="O916" i="2"/>
  <c r="N108" i="2"/>
  <c r="O108" i="2"/>
  <c r="P876" i="2"/>
  <c r="O876" i="2"/>
  <c r="N876" i="2"/>
  <c r="P57" i="2"/>
  <c r="N340" i="2"/>
  <c r="O340" i="2"/>
  <c r="N743" i="2"/>
  <c r="O743" i="2"/>
  <c r="P282" i="2"/>
  <c r="P525" i="2"/>
  <c r="P209" i="2"/>
  <c r="P609" i="2"/>
  <c r="N439" i="2"/>
  <c r="O439" i="2"/>
  <c r="P752" i="2"/>
  <c r="P6" i="2"/>
  <c r="P261" i="2"/>
  <c r="P705" i="2"/>
  <c r="P103" i="2"/>
  <c r="P442" i="2"/>
  <c r="P852" i="2"/>
  <c r="P602" i="2"/>
  <c r="P938" i="2"/>
  <c r="P356" i="2"/>
  <c r="P291" i="2"/>
  <c r="P763" i="2"/>
  <c r="N585" i="2"/>
  <c r="O585" i="2"/>
  <c r="P625" i="2"/>
  <c r="P383" i="2"/>
  <c r="P754" i="2"/>
  <c r="P543" i="2"/>
  <c r="P945" i="2"/>
  <c r="P839" i="2"/>
  <c r="P305" i="2"/>
  <c r="N455" i="2"/>
  <c r="O455" i="2"/>
  <c r="P78" i="2"/>
  <c r="N245" i="2"/>
  <c r="O245" i="2"/>
  <c r="N103" i="2"/>
  <c r="O103" i="2"/>
  <c r="P995" i="2"/>
  <c r="P372" i="2"/>
  <c r="P516" i="2"/>
  <c r="P787" i="2"/>
  <c r="P707" i="2"/>
  <c r="P657" i="2"/>
  <c r="P718" i="2"/>
  <c r="N676" i="2"/>
  <c r="O676" i="2"/>
  <c r="P735" i="2"/>
  <c r="P288" i="2"/>
  <c r="P60" i="2"/>
  <c r="P250" i="2"/>
  <c r="P908" i="2"/>
  <c r="P798" i="2"/>
  <c r="P517" i="2"/>
  <c r="N821" i="2"/>
  <c r="O821" i="2"/>
  <c r="P630" i="2"/>
  <c r="N870" i="2"/>
  <c r="O870" i="2"/>
  <c r="N626" i="2"/>
  <c r="O626" i="2"/>
  <c r="P639" i="2"/>
  <c r="N618" i="2"/>
  <c r="O618" i="2"/>
  <c r="N55" i="2"/>
  <c r="O55" i="2"/>
  <c r="N688" i="2"/>
  <c r="O688" i="2"/>
  <c r="P299" i="2"/>
  <c r="N525" i="2"/>
  <c r="O525" i="2"/>
  <c r="P959" i="2"/>
  <c r="N609" i="2"/>
  <c r="O609" i="2"/>
  <c r="P407" i="2"/>
  <c r="P290" i="2"/>
  <c r="N261" i="2"/>
  <c r="O261" i="2"/>
  <c r="P158" i="2"/>
  <c r="O158" i="2"/>
  <c r="N158" i="2"/>
  <c r="P950" i="2"/>
  <c r="O950" i="2"/>
  <c r="N950" i="2"/>
  <c r="P975" i="2"/>
  <c r="P767" i="2"/>
  <c r="P174" i="2"/>
  <c r="P710" i="2"/>
  <c r="P382" i="2"/>
  <c r="N189" i="2"/>
  <c r="O189" i="2"/>
  <c r="P189" i="2"/>
  <c r="P362" i="2"/>
  <c r="N291" i="2"/>
  <c r="O291" i="2"/>
  <c r="P184" i="2"/>
  <c r="N213" i="2"/>
  <c r="O213" i="2"/>
  <c r="P254" i="2"/>
  <c r="N172" i="2"/>
  <c r="O172" i="2"/>
  <c r="P905" i="2"/>
  <c r="N945" i="2"/>
  <c r="O945" i="2"/>
  <c r="N839" i="2"/>
  <c r="O839" i="2"/>
  <c r="P235" i="2"/>
  <c r="O235" i="2"/>
  <c r="N235" i="2"/>
  <c r="P871" i="2"/>
  <c r="P164" i="2"/>
  <c r="P188" i="2"/>
  <c r="P892" i="2"/>
  <c r="P253" i="2"/>
  <c r="N742" i="2"/>
  <c r="O742" i="2"/>
  <c r="N762" i="2"/>
  <c r="O762" i="2"/>
  <c r="P751" i="2"/>
  <c r="P784" i="2"/>
  <c r="N363" i="2"/>
  <c r="O363" i="2"/>
  <c r="N995" i="2"/>
  <c r="O995" i="2"/>
  <c r="N842" i="2"/>
  <c r="O842" i="2"/>
  <c r="P649" i="2"/>
  <c r="P325" i="2"/>
  <c r="N298" i="2"/>
  <c r="O298" i="2"/>
  <c r="P298" i="2"/>
  <c r="P990" i="2"/>
  <c r="P357" i="2"/>
  <c r="P988" i="2"/>
  <c r="N802" i="2"/>
  <c r="O802" i="2"/>
  <c r="P731" i="2"/>
  <c r="P84" i="2"/>
  <c r="P306" i="2"/>
  <c r="P664" i="2"/>
  <c r="N271" i="2"/>
  <c r="O271" i="2"/>
  <c r="P220" i="2"/>
  <c r="P226" i="2"/>
  <c r="N535" i="2"/>
  <c r="O535" i="2"/>
  <c r="N862" i="2"/>
  <c r="O862" i="2"/>
  <c r="P856" i="2"/>
  <c r="P510" i="2"/>
  <c r="N982" i="2"/>
  <c r="O982" i="2"/>
  <c r="P176" i="2"/>
  <c r="P194" i="2"/>
  <c r="P491" i="2"/>
  <c r="P41" i="2"/>
  <c r="N80" i="2"/>
  <c r="O80" i="2"/>
  <c r="N879" i="2"/>
  <c r="O879" i="2"/>
  <c r="N32" i="2"/>
  <c r="O32" i="2"/>
  <c r="P216" i="2"/>
  <c r="P654" i="2"/>
  <c r="P495" i="2"/>
  <c r="P877" i="2"/>
  <c r="P685" i="2"/>
  <c r="N548" i="2"/>
  <c r="O548" i="2"/>
  <c r="P83" i="2"/>
  <c r="N469" i="2"/>
  <c r="O469" i="2"/>
  <c r="P965" i="2"/>
  <c r="P727" i="2"/>
  <c r="O727" i="2"/>
  <c r="N727" i="2"/>
  <c r="P621" i="2"/>
  <c r="P5" i="2"/>
  <c r="N382" i="2"/>
  <c r="O382" i="2"/>
  <c r="P425" i="2"/>
  <c r="P210" i="2"/>
  <c r="N6" i="2"/>
  <c r="O6" i="2"/>
  <c r="N442" i="2"/>
  <c r="O442" i="2"/>
  <c r="P350" i="2"/>
  <c r="P49" i="2"/>
  <c r="P576" i="2"/>
  <c r="O576" i="2"/>
  <c r="N576" i="2"/>
  <c r="N272" i="2"/>
  <c r="O272" i="2"/>
  <c r="P653" i="2"/>
  <c r="P217" i="2"/>
  <c r="P218" i="2"/>
  <c r="N871" i="2"/>
  <c r="O871" i="2"/>
  <c r="N164" i="2"/>
  <c r="O164" i="2"/>
  <c r="N188" i="2"/>
  <c r="O188" i="2"/>
  <c r="N581" i="2"/>
  <c r="O581" i="2"/>
  <c r="N337" i="2"/>
  <c r="O337" i="2"/>
  <c r="P601" i="2"/>
  <c r="P566" i="2"/>
  <c r="P152" i="2"/>
  <c r="P43" i="2"/>
  <c r="N751" i="2"/>
  <c r="O751" i="2"/>
  <c r="P708" i="2"/>
  <c r="P54" i="2"/>
  <c r="N206" i="2"/>
  <c r="O206" i="2"/>
  <c r="P267" i="2"/>
  <c r="N529" i="2"/>
  <c r="O529" i="2"/>
  <c r="P328" i="2"/>
  <c r="N325" i="2"/>
  <c r="O325" i="2"/>
  <c r="P248" i="2"/>
  <c r="N988" i="2"/>
  <c r="O988" i="2"/>
  <c r="P498" i="2"/>
  <c r="P236" i="2"/>
  <c r="P560" i="2"/>
  <c r="P853" i="2"/>
  <c r="P134" i="2"/>
  <c r="N296" i="2"/>
  <c r="O296" i="2"/>
  <c r="P296" i="2"/>
  <c r="P336" i="2"/>
  <c r="P58" i="2"/>
  <c r="N636" i="2"/>
  <c r="O636" i="2"/>
  <c r="N831" i="2"/>
  <c r="O831" i="2"/>
  <c r="P324" i="2"/>
  <c r="P482" i="2"/>
  <c r="N136" i="2"/>
  <c r="O136" i="2"/>
  <c r="N194" i="2"/>
  <c r="O194" i="2"/>
  <c r="N41" i="2"/>
  <c r="O41" i="2"/>
  <c r="P684" i="2"/>
  <c r="O684" i="2"/>
  <c r="N684" i="2"/>
  <c r="P957" i="2"/>
  <c r="N126" i="2"/>
  <c r="O126" i="2"/>
  <c r="P284" i="2"/>
  <c r="N654" i="2"/>
  <c r="O654" i="2"/>
  <c r="P773" i="2"/>
  <c r="P191" i="2"/>
  <c r="P874" i="2"/>
  <c r="N93" i="2"/>
  <c r="O93" i="2"/>
  <c r="P334" i="2"/>
  <c r="P36" i="2"/>
  <c r="P545" i="2"/>
  <c r="P239" i="2"/>
  <c r="N485" i="2"/>
  <c r="O485" i="2"/>
  <c r="N5" i="2"/>
  <c r="O5" i="2"/>
  <c r="N594" i="2"/>
  <c r="O594" i="2"/>
  <c r="N852" i="2"/>
  <c r="O852" i="2"/>
  <c r="N677" i="2"/>
  <c r="O677" i="2"/>
  <c r="P713" i="2"/>
  <c r="P800" i="2"/>
  <c r="N735" i="2"/>
  <c r="O735" i="2"/>
  <c r="P896" i="2"/>
  <c r="P869" i="2"/>
  <c r="P500" i="2"/>
  <c r="N217" i="2"/>
  <c r="O217" i="2"/>
  <c r="N218" i="2"/>
  <c r="O218" i="2"/>
  <c r="P150" i="2"/>
  <c r="P74" i="2"/>
  <c r="P421" i="2"/>
  <c r="P797" i="2"/>
  <c r="P145" i="2"/>
  <c r="N152" i="2"/>
  <c r="O152" i="2"/>
  <c r="P190" i="2"/>
  <c r="N766" i="2"/>
  <c r="O766" i="2"/>
  <c r="P973" i="2"/>
  <c r="P419" i="2"/>
  <c r="N267" i="2"/>
  <c r="O267" i="2"/>
  <c r="P199" i="2"/>
  <c r="N328" i="2"/>
  <c r="O328" i="2"/>
  <c r="P229" i="2"/>
  <c r="N155" i="2"/>
  <c r="O155" i="2"/>
  <c r="N729" i="2"/>
  <c r="O729" i="2"/>
  <c r="P116" i="2"/>
  <c r="P23" i="2"/>
  <c r="P420" i="2"/>
  <c r="P674" i="2"/>
  <c r="P604" i="2"/>
  <c r="P803" i="2"/>
  <c r="O803" i="2"/>
  <c r="N803" i="2"/>
  <c r="P446" i="2"/>
  <c r="P670" i="2"/>
  <c r="N509" i="2"/>
  <c r="O509" i="2"/>
  <c r="P574" i="2"/>
  <c r="P312" i="2"/>
  <c r="P396" i="2"/>
  <c r="N635" i="2"/>
  <c r="O635" i="2"/>
  <c r="P484" i="2"/>
  <c r="P873" i="2"/>
  <c r="P528" i="2"/>
  <c r="N58" i="2"/>
  <c r="O58" i="2"/>
  <c r="N940" i="2"/>
  <c r="O940" i="2"/>
  <c r="N665" i="2"/>
  <c r="O665" i="2"/>
  <c r="P665" i="2"/>
  <c r="P872" i="2"/>
  <c r="P242" i="2"/>
  <c r="N833" i="2"/>
  <c r="O833" i="2"/>
  <c r="P252" i="2"/>
  <c r="N191" i="2"/>
  <c r="O191" i="2"/>
  <c r="N134" i="2"/>
  <c r="O134" i="2"/>
  <c r="N874" i="2"/>
  <c r="O874" i="2"/>
  <c r="P137" i="2"/>
  <c r="P162" i="2"/>
  <c r="P493" i="2"/>
  <c r="P881" i="2"/>
  <c r="P631" i="2"/>
  <c r="N72" i="2"/>
  <c r="O72" i="2"/>
  <c r="P387" i="2"/>
  <c r="P448" i="2"/>
  <c r="P424" i="2"/>
  <c r="N224" i="2"/>
  <c r="O224" i="2"/>
  <c r="P937" i="2"/>
  <c r="P351" i="2"/>
  <c r="N83" i="2"/>
  <c r="O83" i="2"/>
  <c r="P836" i="2"/>
  <c r="P759" i="2"/>
  <c r="N648" i="2"/>
  <c r="O648" i="2"/>
  <c r="N869" i="2"/>
  <c r="O869" i="2"/>
  <c r="N184" i="2"/>
  <c r="O184" i="2"/>
  <c r="P948" i="2"/>
  <c r="P559" i="2"/>
  <c r="N150" i="2"/>
  <c r="O150" i="2"/>
  <c r="N74" i="2"/>
  <c r="O74" i="2"/>
  <c r="N421" i="2"/>
  <c r="O421" i="2"/>
  <c r="P750" i="2"/>
  <c r="N145" i="2"/>
  <c r="O145" i="2"/>
  <c r="N403" i="2"/>
  <c r="O403" i="2"/>
  <c r="P531" i="2"/>
  <c r="P349" i="2"/>
  <c r="N601" i="2"/>
  <c r="O601" i="2"/>
  <c r="N419" i="2"/>
  <c r="O419" i="2"/>
  <c r="P832" i="2"/>
  <c r="P661" i="2"/>
  <c r="N698" i="2"/>
  <c r="O698" i="2"/>
  <c r="P177" i="2"/>
  <c r="P816" i="2"/>
  <c r="P799" i="2"/>
  <c r="N376" i="2"/>
  <c r="O376" i="2"/>
  <c r="P131" i="2"/>
  <c r="P985" i="2"/>
  <c r="P426" i="2"/>
  <c r="P505" i="2"/>
  <c r="P443" i="2"/>
  <c r="P64" i="2"/>
  <c r="N38" i="2"/>
  <c r="O38" i="2"/>
  <c r="P38" i="2"/>
  <c r="P570" i="2"/>
  <c r="N491" i="2"/>
  <c r="O491" i="2"/>
  <c r="N673" i="2"/>
  <c r="O673" i="2"/>
  <c r="P757" i="2"/>
  <c r="P342" i="2"/>
  <c r="P614" i="2"/>
  <c r="P658" i="2"/>
  <c r="P941" i="2"/>
  <c r="P395" i="2"/>
  <c r="N378" i="2"/>
  <c r="O378" i="2"/>
  <c r="P887" i="2"/>
  <c r="N395" i="2"/>
  <c r="O395" i="2"/>
  <c r="P599" i="2"/>
  <c r="P97" i="2"/>
  <c r="O97" i="2"/>
  <c r="N97" i="2"/>
  <c r="P182" i="2"/>
  <c r="N602" i="2"/>
  <c r="O602" i="2"/>
  <c r="P42" i="2"/>
  <c r="N424" i="2"/>
  <c r="O424" i="2"/>
  <c r="P1000" i="2"/>
  <c r="P449" i="2"/>
  <c r="N998" i="2"/>
  <c r="O998" i="2"/>
  <c r="P11" i="2"/>
  <c r="P167" i="2"/>
  <c r="P650" i="2"/>
  <c r="P786" i="2"/>
  <c r="P523" i="2"/>
  <c r="P667" i="2"/>
  <c r="P692" i="2"/>
  <c r="N781" i="2"/>
  <c r="O781" i="2"/>
  <c r="P230" i="2"/>
  <c r="N105" i="2"/>
  <c r="O105" i="2"/>
  <c r="N260" i="2"/>
  <c r="O260" i="2"/>
  <c r="N73" i="2"/>
  <c r="O73" i="2"/>
  <c r="P681" i="2"/>
  <c r="P573" i="2"/>
  <c r="N899" i="2"/>
  <c r="O899" i="2"/>
  <c r="P462" i="2"/>
  <c r="N583" i="2"/>
  <c r="O583" i="2"/>
  <c r="P52" i="2"/>
  <c r="P641" i="2"/>
  <c r="P835" i="2"/>
  <c r="O835" i="2"/>
  <c r="N835" i="2"/>
  <c r="P233" i="2"/>
  <c r="P699" i="2"/>
  <c r="P652" i="2"/>
  <c r="O652" i="2"/>
  <c r="N652" i="2"/>
  <c r="N452" i="2"/>
  <c r="O452" i="2"/>
  <c r="N687" i="2"/>
  <c r="O687" i="2"/>
  <c r="P140" i="2"/>
  <c r="P634" i="2"/>
  <c r="P577" i="2"/>
  <c r="P579" i="2"/>
  <c r="O579" i="2"/>
  <c r="N579" i="2"/>
  <c r="P59" i="2"/>
  <c r="P7" i="2"/>
  <c r="P999" i="2"/>
  <c r="N96" i="2"/>
  <c r="O96" i="2"/>
  <c r="N586" i="2"/>
  <c r="O586" i="2"/>
  <c r="P997" i="2"/>
  <c r="P659" i="2"/>
  <c r="N415" i="2"/>
  <c r="O415" i="2"/>
  <c r="P558" i="2"/>
  <c r="P809" i="2"/>
  <c r="N409" i="2"/>
  <c r="O409" i="2"/>
  <c r="N599" i="2"/>
  <c r="O599" i="2"/>
  <c r="P694" i="2"/>
  <c r="P761" i="2"/>
  <c r="N396" i="2"/>
  <c r="O396" i="2"/>
  <c r="P323" i="2"/>
  <c r="P156" i="2"/>
  <c r="N299" i="2"/>
  <c r="O299" i="2"/>
  <c r="P962" i="2"/>
  <c r="P933" i="2"/>
  <c r="N1000" i="2"/>
  <c r="O1000" i="2"/>
  <c r="P338" i="2"/>
  <c r="O338" i="2"/>
  <c r="N338" i="2"/>
  <c r="P94" i="2"/>
  <c r="N167" i="2"/>
  <c r="O167" i="2"/>
  <c r="N109" i="2"/>
  <c r="O109" i="2"/>
  <c r="P983" i="2"/>
  <c r="N456" i="2"/>
  <c r="O456" i="2"/>
  <c r="N79" i="2"/>
  <c r="O79" i="2"/>
  <c r="P791" i="2"/>
  <c r="N500" i="2"/>
  <c r="O500" i="2"/>
  <c r="P953" i="2"/>
  <c r="N230" i="2"/>
  <c r="O230" i="2"/>
  <c r="P129" i="2"/>
  <c r="N573" i="2"/>
  <c r="O573" i="2"/>
  <c r="P243" i="2"/>
  <c r="P897" i="2"/>
  <c r="P186" i="2"/>
  <c r="P163" i="2"/>
  <c r="N104" i="2"/>
  <c r="O104" i="2"/>
  <c r="P524" i="2"/>
  <c r="P146" i="2"/>
  <c r="O146" i="2"/>
  <c r="N146" i="2"/>
  <c r="N660" i="2"/>
  <c r="O660" i="2"/>
  <c r="P660" i="2"/>
  <c r="P717" i="2"/>
  <c r="P292" i="2"/>
  <c r="O292" i="2"/>
  <c r="N292" i="2"/>
  <c r="P865" i="2"/>
  <c r="N616" i="2"/>
  <c r="O616" i="2"/>
  <c r="N536" i="2"/>
  <c r="O536" i="2"/>
  <c r="N459" i="2"/>
  <c r="O459" i="2"/>
  <c r="P247" i="2"/>
  <c r="N335" i="2"/>
  <c r="O335" i="2"/>
  <c r="N530" i="2"/>
  <c r="O530" i="2"/>
  <c r="P530" i="2"/>
  <c r="P777" i="2"/>
  <c r="P277" i="2"/>
  <c r="N792" i="2"/>
  <c r="O792" i="2"/>
  <c r="P9" i="2"/>
  <c r="P326" i="2"/>
  <c r="P441" i="2"/>
  <c r="P669" i="2"/>
  <c r="P278" i="2"/>
  <c r="N353" i="2"/>
  <c r="O353" i="2"/>
  <c r="N427" i="2"/>
  <c r="O427" i="2"/>
  <c r="N888" i="2"/>
  <c r="O888" i="2"/>
  <c r="P675" i="2"/>
  <c r="N666" i="2"/>
  <c r="O666" i="2"/>
  <c r="P112" i="2"/>
  <c r="P159" i="2"/>
  <c r="P522" i="2"/>
  <c r="N775" i="2"/>
  <c r="O775" i="2"/>
  <c r="P61" i="2"/>
  <c r="P795" i="2"/>
  <c r="N933" i="2"/>
  <c r="O933" i="2"/>
  <c r="P507" i="2"/>
  <c r="N178" i="2"/>
  <c r="O178" i="2"/>
  <c r="P741" i="2"/>
  <c r="P981" i="2"/>
  <c r="P830" i="2"/>
  <c r="N983" i="2"/>
  <c r="O983" i="2"/>
  <c r="N383" i="2"/>
  <c r="O383" i="2"/>
  <c r="N400" i="2"/>
  <c r="O400" i="2"/>
  <c r="N88" i="2"/>
  <c r="O88" i="2"/>
  <c r="P16" i="2"/>
  <c r="N693" i="2"/>
  <c r="O693" i="2"/>
  <c r="N550" i="2"/>
  <c r="O550" i="2"/>
  <c r="N468" i="2"/>
  <c r="O468" i="2"/>
  <c r="N670" i="2"/>
  <c r="O670" i="2"/>
  <c r="P546" i="2"/>
  <c r="N999" i="2"/>
  <c r="O999" i="2"/>
  <c r="P947" i="2"/>
  <c r="N243" i="2"/>
  <c r="O243" i="2"/>
  <c r="N163" i="2"/>
  <c r="O163" i="2"/>
  <c r="P119" i="2"/>
  <c r="N375" i="2"/>
  <c r="O375" i="2"/>
  <c r="N464" i="2"/>
  <c r="O464" i="2"/>
  <c r="P689" i="2"/>
  <c r="P17" i="2"/>
  <c r="P855" i="2"/>
  <c r="O855" i="2"/>
  <c r="N855" i="2"/>
  <c r="N977" i="2"/>
  <c r="O977" i="2"/>
  <c r="P867" i="2"/>
  <c r="P37" i="2"/>
  <c r="P110" i="2"/>
  <c r="N387" i="2"/>
  <c r="O387" i="2"/>
  <c r="P620" i="2"/>
  <c r="N351" i="2"/>
  <c r="O351" i="2"/>
  <c r="P494" i="2"/>
  <c r="P35" i="2"/>
  <c r="N934" i="2"/>
  <c r="O934" i="2"/>
  <c r="P33" i="2"/>
  <c r="N171" i="2"/>
  <c r="O171" i="2"/>
  <c r="N67" i="2"/>
  <c r="O67" i="2"/>
  <c r="P343" i="2"/>
  <c r="P197" i="2"/>
  <c r="P774" i="2"/>
  <c r="N947" i="2"/>
  <c r="O947" i="2"/>
  <c r="N674" i="2"/>
  <c r="O674" i="2"/>
  <c r="N250" i="2"/>
  <c r="O250" i="2"/>
  <c r="P884" i="2"/>
  <c r="P223" i="2"/>
  <c r="P776" i="2"/>
  <c r="N122" i="2"/>
  <c r="O122" i="2"/>
  <c r="P390" i="2"/>
  <c r="P361" i="2"/>
  <c r="P10" i="2"/>
  <c r="P151" i="2"/>
  <c r="P926" i="2"/>
  <c r="P966" i="2"/>
  <c r="P956" i="2"/>
  <c r="N930" i="2"/>
  <c r="O930" i="2"/>
  <c r="P347" i="2"/>
  <c r="P607" i="2"/>
  <c r="N926" i="2"/>
  <c r="O926" i="2"/>
  <c r="N605" i="2"/>
  <c r="O605" i="2"/>
  <c r="N818" i="2"/>
  <c r="O818" i="2"/>
  <c r="P195" i="2"/>
  <c r="P397" i="2"/>
  <c r="N202" i="2"/>
  <c r="O202" i="2"/>
  <c r="P169" i="2"/>
  <c r="N799" i="2"/>
  <c r="O799" i="2"/>
  <c r="P704" i="2"/>
  <c r="P678" i="2"/>
  <c r="P903" i="2"/>
  <c r="N578" i="2"/>
  <c r="O578" i="2"/>
  <c r="P644" i="2"/>
  <c r="P81" i="2"/>
  <c r="P719" i="2"/>
  <c r="P15" i="2"/>
  <c r="N717" i="2"/>
  <c r="O717" i="2"/>
  <c r="P339" i="2"/>
  <c r="N514" i="2"/>
  <c r="O514" i="2"/>
  <c r="P606" i="2"/>
  <c r="N700" i="2"/>
  <c r="O700" i="2"/>
  <c r="P499" i="2"/>
  <c r="N30" i="2"/>
  <c r="O30" i="2"/>
  <c r="P823" i="2"/>
  <c r="N549" i="2"/>
  <c r="O549" i="2"/>
  <c r="P333" i="2"/>
  <c r="N587" i="2"/>
  <c r="O587" i="2"/>
  <c r="P587" i="2"/>
  <c r="P911" i="2"/>
  <c r="N494" i="2"/>
  <c r="O494" i="2"/>
  <c r="N327" i="2"/>
  <c r="O327" i="2"/>
  <c r="N35" i="2"/>
  <c r="O35" i="2"/>
  <c r="N33" i="2"/>
  <c r="O33" i="2"/>
  <c r="N343" i="2"/>
  <c r="O343" i="2"/>
  <c r="P557" i="2"/>
  <c r="N711" i="2"/>
  <c r="O711" i="2"/>
  <c r="N774" i="2"/>
  <c r="O774" i="2"/>
  <c r="P66" i="2"/>
  <c r="N314" i="2"/>
  <c r="O314" i="2"/>
  <c r="P142" i="2"/>
  <c r="P765" i="2"/>
  <c r="P672" i="2"/>
  <c r="P860" i="2"/>
  <c r="N773" i="2"/>
  <c r="O773" i="2"/>
  <c r="N610" i="2"/>
  <c r="O610" i="2"/>
  <c r="P610" i="2"/>
  <c r="N740" i="2"/>
  <c r="O740" i="2"/>
  <c r="P377" i="2"/>
  <c r="P100" i="2"/>
  <c r="P428" i="2"/>
  <c r="N209" i="2"/>
  <c r="O209" i="2"/>
  <c r="P942" i="2"/>
  <c r="O942" i="2"/>
  <c r="N942" i="2"/>
  <c r="N838" i="2"/>
  <c r="O838" i="2"/>
  <c r="P275" i="2"/>
  <c r="P539" i="2"/>
  <c r="N151" i="2"/>
  <c r="O151" i="2"/>
  <c r="P144" i="2"/>
  <c r="P747" i="2"/>
  <c r="N956" i="2"/>
  <c r="O956" i="2"/>
  <c r="N692" i="2"/>
  <c r="O692" i="2"/>
  <c r="N347" i="2"/>
  <c r="O347" i="2"/>
  <c r="N607" i="2"/>
  <c r="O607" i="2"/>
  <c r="P868" i="2"/>
  <c r="P886" i="2"/>
  <c r="P394" i="2"/>
  <c r="N195" i="2"/>
  <c r="O195" i="2"/>
  <c r="N397" i="2"/>
  <c r="O397" i="2"/>
  <c r="P968" i="2"/>
  <c r="P843" i="2"/>
  <c r="N678" i="2"/>
  <c r="O678" i="2"/>
  <c r="N420" i="2"/>
  <c r="O420" i="2"/>
  <c r="N361" i="2"/>
  <c r="O361" i="2"/>
  <c r="P772" i="2"/>
  <c r="P82" i="2"/>
  <c r="N644" i="2"/>
  <c r="O644" i="2"/>
  <c r="N78" i="2"/>
  <c r="O78" i="2"/>
  <c r="N81" i="2"/>
  <c r="O81" i="2"/>
  <c r="P68" i="2"/>
  <c r="P141" i="2"/>
  <c r="N819" i="2"/>
  <c r="O819" i="2"/>
  <c r="N15" i="2"/>
  <c r="O15" i="2"/>
  <c r="N263" i="2"/>
  <c r="O263" i="2"/>
  <c r="N339" i="2"/>
  <c r="O339" i="2"/>
  <c r="P562" i="2"/>
  <c r="O562" i="2"/>
  <c r="N562" i="2"/>
  <c r="P416" i="2"/>
  <c r="P527" i="2"/>
  <c r="N851" i="2"/>
  <c r="O851" i="2"/>
  <c r="N664" i="2"/>
  <c r="O664" i="2"/>
  <c r="N113" i="2"/>
  <c r="O113" i="2"/>
  <c r="P801" i="2"/>
  <c r="P696" i="2"/>
  <c r="P993" i="2"/>
  <c r="P779" i="2"/>
  <c r="P755" i="2"/>
  <c r="N251" i="2"/>
  <c r="O251" i="2"/>
  <c r="N556" i="2"/>
  <c r="O556" i="2"/>
  <c r="P473" i="2"/>
  <c r="N771" i="2"/>
  <c r="O771" i="2"/>
  <c r="N663" i="2"/>
  <c r="O663" i="2"/>
  <c r="N516" i="2"/>
  <c r="O516" i="2"/>
  <c r="P864" i="2"/>
  <c r="N721" i="2"/>
  <c r="O721" i="2"/>
  <c r="P273" i="2"/>
  <c r="P132" i="2"/>
  <c r="P891" i="2"/>
  <c r="P643" i="2"/>
  <c r="P520" i="2"/>
  <c r="N377" i="2"/>
  <c r="O377" i="2"/>
  <c r="P454" i="2"/>
  <c r="P107" i="2"/>
  <c r="P521" i="2"/>
  <c r="N275" i="2"/>
  <c r="O275" i="2"/>
  <c r="P637" i="2"/>
  <c r="N144" i="2"/>
  <c r="O144" i="2"/>
  <c r="N747" i="2"/>
  <c r="O747" i="2"/>
  <c r="N522" i="2"/>
  <c r="O522" i="2"/>
  <c r="N786" i="2"/>
  <c r="O786" i="2"/>
  <c r="P628" i="2"/>
  <c r="N558" i="2"/>
  <c r="O558" i="2"/>
  <c r="N868" i="2"/>
  <c r="O868" i="2"/>
  <c r="P434" i="2"/>
  <c r="P302" i="2"/>
  <c r="P811" i="2"/>
  <c r="N679" i="2"/>
  <c r="O679" i="2"/>
  <c r="N613" i="2"/>
  <c r="O613" i="2"/>
  <c r="N696" i="2"/>
  <c r="O696" i="2"/>
  <c r="P805" i="2"/>
  <c r="N965" i="2"/>
  <c r="O965" i="2"/>
  <c r="P431" i="2"/>
  <c r="P961" i="2"/>
  <c r="O961" i="2"/>
  <c r="N961" i="2"/>
  <c r="P45" i="2"/>
  <c r="N49" i="2"/>
  <c r="O49" i="2"/>
  <c r="P987" i="2"/>
  <c r="P895" i="2"/>
  <c r="N43" i="2"/>
  <c r="O43" i="2"/>
  <c r="P623" i="2"/>
  <c r="N47" i="2"/>
  <c r="O47" i="2"/>
  <c r="P501" i="2"/>
  <c r="P175" i="2"/>
  <c r="N614" i="2"/>
  <c r="O614" i="2"/>
  <c r="N848" i="2"/>
  <c r="O848" i="2"/>
  <c r="P200" i="2"/>
  <c r="N891" i="2"/>
  <c r="O891" i="2"/>
  <c r="P638" i="2"/>
  <c r="N445" i="2"/>
  <c r="O445" i="2"/>
  <c r="P371" i="2"/>
  <c r="P481" i="2"/>
  <c r="P935" i="2"/>
  <c r="N873" i="2"/>
  <c r="O873" i="2"/>
  <c r="N521" i="2"/>
  <c r="O521" i="2"/>
  <c r="N640" i="2"/>
  <c r="O640" i="2"/>
  <c r="P101" i="2"/>
  <c r="P399" i="2"/>
  <c r="N777" i="2"/>
  <c r="O777" i="2"/>
  <c r="N125" i="2"/>
  <c r="O125" i="2"/>
  <c r="N691" i="2"/>
  <c r="O691" i="2"/>
  <c r="N681" i="2"/>
  <c r="O681" i="2"/>
  <c r="P237" i="2"/>
  <c r="P889" i="2"/>
  <c r="N511" i="2"/>
  <c r="O511" i="2"/>
  <c r="P991" i="2"/>
  <c r="N970" i="2"/>
  <c r="O970" i="2"/>
  <c r="P283" i="2"/>
  <c r="N938" i="2"/>
  <c r="O938" i="2"/>
  <c r="N726" i="2"/>
  <c r="O726" i="2"/>
  <c r="N816" i="2"/>
  <c r="O816" i="2"/>
  <c r="N162" i="2"/>
  <c r="O162" i="2"/>
  <c r="N316" i="2"/>
  <c r="O316" i="2"/>
  <c r="P746" i="2"/>
  <c r="P466" i="2"/>
  <c r="O466" i="2"/>
  <c r="N466" i="2"/>
  <c r="P815" i="2"/>
  <c r="N564" i="2"/>
  <c r="O564" i="2"/>
  <c r="P123" i="2"/>
  <c r="N928" i="2"/>
  <c r="O928" i="2"/>
  <c r="P794" i="2"/>
  <c r="N493" i="2"/>
  <c r="O493" i="2"/>
  <c r="P596" i="2"/>
  <c r="P906" i="2"/>
  <c r="P703" i="2"/>
  <c r="P115" i="2"/>
  <c r="O115" i="2"/>
  <c r="N115" i="2"/>
  <c r="N349" i="2"/>
  <c r="O349" i="2"/>
  <c r="N13" i="2"/>
  <c r="O13" i="2"/>
  <c r="N544" i="2"/>
  <c r="O544" i="2"/>
  <c r="N102" i="2"/>
  <c r="O102" i="2"/>
  <c r="P944" i="2"/>
  <c r="N524" i="2"/>
  <c r="O524" i="2"/>
  <c r="N649" i="2"/>
  <c r="O649" i="2"/>
  <c r="N301" i="2"/>
  <c r="O301" i="2"/>
  <c r="N824" i="2"/>
  <c r="O824" i="2"/>
  <c r="P432" i="2"/>
  <c r="N287" i="2"/>
  <c r="O287" i="2"/>
  <c r="N418" i="2"/>
  <c r="O418" i="2"/>
  <c r="P138" i="2"/>
  <c r="N592" i="2"/>
  <c r="O592" i="2"/>
  <c r="P633" i="2"/>
  <c r="N844" i="2"/>
  <c r="O844" i="2"/>
  <c r="N906" i="2"/>
  <c r="O906" i="2"/>
  <c r="N392" i="2"/>
  <c r="O392" i="2"/>
  <c r="N703" i="2"/>
  <c r="O703" i="2"/>
  <c r="N318" i="2"/>
  <c r="O318" i="2"/>
  <c r="N981" i="2"/>
  <c r="O981" i="2"/>
  <c r="N954" i="2"/>
  <c r="O954" i="2"/>
  <c r="P861" i="2"/>
  <c r="N440" i="2"/>
  <c r="O440" i="2"/>
  <c r="N699" i="2"/>
  <c r="O699" i="2"/>
  <c r="P244" i="2"/>
  <c r="P642" i="2"/>
  <c r="N61" i="2"/>
  <c r="O61" i="2"/>
  <c r="N507" i="2"/>
  <c r="O507" i="2"/>
  <c r="P3" i="2"/>
  <c r="N830" i="2"/>
  <c r="O830" i="2"/>
  <c r="N282" i="2"/>
  <c r="O282" i="2"/>
  <c r="N16" i="2"/>
  <c r="O16" i="2"/>
  <c r="P709" i="2"/>
  <c r="N364" i="2"/>
  <c r="O364" i="2"/>
  <c r="P460" i="2"/>
  <c r="P411" i="2"/>
  <c r="P355" i="2"/>
  <c r="P234" i="2"/>
  <c r="N312" i="2"/>
  <c r="O312" i="2"/>
  <c r="P214" i="2"/>
  <c r="N308" i="2"/>
  <c r="O308" i="2"/>
  <c r="N179" i="2"/>
  <c r="O179" i="2"/>
  <c r="P391" i="2"/>
  <c r="O391" i="2"/>
  <c r="N391" i="2"/>
  <c r="N528" i="2"/>
  <c r="O528" i="2"/>
  <c r="N46" i="2"/>
  <c r="O46" i="2"/>
  <c r="P185" i="2"/>
  <c r="P207" i="2"/>
  <c r="P919" i="2"/>
  <c r="N165" i="2"/>
  <c r="O165" i="2"/>
  <c r="N199" i="2"/>
  <c r="O199" i="2"/>
  <c r="N110" i="2"/>
  <c r="O110" i="2"/>
  <c r="N29" i="2"/>
  <c r="O29" i="2"/>
  <c r="N800" i="2"/>
  <c r="O800" i="2"/>
  <c r="N320" i="2"/>
  <c r="O320" i="2"/>
  <c r="N60" i="2"/>
  <c r="O60" i="2"/>
  <c r="P567" i="2"/>
  <c r="N177" i="2"/>
  <c r="O177" i="2"/>
  <c r="P374" i="2"/>
  <c r="N269" i="2"/>
  <c r="O269" i="2"/>
  <c r="N807" i="2"/>
  <c r="O807" i="2"/>
  <c r="N580" i="2"/>
  <c r="O580" i="2"/>
  <c r="P198" i="2"/>
  <c r="N935" i="2"/>
  <c r="O935" i="2"/>
  <c r="N460" i="2"/>
  <c r="O460" i="2"/>
  <c r="P682" i="2"/>
  <c r="P212" i="2"/>
  <c r="P270" i="2"/>
  <c r="N138" i="2"/>
  <c r="O138" i="2"/>
  <c r="N169" i="2"/>
  <c r="O169" i="2"/>
  <c r="P946" i="2"/>
  <c r="N909" i="2"/>
  <c r="O909" i="2"/>
  <c r="N804" i="2"/>
  <c r="O804" i="2"/>
  <c r="N783" i="2"/>
  <c r="O783" i="2"/>
  <c r="N520" i="2"/>
  <c r="O520" i="2"/>
  <c r="P858" i="2"/>
  <c r="P181" i="2"/>
  <c r="N643" i="2"/>
  <c r="O643" i="2"/>
  <c r="N480" i="2"/>
  <c r="O480" i="2"/>
  <c r="N239" i="2"/>
  <c r="O239" i="2"/>
  <c r="P902" i="2"/>
  <c r="P907" i="2"/>
  <c r="P690" i="2"/>
  <c r="N639" i="2"/>
  <c r="O639" i="2"/>
  <c r="N36" i="2"/>
  <c r="O36" i="2"/>
  <c r="N324" i="2"/>
  <c r="O324" i="2"/>
  <c r="N197" i="2"/>
  <c r="O197" i="2"/>
  <c r="P949" i="2"/>
  <c r="N45" i="2"/>
  <c r="O45" i="2"/>
  <c r="N877" i="2"/>
  <c r="O877" i="2"/>
  <c r="P724" i="2"/>
  <c r="P490" i="2"/>
  <c r="N371" i="2"/>
  <c r="O371" i="2"/>
  <c r="P303" i="2"/>
  <c r="N754" i="2"/>
  <c r="O754" i="2"/>
  <c r="N66" i="2"/>
  <c r="O66" i="2"/>
  <c r="N431" i="2"/>
  <c r="O431" i="2"/>
  <c r="P370" i="2"/>
  <c r="P512" i="2"/>
  <c r="P470" i="2"/>
  <c r="P256" i="2"/>
  <c r="P479" i="2"/>
  <c r="P281" i="2"/>
  <c r="N37" i="2"/>
  <c r="O37" i="2"/>
  <c r="N929" i="2"/>
  <c r="O929" i="2"/>
  <c r="P770" i="2"/>
  <c r="P307" i="2"/>
  <c r="P380" i="2"/>
  <c r="P249" i="2"/>
  <c r="O249" i="2"/>
  <c r="N249" i="2"/>
  <c r="P414" i="2"/>
  <c r="N858" i="2"/>
  <c r="O858" i="2"/>
  <c r="P40" i="2"/>
  <c r="P939" i="2"/>
  <c r="P154" i="2"/>
  <c r="N137" i="2"/>
  <c r="O137" i="2"/>
  <c r="P951" i="2"/>
  <c r="N690" i="2"/>
  <c r="O690" i="2"/>
  <c r="P563" i="2"/>
  <c r="N265" i="2"/>
  <c r="O265" i="2"/>
  <c r="N750" i="2"/>
  <c r="O750" i="2"/>
  <c r="N966" i="2"/>
  <c r="O966" i="2"/>
  <c r="N883" i="2"/>
  <c r="O883" i="2"/>
  <c r="N779" i="2"/>
  <c r="O779" i="2"/>
  <c r="N92" i="2"/>
  <c r="O92" i="2"/>
  <c r="P346" i="2"/>
  <c r="N374" i="2"/>
  <c r="O374" i="2"/>
  <c r="N724" i="2"/>
  <c r="O724" i="2"/>
  <c r="N490" i="2"/>
  <c r="O490" i="2"/>
  <c r="N667" i="2"/>
  <c r="O667" i="2"/>
  <c r="P222" i="2"/>
  <c r="N370" i="2"/>
  <c r="O370" i="2"/>
  <c r="N147" i="2"/>
  <c r="O147" i="2"/>
  <c r="N512" i="2"/>
  <c r="O512" i="2"/>
  <c r="N470" i="2"/>
  <c r="O470" i="2"/>
  <c r="N256" i="2"/>
  <c r="O256" i="2"/>
  <c r="N479" i="2"/>
  <c r="O479" i="2"/>
  <c r="N390" i="2"/>
  <c r="O390" i="2"/>
  <c r="N281" i="2"/>
  <c r="O281" i="2"/>
  <c r="N362" i="2"/>
  <c r="O362" i="2"/>
  <c r="N190" i="2"/>
  <c r="O190" i="2"/>
  <c r="N604" i="2"/>
  <c r="O604" i="2"/>
  <c r="N853" i="2"/>
  <c r="O853" i="2"/>
  <c r="N770" i="2"/>
  <c r="O770" i="2"/>
  <c r="N278" i="2"/>
  <c r="O278" i="2"/>
  <c r="N454" i="2"/>
  <c r="O454" i="2"/>
  <c r="N705" i="2"/>
  <c r="O705" i="2"/>
  <c r="N307" i="2"/>
  <c r="O307" i="2"/>
  <c r="N555" i="2"/>
  <c r="O555" i="2"/>
  <c r="N380" i="2"/>
  <c r="O380" i="2"/>
  <c r="N254" i="2"/>
  <c r="O254" i="2"/>
  <c r="N557" i="2"/>
  <c r="O557" i="2"/>
  <c r="P309" i="2"/>
  <c r="P139" i="2"/>
  <c r="O139" i="2"/>
  <c r="N139" i="2"/>
  <c r="P734" i="2"/>
  <c r="N252" i="2"/>
  <c r="O252" i="2"/>
  <c r="P262" i="2"/>
  <c r="N787" i="2"/>
  <c r="O787" i="2"/>
  <c r="P393" i="2"/>
  <c r="P274" i="2"/>
  <c r="N242" i="2"/>
  <c r="O242" i="2"/>
  <c r="N861" i="2"/>
  <c r="O861" i="2"/>
  <c r="N441" i="2"/>
  <c r="O441" i="2"/>
  <c r="N207" i="2"/>
  <c r="O207" i="2"/>
  <c r="N567" i="2"/>
  <c r="O567" i="2"/>
  <c r="P266" i="2"/>
  <c r="O266" i="2"/>
  <c r="N266" i="2"/>
  <c r="N39" i="2"/>
  <c r="O39" i="2"/>
  <c r="N106" i="2"/>
  <c r="O106" i="2"/>
  <c r="N294" i="2"/>
  <c r="O294" i="2"/>
  <c r="P294" i="2"/>
  <c r="P744" i="2"/>
  <c r="N669" i="2"/>
  <c r="O669" i="2"/>
  <c r="P542" i="2"/>
  <c r="N212" i="2"/>
  <c r="O212" i="2"/>
  <c r="P166" i="2"/>
  <c r="N264" i="2"/>
  <c r="O264" i="2"/>
  <c r="N707" i="2"/>
  <c r="O707" i="2"/>
  <c r="N27" i="2"/>
  <c r="O27" i="2"/>
  <c r="N617" i="2"/>
  <c r="O617" i="2"/>
  <c r="P617" i="2"/>
  <c r="N11" i="2"/>
  <c r="O11" i="2"/>
  <c r="N303" i="2"/>
  <c r="O303" i="2"/>
  <c r="N595" i="2"/>
  <c r="O595" i="2"/>
  <c r="P716" i="2"/>
  <c r="N829" i="2"/>
  <c r="O829" i="2"/>
  <c r="N297" i="2"/>
  <c r="O297" i="2"/>
  <c r="N948" i="2"/>
  <c r="O948" i="2"/>
  <c r="N310" i="2"/>
  <c r="O310" i="2"/>
  <c r="P758" i="2"/>
  <c r="O758" i="2"/>
  <c r="N758" i="2"/>
  <c r="P497" i="2"/>
  <c r="N508" i="2"/>
  <c r="O508" i="2"/>
  <c r="P508" i="2"/>
  <c r="N959" i="2"/>
  <c r="O959" i="2"/>
  <c r="N638" i="2"/>
  <c r="O638" i="2"/>
  <c r="P457" i="2"/>
  <c r="P702" i="2"/>
  <c r="N101" i="2"/>
  <c r="O101" i="2"/>
  <c r="N905" i="2"/>
  <c r="O905" i="2"/>
  <c r="N232" i="2"/>
  <c r="O232" i="2"/>
  <c r="N937" i="2"/>
  <c r="O937" i="2"/>
  <c r="N863" i="2"/>
  <c r="O863" i="2"/>
  <c r="N889" i="2"/>
  <c r="O889" i="2"/>
  <c r="N744" i="2"/>
  <c r="O744" i="2"/>
  <c r="N183" i="2"/>
  <c r="O183" i="2"/>
  <c r="N309" i="2"/>
  <c r="O309" i="2"/>
  <c r="N219" i="2"/>
  <c r="O219" i="2"/>
  <c r="N542" i="2"/>
  <c r="O542" i="2"/>
  <c r="N132" i="2"/>
  <c r="O132" i="2"/>
  <c r="N642" i="2"/>
  <c r="O642" i="2"/>
  <c r="N356" i="2"/>
  <c r="O356" i="2"/>
  <c r="N752" i="2"/>
  <c r="O752" i="2"/>
  <c r="P967" i="2"/>
  <c r="N270" i="2"/>
  <c r="O270" i="2"/>
  <c r="P749" i="2"/>
  <c r="N423" i="2"/>
  <c r="O423" i="2"/>
  <c r="N223" i="2"/>
  <c r="O223" i="2"/>
  <c r="N882" i="2"/>
  <c r="O882" i="2"/>
  <c r="N414" i="2"/>
  <c r="O414" i="2"/>
  <c r="N537" i="2"/>
  <c r="O537" i="2"/>
  <c r="N719" i="2"/>
  <c r="O719" i="2"/>
  <c r="N48" i="2"/>
  <c r="O48" i="2"/>
  <c r="N192" i="2"/>
  <c r="O192" i="2"/>
  <c r="P99" i="2"/>
  <c r="N939" i="2"/>
  <c r="O939" i="2"/>
  <c r="N951" i="2"/>
  <c r="O951" i="2"/>
  <c r="N881" i="2"/>
  <c r="O881" i="2"/>
  <c r="P433" i="2"/>
  <c r="P486" i="2"/>
  <c r="N472" i="2"/>
  <c r="O472" i="2"/>
  <c r="N447" i="2"/>
  <c r="O447" i="2"/>
  <c r="N973" i="2"/>
  <c r="O973" i="2"/>
  <c r="P732" i="2"/>
  <c r="N346" i="2"/>
  <c r="O346" i="2"/>
  <c r="N886" i="2"/>
  <c r="O886" i="2"/>
  <c r="P406" i="2"/>
  <c r="P450" i="2"/>
  <c r="P444" i="2"/>
  <c r="N822" i="2"/>
  <c r="O822" i="2"/>
  <c r="P733" i="2"/>
  <c r="P796" i="2"/>
  <c r="N22" i="2"/>
  <c r="O22" i="2"/>
  <c r="N615" i="2"/>
  <c r="O615" i="2"/>
  <c r="P547" i="2"/>
  <c r="N725" i="2"/>
  <c r="O725" i="2"/>
  <c r="N794" i="2"/>
  <c r="O794" i="2"/>
  <c r="N457" i="2"/>
  <c r="O457" i="2"/>
  <c r="N432" i="2"/>
  <c r="O432" i="2"/>
  <c r="P315" i="2"/>
  <c r="N872" i="2"/>
  <c r="O872" i="2"/>
  <c r="N957" i="2"/>
  <c r="O957" i="2"/>
  <c r="N767" i="2"/>
  <c r="O767" i="2"/>
  <c r="N94" i="2"/>
  <c r="O94" i="2"/>
  <c r="P87" i="2"/>
  <c r="P225" i="2"/>
  <c r="N805" i="2"/>
  <c r="O805" i="2"/>
  <c r="P706" i="2"/>
  <c r="N630" i="2"/>
  <c r="O630" i="2"/>
  <c r="P14" i="2"/>
  <c r="N204" i="2"/>
  <c r="O204" i="2"/>
  <c r="N708" i="2"/>
  <c r="O708" i="2"/>
  <c r="P379" i="2"/>
  <c r="N749" i="2"/>
  <c r="O749" i="2"/>
  <c r="N330" i="2"/>
  <c r="O330" i="2"/>
  <c r="P211" i="2"/>
  <c r="N968" i="2"/>
  <c r="O968" i="2"/>
  <c r="N867" i="2"/>
  <c r="O867" i="2"/>
  <c r="N273" i="2"/>
  <c r="O273" i="2"/>
  <c r="P70" i="2"/>
  <c r="P286" i="2"/>
  <c r="P386" i="2"/>
  <c r="N313" i="2"/>
  <c r="O313" i="2"/>
  <c r="N815" i="2"/>
  <c r="O815" i="2"/>
  <c r="N486" i="2"/>
  <c r="O486" i="2"/>
  <c r="N20" i="2"/>
  <c r="O20" i="2"/>
  <c r="N4" i="2"/>
  <c r="O4" i="2"/>
  <c r="N806" i="2"/>
  <c r="O806" i="2"/>
  <c r="P408" i="2"/>
  <c r="N732" i="2"/>
  <c r="O732" i="2"/>
  <c r="N406" i="2"/>
  <c r="O406" i="2"/>
  <c r="N495" i="2"/>
  <c r="O495" i="2"/>
  <c r="N448" i="2"/>
  <c r="O448" i="2"/>
  <c r="N185" i="2"/>
  <c r="O185" i="2"/>
  <c r="N504" i="2"/>
  <c r="O504" i="2"/>
  <c r="P368" i="2"/>
  <c r="N955" i="2"/>
  <c r="O955" i="2"/>
  <c r="N198" i="2"/>
  <c r="O198" i="2"/>
  <c r="N765" i="2"/>
  <c r="O765" i="2"/>
  <c r="N912" i="2"/>
  <c r="O912" i="2"/>
  <c r="P589" i="2"/>
  <c r="P591" i="2"/>
  <c r="N28" i="2"/>
  <c r="O28" i="2"/>
  <c r="N241" i="2"/>
  <c r="O241" i="2"/>
  <c r="N220" i="2"/>
  <c r="O220" i="2"/>
  <c r="N143" i="2"/>
  <c r="O143" i="2"/>
  <c r="N566" i="2"/>
  <c r="O566" i="2"/>
  <c r="N226" i="2"/>
  <c r="O226" i="2"/>
  <c r="N467" i="2"/>
  <c r="O467" i="2"/>
  <c r="N629" i="2"/>
  <c r="O629" i="2"/>
  <c r="N255" i="2"/>
  <c r="O255" i="2"/>
  <c r="N446" i="2"/>
  <c r="O446" i="2"/>
  <c r="N532" i="2"/>
  <c r="O532" i="2"/>
  <c r="P65" i="2"/>
  <c r="N63" i="2"/>
  <c r="O63" i="2"/>
  <c r="N117" i="2"/>
  <c r="O117" i="2"/>
  <c r="P748" i="2"/>
  <c r="N411" i="2"/>
  <c r="O411" i="2"/>
  <c r="P960" i="2"/>
  <c r="N444" i="2"/>
  <c r="O444" i="2"/>
  <c r="N274" i="2"/>
  <c r="O274" i="2"/>
  <c r="N236" i="2"/>
  <c r="O236" i="2"/>
  <c r="N733" i="2"/>
  <c r="O733" i="2"/>
  <c r="N922" i="2"/>
  <c r="O922" i="2"/>
  <c r="N611" i="2"/>
  <c r="O611" i="2"/>
  <c r="N496" i="2"/>
  <c r="O496" i="2"/>
  <c r="N924" i="2"/>
  <c r="O924" i="2"/>
  <c r="N539" i="2"/>
  <c r="O539" i="2"/>
  <c r="N19" i="2"/>
  <c r="O19" i="2"/>
  <c r="N434" i="2"/>
  <c r="O434" i="2"/>
  <c r="N3" i="2"/>
  <c r="O3" i="2"/>
  <c r="N344" i="2"/>
  <c r="O344" i="2"/>
  <c r="P344" i="2"/>
  <c r="N991" i="2"/>
  <c r="O991" i="2"/>
  <c r="N372" i="2"/>
  <c r="O372" i="2"/>
  <c r="N572" i="2"/>
  <c r="O572" i="2"/>
  <c r="N304" i="2"/>
  <c r="O304" i="2"/>
  <c r="N659" i="2"/>
  <c r="O659" i="2"/>
  <c r="P435" i="2"/>
  <c r="N741" i="2"/>
  <c r="O741" i="2"/>
  <c r="P538" i="2"/>
  <c r="P668" i="2"/>
  <c r="N571" i="2"/>
  <c r="O571" i="2"/>
  <c r="N860" i="2"/>
  <c r="O860" i="2"/>
  <c r="P26" i="2"/>
  <c r="P201" i="2"/>
  <c r="P124" i="2"/>
  <c r="N399" i="2"/>
  <c r="O399" i="2"/>
  <c r="N563" i="2"/>
  <c r="O563" i="2"/>
  <c r="N908" i="2"/>
  <c r="O908" i="2"/>
  <c r="N53" i="2"/>
  <c r="O53" i="2"/>
  <c r="N50" i="2"/>
  <c r="O50" i="2"/>
  <c r="N621" i="2"/>
  <c r="O621" i="2"/>
  <c r="N960" i="2"/>
  <c r="O960" i="2"/>
  <c r="N159" i="2"/>
  <c r="O159" i="2"/>
  <c r="N921" i="2"/>
  <c r="O921" i="2"/>
  <c r="P289" i="2"/>
  <c r="P778" i="2"/>
  <c r="O778" i="2"/>
  <c r="N778" i="2"/>
  <c r="P533" i="2"/>
  <c r="N854" i="2"/>
  <c r="O854" i="2"/>
  <c r="N430" i="2"/>
  <c r="O430" i="2"/>
  <c r="N253" i="2"/>
  <c r="O253" i="2"/>
  <c r="N600" i="2"/>
  <c r="O600" i="2"/>
  <c r="N458" i="2"/>
  <c r="O458" i="2"/>
  <c r="N560" i="2"/>
  <c r="O560" i="2"/>
  <c r="N182" i="2"/>
  <c r="O182" i="2"/>
  <c r="N18" i="2"/>
  <c r="O18" i="2"/>
  <c r="P984" i="2"/>
  <c r="O984" i="2"/>
  <c r="N984" i="2"/>
  <c r="P932" i="2"/>
  <c r="O932" i="2"/>
  <c r="N932" i="2"/>
  <c r="N416" i="2"/>
  <c r="O416" i="2"/>
  <c r="N612" i="2"/>
  <c r="O612" i="2"/>
  <c r="N393" i="2"/>
  <c r="O393" i="2"/>
  <c r="N426" i="2"/>
  <c r="O426" i="2"/>
  <c r="N422" i="2"/>
  <c r="O422" i="2"/>
  <c r="P671" i="2"/>
  <c r="P683" i="2"/>
  <c r="N384" i="2"/>
  <c r="O384" i="2"/>
  <c r="N257" i="2"/>
  <c r="O257" i="2"/>
  <c r="N796" i="2"/>
  <c r="O796" i="2"/>
  <c r="N772" i="2"/>
  <c r="O772" i="2"/>
  <c r="N482" i="2"/>
  <c r="O482" i="2"/>
  <c r="N682" i="2"/>
  <c r="O682" i="2"/>
  <c r="N68" i="2"/>
  <c r="O68" i="2"/>
  <c r="N25" i="2"/>
  <c r="O25" i="2"/>
  <c r="P405" i="2"/>
  <c r="N488" i="2"/>
  <c r="O488" i="2"/>
  <c r="P89" i="2"/>
  <c r="N142" i="2"/>
  <c r="O142" i="2"/>
  <c r="N541" i="2"/>
  <c r="O541" i="2"/>
  <c r="N141" i="2"/>
  <c r="O141" i="2"/>
  <c r="N262" i="2"/>
  <c r="O262" i="2"/>
  <c r="N668" i="2"/>
  <c r="O668" i="2"/>
  <c r="N56" i="2"/>
  <c r="O56" i="2"/>
  <c r="N201" i="2"/>
  <c r="O201" i="2"/>
  <c r="N978" i="2"/>
  <c r="O978" i="2"/>
  <c r="P846" i="2"/>
  <c r="O846" i="2"/>
  <c r="N846" i="2"/>
  <c r="N214" i="2"/>
  <c r="O214" i="2"/>
  <c r="P963" i="2"/>
  <c r="P695" i="2"/>
  <c r="O695" i="2"/>
  <c r="N695" i="2"/>
  <c r="N689" i="2"/>
  <c r="O689" i="2"/>
  <c r="N827" i="2"/>
  <c r="O827" i="2"/>
  <c r="P417" i="2"/>
  <c r="P34" i="2"/>
  <c r="N545" i="2"/>
  <c r="O545" i="2"/>
  <c r="P121" i="2"/>
  <c r="N130" i="2"/>
  <c r="O130" i="2"/>
  <c r="N449" i="2"/>
  <c r="O449" i="2"/>
  <c r="P231" i="2"/>
  <c r="P51" i="2"/>
  <c r="O51" i="2"/>
  <c r="N51" i="2"/>
  <c r="N288" i="2"/>
  <c r="O288" i="2"/>
  <c r="P502" i="2"/>
  <c r="N547" i="2"/>
  <c r="O547" i="2"/>
  <c r="N812" i="2"/>
  <c r="O812" i="2"/>
  <c r="N345" i="2"/>
  <c r="O345" i="2"/>
  <c r="N17" i="2"/>
  <c r="O17" i="2"/>
  <c r="N603" i="2"/>
  <c r="O603" i="2"/>
  <c r="N920" i="2"/>
  <c r="O920" i="2"/>
  <c r="P920" i="2"/>
  <c r="N671" i="2"/>
  <c r="O671" i="2"/>
  <c r="N683" i="2"/>
  <c r="O683" i="2"/>
  <c r="N247" i="2"/>
  <c r="O247" i="2"/>
  <c r="P354" i="2"/>
  <c r="O354" i="2"/>
  <c r="N354" i="2"/>
  <c r="N892" i="2"/>
  <c r="O892" i="2"/>
  <c r="N865" i="2"/>
  <c r="O865" i="2"/>
  <c r="N943" i="2"/>
  <c r="O943" i="2"/>
  <c r="P943" i="2"/>
  <c r="P285" i="2"/>
  <c r="N620" i="2"/>
  <c r="O620" i="2"/>
  <c r="N100" i="2"/>
  <c r="O100" i="2"/>
  <c r="P857" i="2"/>
  <c r="P280" i="2"/>
  <c r="N405" i="2"/>
  <c r="O405" i="2"/>
  <c r="P714" i="2"/>
  <c r="P429" i="2"/>
  <c r="N575" i="2"/>
  <c r="O575" i="2"/>
  <c r="N577" i="2"/>
  <c r="O577" i="2"/>
  <c r="N229" i="2"/>
  <c r="O229" i="2"/>
  <c r="N760" i="2"/>
  <c r="O760" i="2"/>
  <c r="N510" i="2"/>
  <c r="O510" i="2"/>
  <c r="N186" i="2"/>
  <c r="O186" i="2"/>
  <c r="N657" i="2"/>
  <c r="O657" i="2"/>
  <c r="N686" i="2"/>
  <c r="O686" i="2"/>
  <c r="N963" i="2"/>
  <c r="O963" i="2"/>
  <c r="P437" i="2"/>
  <c r="N417" i="2"/>
  <c r="O417" i="2"/>
  <c r="N176" i="2"/>
  <c r="O176" i="2"/>
  <c r="N34" i="2"/>
  <c r="O34" i="2"/>
  <c r="N596" i="2"/>
  <c r="O596" i="2"/>
  <c r="N523" i="2"/>
  <c r="O523" i="2"/>
  <c r="N875" i="2"/>
  <c r="O875" i="2"/>
  <c r="N653" i="2"/>
  <c r="O653" i="2"/>
  <c r="N661" i="2"/>
  <c r="O661" i="2"/>
  <c r="N896" i="2"/>
  <c r="O896" i="2"/>
  <c r="N782" i="2"/>
  <c r="O782" i="2"/>
  <c r="N59" i="2"/>
  <c r="O59" i="2"/>
  <c r="N975" i="2"/>
  <c r="O975" i="2"/>
  <c r="N140" i="2"/>
  <c r="O140" i="2"/>
  <c r="P98" i="2"/>
  <c r="O98" i="2"/>
  <c r="N98" i="2"/>
  <c r="N210" i="2"/>
  <c r="O210" i="2"/>
  <c r="P295" i="2"/>
  <c r="N953" i="2"/>
  <c r="O953" i="2"/>
  <c r="N360" i="2"/>
  <c r="O360" i="2"/>
  <c r="N990" i="2"/>
  <c r="O990" i="2"/>
  <c r="N483" i="2"/>
  <c r="O483" i="2"/>
  <c r="N293" i="2"/>
  <c r="O293" i="2"/>
  <c r="N561" i="2"/>
  <c r="O561" i="2"/>
  <c r="P768" i="2"/>
  <c r="O768" i="2"/>
  <c r="N768" i="2"/>
  <c r="N843" i="2"/>
  <c r="O843" i="2"/>
  <c r="N633" i="2"/>
  <c r="O633" i="2"/>
  <c r="N574" i="2"/>
  <c r="O574" i="2"/>
  <c r="N911" i="2"/>
  <c r="O911" i="2"/>
  <c r="N987" i="2"/>
  <c r="O987" i="2"/>
  <c r="N285" i="2"/>
  <c r="O285" i="2"/>
  <c r="N941" i="2"/>
  <c r="O941" i="2"/>
  <c r="N857" i="2"/>
  <c r="O857" i="2"/>
  <c r="N280" i="2"/>
  <c r="O280" i="2"/>
  <c r="N116" i="2"/>
  <c r="O116" i="2"/>
  <c r="N714" i="2"/>
  <c r="O714" i="2"/>
  <c r="N319" i="2"/>
  <c r="O319" i="2"/>
  <c r="N216" i="2"/>
  <c r="O216" i="2"/>
  <c r="N429" i="2"/>
  <c r="O429" i="2"/>
  <c r="N443" i="2"/>
  <c r="O443" i="2"/>
  <c r="N84" i="2"/>
  <c r="O84" i="2"/>
  <c r="N979" i="2"/>
  <c r="O979" i="2"/>
  <c r="N828" i="2"/>
  <c r="O828" i="2"/>
  <c r="N791" i="2"/>
  <c r="O791" i="2"/>
  <c r="N129" i="2"/>
  <c r="O129" i="2"/>
  <c r="P964" i="2"/>
  <c r="N637" i="2"/>
  <c r="O637" i="2"/>
  <c r="N435" i="2"/>
  <c r="O435" i="2"/>
  <c r="N559" i="2"/>
  <c r="O559" i="2"/>
  <c r="N437" i="2"/>
  <c r="O437" i="2"/>
  <c r="N737" i="2"/>
  <c r="O737" i="2"/>
  <c r="P810" i="2"/>
  <c r="N366" i="2"/>
  <c r="O366" i="2"/>
  <c r="N647" i="2"/>
  <c r="O647" i="2"/>
  <c r="P341" i="2"/>
  <c r="P680" i="2"/>
  <c r="N623" i="2"/>
  <c r="O623" i="2"/>
  <c r="N404" i="2"/>
  <c r="O404" i="2"/>
  <c r="N808" i="2"/>
  <c r="O808" i="2"/>
  <c r="N7" i="2"/>
  <c r="O7" i="2"/>
  <c r="N283" i="2"/>
  <c r="O283" i="2"/>
  <c r="N823" i="2"/>
  <c r="O823" i="2"/>
  <c r="N246" i="2"/>
  <c r="O246" i="2"/>
  <c r="N895" i="2"/>
  <c r="O895" i="2"/>
  <c r="N127" i="2"/>
  <c r="O127" i="2"/>
  <c r="N118" i="2"/>
  <c r="O118" i="2"/>
  <c r="P205" i="2"/>
  <c r="N428" i="2"/>
  <c r="O428" i="2"/>
  <c r="N900" i="2"/>
  <c r="O900" i="2"/>
  <c r="N969" i="2"/>
  <c r="O969" i="2"/>
  <c r="N593" i="2"/>
  <c r="O593" i="2"/>
  <c r="P593" i="2"/>
  <c r="N279" i="2"/>
  <c r="O279" i="2"/>
  <c r="N181" i="2"/>
  <c r="O181" i="2"/>
  <c r="N131" i="2"/>
  <c r="O131" i="2"/>
  <c r="N481" i="2"/>
  <c r="O481" i="2"/>
  <c r="N825" i="2"/>
  <c r="O825" i="2"/>
  <c r="N907" i="2"/>
  <c r="O907" i="2"/>
  <c r="N26" i="2"/>
  <c r="O26" i="2"/>
  <c r="N964" i="2"/>
  <c r="O964" i="2"/>
  <c r="P913" i="2"/>
  <c r="O913" i="2"/>
  <c r="N913" i="2"/>
  <c r="N974" i="2"/>
  <c r="O974" i="2"/>
  <c r="N546" i="2"/>
  <c r="O546" i="2"/>
  <c r="N52" i="2"/>
  <c r="O52" i="2"/>
  <c r="P12" i="2"/>
  <c r="O12" i="2"/>
  <c r="N12" i="2"/>
  <c r="P730" i="2"/>
  <c r="N86" i="2"/>
  <c r="O86" i="2"/>
  <c r="N952" i="2"/>
  <c r="O952" i="2"/>
  <c r="N379" i="2"/>
  <c r="O379" i="2"/>
  <c r="N407" i="2"/>
  <c r="O407" i="2"/>
  <c r="N9" i="2"/>
  <c r="O9" i="2"/>
  <c r="P193" i="2"/>
  <c r="N386" i="2"/>
  <c r="O386" i="2"/>
  <c r="P590" i="2"/>
  <c r="N798" i="2"/>
  <c r="O798" i="2"/>
  <c r="N368" i="2"/>
  <c r="O368" i="2"/>
  <c r="N341" i="2"/>
  <c r="O341" i="2"/>
  <c r="P769" i="2"/>
  <c r="N672" i="2"/>
  <c r="O672" i="2"/>
  <c r="P348" i="2"/>
  <c r="N174" i="2"/>
  <c r="O174" i="2"/>
  <c r="N655" i="2"/>
  <c r="O655" i="2"/>
  <c r="N231" i="2"/>
  <c r="O231" i="2"/>
  <c r="P565" i="2"/>
  <c r="N398" i="2"/>
  <c r="O398" i="2"/>
  <c r="N259" i="2"/>
  <c r="O259" i="2"/>
  <c r="P451" i="2"/>
  <c r="N685" i="2"/>
  <c r="O685" i="2"/>
  <c r="N503" i="2"/>
  <c r="O503" i="2"/>
  <c r="P736" i="2"/>
  <c r="N519" i="2"/>
  <c r="O519" i="2"/>
  <c r="N333" i="2"/>
  <c r="O333" i="2"/>
  <c r="P321" i="2"/>
  <c r="N290" i="2"/>
  <c r="O290" i="2"/>
  <c r="N89" i="2"/>
  <c r="O89" i="2"/>
  <c r="N355" i="2"/>
  <c r="O355" i="2"/>
  <c r="N336" i="2"/>
  <c r="O336" i="2"/>
  <c r="N225" i="2"/>
  <c r="O225" i="2"/>
  <c r="N286" i="2"/>
  <c r="O286" i="2"/>
  <c r="N222" i="2"/>
  <c r="O222" i="2"/>
  <c r="P513" i="2"/>
  <c r="N413" i="2"/>
  <c r="O413" i="2"/>
  <c r="N946" i="2"/>
  <c r="O946" i="2"/>
  <c r="N284" i="2"/>
  <c r="O284" i="2"/>
  <c r="N156" i="2"/>
  <c r="O156" i="2"/>
  <c r="N738" i="2"/>
  <c r="O738" i="2"/>
  <c r="N533" i="2"/>
  <c r="O533" i="2"/>
  <c r="N543" i="2"/>
  <c r="O543" i="2"/>
  <c r="N884" i="2"/>
  <c r="O884" i="2"/>
  <c r="N332" i="2"/>
  <c r="O332" i="2"/>
  <c r="N811" i="2"/>
  <c r="O811" i="2"/>
  <c r="N764" i="2"/>
  <c r="O764" i="2"/>
  <c r="N713" i="2"/>
  <c r="O713" i="2"/>
  <c r="N797" i="2"/>
  <c r="O797" i="2"/>
  <c r="N809" i="2"/>
  <c r="O809" i="2"/>
  <c r="N590" i="2"/>
  <c r="O590" i="2"/>
  <c r="N23" i="2"/>
  <c r="O23" i="2"/>
  <c r="N980" i="2"/>
  <c r="O980" i="2"/>
  <c r="N526" i="2"/>
  <c r="O526" i="2"/>
  <c r="N489" i="2"/>
  <c r="O489" i="2"/>
  <c r="P723" i="2"/>
  <c r="N348" i="2"/>
  <c r="O348" i="2"/>
  <c r="N538" i="2"/>
  <c r="O538" i="2"/>
  <c r="N42" i="2"/>
  <c r="O42" i="2"/>
  <c r="N233" i="2"/>
  <c r="O233" i="2"/>
  <c r="N565" i="2"/>
  <c r="O565" i="2"/>
  <c r="N451" i="2"/>
  <c r="O451" i="2"/>
  <c r="N302" i="2"/>
  <c r="O302" i="2"/>
  <c r="P385" i="2"/>
  <c r="N114" i="2"/>
  <c r="O114" i="2"/>
  <c r="N730" i="2"/>
  <c r="O730" i="2"/>
  <c r="N887" i="2"/>
  <c r="O887" i="2"/>
  <c r="N746" i="2"/>
  <c r="O746" i="2"/>
  <c r="N759" i="2"/>
  <c r="O759" i="2"/>
  <c r="N962" i="2"/>
  <c r="O962" i="2"/>
  <c r="N425" i="2"/>
  <c r="O425" i="2"/>
  <c r="N473" i="2"/>
  <c r="O473" i="2"/>
  <c r="N203" i="2"/>
  <c r="O203" i="2"/>
  <c r="N14" i="2"/>
  <c r="O14" i="2"/>
  <c r="N540" i="2"/>
  <c r="O540" i="2"/>
  <c r="N461" i="2"/>
  <c r="O461" i="2"/>
  <c r="N295" i="2"/>
  <c r="O295" i="2"/>
  <c r="N334" i="2"/>
  <c r="O334" i="2"/>
  <c r="N65" i="2"/>
  <c r="O65" i="2"/>
  <c r="N450" i="2"/>
  <c r="O450" i="2"/>
  <c r="N993" i="2"/>
  <c r="O993" i="2"/>
  <c r="N994" i="2"/>
  <c r="O994" i="2"/>
  <c r="N205" i="2"/>
  <c r="O205" i="2"/>
  <c r="N82" i="2"/>
  <c r="O82" i="2"/>
  <c r="N894" i="2"/>
  <c r="O894" i="2"/>
  <c r="N40" i="2"/>
  <c r="O40" i="2"/>
  <c r="N801" i="2"/>
  <c r="O801" i="2"/>
  <c r="N903" i="2"/>
  <c r="O903" i="2"/>
  <c r="N505" i="2"/>
  <c r="O505" i="2"/>
  <c r="N631" i="2"/>
  <c r="O631" i="2"/>
  <c r="N248" i="2"/>
  <c r="O248" i="2"/>
  <c r="N385" i="2"/>
  <c r="O385" i="2"/>
  <c r="N997" i="2"/>
  <c r="O997" i="2"/>
  <c r="N527" i="2"/>
  <c r="O527" i="2"/>
  <c r="N627" i="2"/>
  <c r="O627" i="2"/>
  <c r="N148" i="2"/>
  <c r="O148" i="2"/>
  <c r="P8" i="2"/>
  <c r="N518" i="2"/>
  <c r="O518" i="2"/>
  <c r="N890" i="2"/>
  <c r="O890" i="2"/>
  <c r="N193" i="2"/>
  <c r="O193" i="2"/>
  <c r="N554" i="2"/>
  <c r="O554" i="2"/>
  <c r="N342" i="2"/>
  <c r="O342" i="2"/>
  <c r="N739" i="2"/>
  <c r="O739" i="2"/>
  <c r="N716" i="2"/>
  <c r="O716" i="2"/>
  <c r="N499" i="2"/>
  <c r="O499" i="2"/>
  <c r="N976" i="2"/>
  <c r="O976" i="2"/>
  <c r="P157" i="2"/>
  <c r="N315" i="2"/>
  <c r="O315" i="2"/>
  <c r="N706" i="2"/>
  <c r="O706" i="2"/>
  <c r="N710" i="2"/>
  <c r="O710" i="2"/>
  <c r="N859" i="2"/>
  <c r="O859" i="2"/>
  <c r="N237" i="2"/>
  <c r="O237" i="2"/>
  <c r="N992" i="2"/>
  <c r="O992" i="2"/>
  <c r="N70" i="2"/>
  <c r="O70" i="2"/>
  <c r="P901" i="2"/>
  <c r="N408" i="2"/>
  <c r="O408" i="2"/>
  <c r="N840" i="2"/>
  <c r="O840" i="2"/>
  <c r="N931" i="2"/>
  <c r="O931" i="2"/>
  <c r="N21" i="2"/>
  <c r="O21" i="2"/>
  <c r="N124" i="2"/>
  <c r="O124" i="2"/>
  <c r="N570" i="2"/>
  <c r="O570" i="2"/>
  <c r="N99" i="2"/>
  <c r="O99" i="2"/>
  <c r="N919" i="2"/>
  <c r="O919" i="2"/>
  <c r="N367" i="2"/>
  <c r="O367" i="2"/>
  <c r="N736" i="2"/>
  <c r="O736" i="2"/>
  <c r="N761" i="2"/>
  <c r="O761" i="2"/>
  <c r="N694" i="2"/>
  <c r="O694" i="2"/>
  <c r="N305" i="2"/>
  <c r="O305" i="2"/>
  <c r="N731" i="2"/>
  <c r="O731" i="2"/>
  <c r="N702" i="2"/>
  <c r="O702" i="2"/>
  <c r="N321" i="2"/>
  <c r="O321" i="2"/>
  <c r="N8" i="2"/>
  <c r="O8" i="2"/>
  <c r="N352" i="2"/>
  <c r="O352" i="2"/>
  <c r="P352" i="2"/>
  <c r="N704" i="2"/>
  <c r="O704" i="2"/>
  <c r="N901" i="2"/>
  <c r="O901" i="2"/>
  <c r="N170" i="2"/>
  <c r="O170" i="2"/>
  <c r="N90" i="2"/>
  <c r="O90" i="2"/>
  <c r="P90" i="2"/>
  <c r="N734" i="2"/>
  <c r="O734" i="2"/>
  <c r="N985" i="2"/>
  <c r="O985" i="2"/>
  <c r="N517" i="2"/>
  <c r="O517" i="2"/>
  <c r="N641" i="2"/>
  <c r="O641" i="2"/>
  <c r="N814" i="2"/>
  <c r="O814" i="2"/>
  <c r="N650" i="2"/>
  <c r="O650" i="2"/>
  <c r="N277" i="2"/>
  <c r="O277" i="2"/>
  <c r="N200" i="2"/>
  <c r="O200" i="2"/>
  <c r="N474" i="2"/>
  <c r="O474" i="2"/>
  <c r="N776" i="2"/>
  <c r="O776" i="2"/>
  <c r="N54" i="2"/>
  <c r="O54" i="2"/>
  <c r="N57" i="2"/>
  <c r="O57" i="2"/>
  <c r="N462" i="2"/>
  <c r="O462" i="2"/>
  <c r="N311" i="2"/>
  <c r="O311" i="2"/>
  <c r="N606" i="2"/>
  <c r="O606" i="2"/>
  <c r="N107" i="2"/>
  <c r="O107" i="2"/>
  <c r="N625" i="2"/>
  <c r="O625" i="2"/>
  <c r="N680" i="2"/>
  <c r="O680" i="2"/>
  <c r="N497" i="2"/>
  <c r="O497" i="2"/>
  <c r="N628" i="2"/>
  <c r="O628" i="2"/>
  <c r="N289" i="2"/>
  <c r="O289" i="2"/>
  <c r="N71" i="2"/>
  <c r="O71" i="2"/>
  <c r="N712" i="2"/>
  <c r="O712" i="2"/>
  <c r="N513" i="2"/>
  <c r="O513" i="2"/>
  <c r="N723" i="2"/>
  <c r="O723" i="2"/>
  <c r="N902" i="2"/>
  <c r="O902" i="2"/>
  <c r="N234" i="2"/>
  <c r="O234" i="2"/>
  <c r="P168" i="2"/>
  <c r="O168" i="2"/>
  <c r="N168" i="2"/>
  <c r="P720" i="2"/>
  <c r="N394" i="2"/>
  <c r="O394" i="2"/>
  <c r="N795" i="2"/>
  <c r="O795" i="2"/>
  <c r="N87" i="2"/>
  <c r="O87" i="2"/>
  <c r="N763" i="2"/>
  <c r="O763" i="2"/>
  <c r="N123" i="2"/>
  <c r="O123" i="2"/>
  <c r="N121" i="2"/>
  <c r="O121" i="2"/>
  <c r="N157" i="2"/>
  <c r="O157" i="2"/>
  <c r="N591" i="2"/>
  <c r="O591" i="2"/>
  <c r="N748" i="2"/>
  <c r="O748" i="2"/>
  <c r="N244" i="2"/>
  <c r="O244" i="2"/>
  <c r="N389" i="2"/>
  <c r="O389" i="2"/>
  <c r="N154" i="2"/>
  <c r="O154" i="2"/>
  <c r="N433" i="2"/>
  <c r="O433" i="2"/>
  <c r="N834" i="2"/>
  <c r="O834" i="2"/>
  <c r="N175" i="2"/>
  <c r="O175" i="2"/>
  <c r="N634" i="2"/>
  <c r="O634" i="2"/>
  <c r="N323" i="2"/>
  <c r="O323" i="2"/>
  <c r="N944" i="2"/>
  <c r="O944" i="2"/>
  <c r="N211" i="2"/>
  <c r="O211" i="2"/>
  <c r="N836" i="2"/>
  <c r="O836" i="2"/>
  <c r="N864" i="2"/>
  <c r="O864" i="2"/>
  <c r="N784" i="2"/>
  <c r="O784" i="2"/>
  <c r="N166" i="2"/>
  <c r="O166" i="2"/>
  <c r="N832" i="2"/>
  <c r="O832" i="2"/>
  <c r="N790" i="2"/>
  <c r="O790" i="2"/>
  <c r="N718" i="2"/>
  <c r="O718" i="2"/>
  <c r="N91" i="2"/>
  <c r="O91" i="2"/>
  <c r="N856" i="2"/>
  <c r="O856" i="2"/>
  <c r="N850" i="2"/>
  <c r="O850" i="2"/>
  <c r="N501" i="2"/>
  <c r="O501" i="2"/>
  <c r="N326" i="2"/>
  <c r="O326" i="2"/>
  <c r="N658" i="2"/>
  <c r="O658" i="2"/>
  <c r="N531" i="2"/>
  <c r="O531" i="2"/>
  <c r="N755" i="2"/>
  <c r="O755" i="2"/>
  <c r="N111" i="2"/>
  <c r="O111" i="2"/>
  <c r="N463" i="2"/>
  <c r="O463" i="2"/>
  <c r="N788" i="2"/>
  <c r="O788" i="2"/>
  <c r="N119" i="2"/>
  <c r="O119" i="2"/>
  <c r="N910" i="2"/>
  <c r="O910" i="2"/>
  <c r="N949" i="2"/>
  <c r="O949" i="2"/>
  <c r="N498" i="2"/>
  <c r="O498" i="2"/>
  <c r="N597" i="2"/>
  <c r="O597" i="2"/>
  <c r="N10" i="2"/>
  <c r="O10" i="2"/>
  <c r="N986" i="2"/>
  <c r="O986" i="2"/>
  <c r="N476" i="2"/>
  <c r="O476" i="2"/>
  <c r="N85" i="2"/>
  <c r="O85" i="2"/>
  <c r="N720" i="2"/>
  <c r="O720" i="2"/>
  <c r="N897" i="2"/>
  <c r="O897" i="2"/>
  <c r="N757" i="2"/>
  <c r="O757" i="2"/>
  <c r="N675" i="2"/>
  <c r="O675" i="2"/>
  <c r="N350" i="2"/>
  <c r="O350" i="2"/>
  <c r="N967" i="2"/>
  <c r="O967" i="2"/>
  <c r="N996" i="2"/>
  <c r="O996" i="2"/>
  <c r="N709" i="2"/>
  <c r="O709" i="2"/>
  <c r="N357" i="2"/>
  <c r="O357" i="2"/>
  <c r="N810" i="2"/>
  <c r="O810" i="2"/>
  <c r="N149" i="2"/>
  <c r="O149" i="2"/>
  <c r="N484" i="2"/>
  <c r="O484" i="2"/>
  <c r="N64" i="2"/>
  <c r="O64" i="2"/>
  <c r="N769" i="2"/>
  <c r="O769" i="2"/>
  <c r="N589" i="2"/>
  <c r="O589" i="2"/>
  <c r="N502" i="2"/>
  <c r="O502" i="2"/>
  <c r="N306" i="2"/>
  <c r="O306" i="2"/>
  <c r="N112" i="2"/>
  <c r="O112" i="2"/>
  <c r="N492" i="2"/>
  <c r="O492" i="2"/>
</calcChain>
</file>

<file path=xl/sharedStrings.xml><?xml version="1.0" encoding="utf-8"?>
<sst xmlns="http://schemas.openxmlformats.org/spreadsheetml/2006/main" count="4047" uniqueCount="626">
  <si>
    <t>OrderID</t>
  </si>
  <si>
    <t>OrderDate</t>
  </si>
  <si>
    <t>Customer</t>
  </si>
  <si>
    <t>Product</t>
  </si>
  <si>
    <t>Category</t>
  </si>
  <si>
    <t>Region</t>
  </si>
  <si>
    <t>Salesperson</t>
  </si>
  <si>
    <t>Channel</t>
  </si>
  <si>
    <t>Status</t>
  </si>
  <si>
    <t>UnitPrice</t>
  </si>
  <si>
    <t>Quantity</t>
  </si>
  <si>
    <t>Discount</t>
  </si>
  <si>
    <t>ORD-1000</t>
  </si>
  <si>
    <t>Customer 29</t>
  </si>
  <si>
    <t>Keyboard</t>
  </si>
  <si>
    <t>Furniture</t>
  </si>
  <si>
    <t>West</t>
  </si>
  <si>
    <t>Charlie</t>
  </si>
  <si>
    <t>Partner</t>
  </si>
  <si>
    <t>Pending</t>
  </si>
  <si>
    <t>ORD-1001</t>
  </si>
  <si>
    <t>Customer 21</t>
  </si>
  <si>
    <t>Mouse</t>
  </si>
  <si>
    <t>Accessories</t>
  </si>
  <si>
    <t>South</t>
  </si>
  <si>
    <t>Edward</t>
  </si>
  <si>
    <t>Online</t>
  </si>
  <si>
    <t>ORD-1002</t>
  </si>
  <si>
    <t>Customer 6</t>
  </si>
  <si>
    <t>Docking Station</t>
  </si>
  <si>
    <t>Electronics</t>
  </si>
  <si>
    <t>East</t>
  </si>
  <si>
    <t>Diana</t>
  </si>
  <si>
    <t>Direct</t>
  </si>
  <si>
    <t>Completed</t>
  </si>
  <si>
    <t>ORD-1003</t>
  </si>
  <si>
    <t>Customer 39</t>
  </si>
  <si>
    <t>Alice</t>
  </si>
  <si>
    <t>ORD-1004</t>
  </si>
  <si>
    <t>Customer 33</t>
  </si>
  <si>
    <t>Central</t>
  </si>
  <si>
    <t>ORD-1005</t>
  </si>
  <si>
    <t>Customer 45</t>
  </si>
  <si>
    <t>Laptop</t>
  </si>
  <si>
    <t>North</t>
  </si>
  <si>
    <t>Bob</t>
  </si>
  <si>
    <t>ORD-1006</t>
  </si>
  <si>
    <t>Customer 8</t>
  </si>
  <si>
    <t>Printer</t>
  </si>
  <si>
    <t>Retail Store</t>
  </si>
  <si>
    <t>ORD-1007</t>
  </si>
  <si>
    <t>Customer 19</t>
  </si>
  <si>
    <t>Monitor</t>
  </si>
  <si>
    <t>ORD-1008</t>
  </si>
  <si>
    <t>ORD-1009</t>
  </si>
  <si>
    <t>Customer 24</t>
  </si>
  <si>
    <t>Webcam</t>
  </si>
  <si>
    <t>ORD-1010</t>
  </si>
  <si>
    <t>Customer 36</t>
  </si>
  <si>
    <t>Cancelled</t>
  </si>
  <si>
    <t>ORD-1011</t>
  </si>
  <si>
    <t>Customer 16</t>
  </si>
  <si>
    <t>Desk Lamp</t>
  </si>
  <si>
    <t>ORD-1012</t>
  </si>
  <si>
    <t>Customer 46</t>
  </si>
  <si>
    <t>ORD-1013</t>
  </si>
  <si>
    <t>Customer 50</t>
  </si>
  <si>
    <t>ORD-1014</t>
  </si>
  <si>
    <t>ORD-1015</t>
  </si>
  <si>
    <t>Customer 3</t>
  </si>
  <si>
    <t>ORD-1016</t>
  </si>
  <si>
    <t>Customer 48</t>
  </si>
  <si>
    <t>ORD-1017</t>
  </si>
  <si>
    <t>Customer 30</t>
  </si>
  <si>
    <t>ORD-1018</t>
  </si>
  <si>
    <t>ORD-1019</t>
  </si>
  <si>
    <t>ORD-1020</t>
  </si>
  <si>
    <t>Customer 42</t>
  </si>
  <si>
    <t>Chair</t>
  </si>
  <si>
    <t>ORD-1021</t>
  </si>
  <si>
    <t>ORD-1022</t>
  </si>
  <si>
    <t>ORD-1023</t>
  </si>
  <si>
    <t>Customer 41</t>
  </si>
  <si>
    <t>ORD-1024</t>
  </si>
  <si>
    <t>ORD-1025</t>
  </si>
  <si>
    <t>Customer 47</t>
  </si>
  <si>
    <t>ORD-1026</t>
  </si>
  <si>
    <t>Customer 43</t>
  </si>
  <si>
    <t>ORD-1027</t>
  </si>
  <si>
    <t>Customer 18</t>
  </si>
  <si>
    <t>Headset</t>
  </si>
  <si>
    <t>ORD-1028</t>
  </si>
  <si>
    <t>Customer 23</t>
  </si>
  <si>
    <t>ORD-1029</t>
  </si>
  <si>
    <t>Customer 1</t>
  </si>
  <si>
    <t>ORD-1030</t>
  </si>
  <si>
    <t>Customer 15</t>
  </si>
  <si>
    <t>ORD-1031</t>
  </si>
  <si>
    <t>Customer 31</t>
  </si>
  <si>
    <t>ORD-1032</t>
  </si>
  <si>
    <t>Customer 35</t>
  </si>
  <si>
    <t>ORD-1033</t>
  </si>
  <si>
    <t>Customer 10</t>
  </si>
  <si>
    <t>ORD-1034</t>
  </si>
  <si>
    <t>Customer 11</t>
  </si>
  <si>
    <t>ORD-1035</t>
  </si>
  <si>
    <t>ORD-1036</t>
  </si>
  <si>
    <t>Customer 2</t>
  </si>
  <si>
    <t>ORD-1037</t>
  </si>
  <si>
    <t>ORD-1038</t>
  </si>
  <si>
    <t>ORD-1039</t>
  </si>
  <si>
    <t>Customer 13</t>
  </si>
  <si>
    <t>ORD-1040</t>
  </si>
  <si>
    <t>Customer 14</t>
  </si>
  <si>
    <t>ORD-1041</t>
  </si>
  <si>
    <t>ORD-1042</t>
  </si>
  <si>
    <t>ORD-1043</t>
  </si>
  <si>
    <t>Customer 40</t>
  </si>
  <si>
    <t>ORD-1044</t>
  </si>
  <si>
    <t>Customer 38</t>
  </si>
  <si>
    <t>ORD-1045</t>
  </si>
  <si>
    <t>ORD-1046</t>
  </si>
  <si>
    <t>Customer 22</t>
  </si>
  <si>
    <t>ORD-1047</t>
  </si>
  <si>
    <t>ORD-1048</t>
  </si>
  <si>
    <t>ORD-1049</t>
  </si>
  <si>
    <t>ORD-1050</t>
  </si>
  <si>
    <t>Customer 34</t>
  </si>
  <si>
    <t>ORD-1051</t>
  </si>
  <si>
    <t>Customer 32</t>
  </si>
  <si>
    <t>ORD-1052</t>
  </si>
  <si>
    <t>ORD-1053</t>
  </si>
  <si>
    <t>ORD-1054</t>
  </si>
  <si>
    <t>ORD-1055</t>
  </si>
  <si>
    <t>ORD-1056</t>
  </si>
  <si>
    <t>Customer 17</t>
  </si>
  <si>
    <t>ORD-1057</t>
  </si>
  <si>
    <t>ORD-1058</t>
  </si>
  <si>
    <t>ORD-1059</t>
  </si>
  <si>
    <t>ORD-1060</t>
  </si>
  <si>
    <t>Customer 12</t>
  </si>
  <si>
    <t>ORD-1061</t>
  </si>
  <si>
    <t>Customer 37</t>
  </si>
  <si>
    <t>ORD-1062</t>
  </si>
  <si>
    <t>ORD-1063</t>
  </si>
  <si>
    <t>ORD-1064</t>
  </si>
  <si>
    <t>ORD-1065</t>
  </si>
  <si>
    <t>ORD-1066</t>
  </si>
  <si>
    <t>Customer 26</t>
  </si>
  <si>
    <t>ORD-1067</t>
  </si>
  <si>
    <t>ORD-1068</t>
  </si>
  <si>
    <t>ORD-1069</t>
  </si>
  <si>
    <t>ORD-1070</t>
  </si>
  <si>
    <t>ORD-1071</t>
  </si>
  <si>
    <t>Customer 9</t>
  </si>
  <si>
    <t>ORD-1072</t>
  </si>
  <si>
    <t>ORD-1073</t>
  </si>
  <si>
    <t>ORD-1074</t>
  </si>
  <si>
    <t>ORD-1075</t>
  </si>
  <si>
    <t>Customer 4</t>
  </si>
  <si>
    <t>ORD-1076</t>
  </si>
  <si>
    <t>ORD-1077</t>
  </si>
  <si>
    <t>Customer 25</t>
  </si>
  <si>
    <t>ORD-1078</t>
  </si>
  <si>
    <t>ORD-1079</t>
  </si>
  <si>
    <t>Customer 7</t>
  </si>
  <si>
    <t>ORD-1080</t>
  </si>
  <si>
    <t>ORD-1081</t>
  </si>
  <si>
    <t>ORD-1082</t>
  </si>
  <si>
    <t>ORD-1083</t>
  </si>
  <si>
    <t>ORD-1084</t>
  </si>
  <si>
    <t>ORD-1085</t>
  </si>
  <si>
    <t>Customer 27</t>
  </si>
  <si>
    <t>ORD-1086</t>
  </si>
  <si>
    <t>ORD-1087</t>
  </si>
  <si>
    <t>ORD-1088</t>
  </si>
  <si>
    <t>ORD-1089</t>
  </si>
  <si>
    <t>ORD-1090</t>
  </si>
  <si>
    <t>ORD-1091</t>
  </si>
  <si>
    <t>ORD-1092</t>
  </si>
  <si>
    <t>Customer 44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</si>
  <si>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</si>
  <si>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</si>
  <si>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</si>
  <si>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</si>
  <si>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</si>
  <si>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</si>
  <si>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</si>
  <si>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</si>
  <si>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</si>
  <si>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</si>
  <si>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Customer 20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</si>
  <si>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</si>
  <si>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</si>
  <si>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</si>
  <si>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</si>
  <si>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</si>
  <si>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</si>
  <si>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</si>
  <si>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</si>
  <si>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</si>
  <si>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</si>
  <si>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</si>
  <si>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</si>
  <si>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</si>
  <si>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</si>
  <si>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</si>
  <si>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</si>
  <si>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</si>
  <si>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</si>
  <si>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</si>
  <si>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</si>
  <si>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</si>
  <si>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</si>
  <si>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</si>
  <si>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</si>
  <si>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</si>
  <si>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</si>
  <si>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</si>
  <si>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Customer 5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</si>
  <si>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</si>
  <si>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</si>
  <si>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</si>
  <si>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</si>
  <si>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</si>
  <si>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</si>
  <si>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</si>
  <si>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</si>
  <si>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</si>
  <si>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</si>
  <si>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</si>
  <si>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Customer 28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</si>
  <si>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</si>
  <si>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</si>
  <si>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</si>
  <si>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</si>
  <si>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</si>
  <si>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</si>
  <si>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</si>
  <si>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</si>
  <si>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</si>
  <si>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</si>
  <si>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</si>
  <si>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</si>
  <si>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</si>
  <si>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</si>
  <si>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</si>
  <si>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</si>
  <si>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</si>
  <si>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Customer 49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</si>
  <si>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</si>
  <si>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</si>
  <si>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</si>
  <si>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</si>
  <si>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</si>
  <si>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</si>
  <si>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</si>
  <si>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</si>
  <si>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</si>
  <si>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</si>
  <si>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</si>
  <si>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</si>
  <si>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</si>
  <si>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</si>
  <si>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</si>
  <si>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</si>
  <si>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</si>
  <si>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</si>
  <si>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</si>
  <si>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</si>
  <si>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</si>
  <si>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</si>
  <si>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</si>
  <si>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</si>
  <si>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</si>
  <si>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</si>
  <si>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</si>
  <si>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</si>
  <si>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</si>
  <si>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</si>
  <si>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</si>
  <si>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</si>
  <si>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</si>
  <si>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</si>
  <si>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</si>
  <si>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</si>
  <si>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</si>
  <si>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</si>
  <si>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</si>
  <si>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</si>
  <si>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</si>
  <si>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</si>
  <si>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</si>
  <si>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</si>
  <si>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</si>
  <si>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</si>
  <si>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</si>
  <si>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</si>
  <si>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</si>
  <si>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</si>
  <si>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</si>
  <si>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</si>
  <si>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</si>
  <si>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</si>
  <si>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</si>
  <si>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</si>
  <si>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</si>
  <si>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</si>
  <si>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</si>
  <si>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</si>
  <si>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</si>
  <si>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</si>
  <si>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</si>
  <si>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</si>
  <si>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</si>
  <si>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</si>
  <si>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</si>
  <si>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</si>
  <si>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</si>
  <si>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</si>
  <si>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</si>
  <si>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</si>
  <si>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</si>
  <si>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</si>
  <si>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</si>
  <si>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</si>
  <si>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</si>
  <si>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</si>
  <si>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</si>
  <si>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</si>
  <si>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</si>
  <si>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</si>
  <si>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</si>
  <si>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</si>
  <si>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</si>
  <si>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</si>
  <si>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</si>
  <si>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</si>
  <si>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</si>
  <si>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</si>
  <si>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</si>
  <si>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</si>
  <si>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</si>
  <si>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</si>
  <si>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</si>
  <si>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</si>
  <si>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</si>
  <si>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</si>
  <si>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</si>
  <si>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</si>
  <si>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</si>
  <si>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</si>
  <si>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</si>
  <si>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</si>
  <si>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</si>
  <si>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</si>
  <si>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</si>
  <si>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</si>
  <si>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</si>
  <si>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</si>
  <si>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</si>
  <si>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</si>
  <si>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</si>
  <si>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</si>
  <si>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</si>
  <si>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</si>
  <si>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</si>
  <si>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</si>
  <si>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</si>
  <si>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</si>
  <si>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</si>
  <si>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</si>
  <si>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</si>
  <si>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</si>
  <si>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</si>
  <si>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</si>
  <si>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</si>
  <si>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</si>
  <si>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</si>
  <si>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</si>
  <si>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</si>
  <si>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</si>
  <si>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</si>
  <si>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</si>
  <si>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</si>
  <si>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</si>
  <si>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</si>
  <si>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</si>
  <si>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</si>
  <si>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</si>
  <si>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</si>
  <si>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</si>
  <si>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</si>
  <si>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</si>
  <si>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</si>
  <si>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</si>
  <si>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</si>
  <si>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</si>
  <si>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</si>
  <si>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</si>
  <si>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</si>
  <si>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</si>
  <si>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</si>
  <si>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</si>
  <si>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</si>
  <si>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</si>
  <si>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</si>
  <si>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</si>
  <si>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</si>
  <si>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</si>
  <si>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</si>
  <si>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</si>
  <si>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</si>
  <si>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</si>
  <si>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</si>
  <si>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</si>
  <si>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</si>
  <si>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</si>
  <si>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</si>
  <si>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</si>
  <si>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</si>
  <si>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</si>
  <si>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</si>
  <si>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</si>
  <si>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</si>
  <si>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</si>
  <si>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</si>
  <si>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</si>
  <si>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</si>
  <si>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</si>
  <si>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</si>
  <si>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</si>
  <si>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</si>
  <si>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</si>
  <si>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</si>
  <si>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</si>
  <si>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</si>
  <si>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</si>
  <si>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</si>
  <si>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</si>
  <si>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</si>
  <si>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</si>
  <si>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</si>
  <si>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</si>
  <si>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</si>
  <si>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</si>
  <si>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</si>
  <si>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</si>
  <si>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</si>
  <si>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</si>
  <si>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</si>
  <si>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</si>
  <si>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</si>
  <si>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</si>
  <si>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</si>
  <si>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</si>
  <si>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</si>
  <si>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</si>
  <si>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</si>
  <si>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</si>
  <si>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</si>
  <si>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</si>
  <si>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</si>
  <si>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</si>
  <si>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</si>
  <si>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</si>
  <si>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</si>
  <si>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</si>
  <si>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</si>
  <si>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</si>
  <si>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</si>
  <si>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</si>
  <si>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</si>
  <si>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</si>
  <si>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</si>
  <si>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</si>
  <si>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</si>
  <si>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</si>
  <si>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</si>
  <si>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</si>
  <si>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</si>
  <si>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</si>
  <si>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</si>
  <si>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</si>
  <si>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</si>
  <si>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</si>
  <si>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</si>
  <si>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</si>
  <si>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</si>
  <si>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</si>
  <si>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</si>
  <si>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</si>
  <si>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</si>
  <si>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</si>
  <si>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</si>
  <si>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</si>
  <si>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</si>
  <si>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</si>
  <si>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</si>
  <si>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</si>
  <si>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</si>
  <si>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</si>
  <si>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</si>
  <si>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</si>
  <si>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</si>
  <si>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</si>
  <si>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</si>
  <si>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</si>
  <si>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</si>
  <si>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</si>
  <si>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</si>
  <si>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</si>
  <si>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</si>
  <si>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</si>
  <si>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</si>
  <si>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</si>
  <si>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</si>
  <si>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</si>
  <si>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</si>
  <si>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</si>
  <si>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</si>
  <si>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</si>
  <si>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</si>
  <si>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</si>
  <si>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</si>
  <si>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</si>
  <si>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</si>
  <si>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</si>
  <si>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</si>
  <si>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</si>
  <si>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</si>
  <si>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</si>
  <si>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</si>
  <si>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</si>
  <si>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</si>
  <si>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</si>
  <si>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</si>
  <si>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</si>
  <si>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</si>
  <si>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</si>
  <si>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</si>
  <si>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</si>
  <si>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</si>
  <si>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</si>
  <si>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</si>
  <si>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</si>
  <si>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</si>
  <si>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</si>
  <si>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</si>
  <si>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</si>
  <si>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</si>
  <si>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</si>
  <si>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</si>
  <si>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</si>
  <si>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</si>
  <si>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</si>
  <si>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</si>
  <si>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</si>
  <si>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</si>
  <si>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</si>
  <si>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</si>
  <si>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</si>
  <si>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</si>
  <si>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</si>
  <si>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</si>
  <si>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</si>
  <si>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</si>
  <si>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</si>
  <si>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</si>
  <si>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</si>
  <si>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</si>
  <si>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</si>
  <si>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</si>
  <si>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</si>
  <si>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</si>
  <si>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</si>
  <si>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</si>
  <si>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</si>
  <si>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</si>
  <si>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</si>
  <si>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</si>
  <si>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</si>
  <si>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</si>
  <si>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</si>
  <si>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</si>
  <si>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</si>
  <si>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</si>
  <si>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</si>
  <si>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</si>
  <si>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</si>
  <si>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</si>
  <si>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</si>
  <si>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Revenue</t>
  </si>
  <si>
    <t>Cost</t>
  </si>
  <si>
    <t>Profit</t>
  </si>
  <si>
    <t>ProfitMargin</t>
  </si>
  <si>
    <t>Month</t>
  </si>
  <si>
    <t>Quarter</t>
  </si>
  <si>
    <t>Year</t>
  </si>
  <si>
    <t>Segment</t>
  </si>
  <si>
    <t>Row Labels</t>
  </si>
  <si>
    <t>Jan-00</t>
  </si>
  <si>
    <t>Grand Total</t>
  </si>
  <si>
    <t>Sum of Revenue</t>
  </si>
  <si>
    <t>KPI</t>
  </si>
  <si>
    <t>Value</t>
  </si>
  <si>
    <t>Total Revenue</t>
  </si>
  <si>
    <t>Total Profit</t>
  </si>
  <si>
    <t>Profit Margin</t>
  </si>
  <si>
    <t>Order Count</t>
  </si>
  <si>
    <t>Average Order Value</t>
  </si>
  <si>
    <t>Projected Revenue</t>
  </si>
  <si>
    <t>Projected Profit</t>
  </si>
  <si>
    <t>Month 1 (Projected)</t>
  </si>
  <si>
    <t>Month 2 (Projected)</t>
  </si>
  <si>
    <t>Month 3 (Projected)</t>
  </si>
  <si>
    <t>Month 4 (Projected)</t>
  </si>
  <si>
    <t>Month 5 (Projected)</t>
  </si>
  <si>
    <t>Month 6 (Projected)</t>
  </si>
  <si>
    <t>Assumptions: Forecast is based on a 2% month-over-month growth rate applied to the average of the last 24 months of historical performance.</t>
  </si>
  <si>
    <t>Workbook Structure Overview</t>
  </si>
  <si>
    <t>1. RawData: Contains all 24 months of transaction data. Formulas calculate Revenue, Gross Profit, Profit Margin, and date components.</t>
  </si>
  <si>
    <t>2. Summary_Sales: Contains high-level sales summaries and a pivot table for revenue trends.</t>
  </si>
  <si>
    <t>3. Dashboard: Displays core KPIs and visual trends for the manager. KPIs are linked to formulas in the RawData sheet.</t>
  </si>
  <si>
    <t>4. Forecast: Projections for the next 6 months using a 2% growth assumption based on historical averages.</t>
  </si>
  <si>
    <t>Refresh Instructions: To update the dashboard, go to the 'Data' tab and click 'Refresh All'. Pivot tables will automatically pull the latest data from the 'RawData' source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</si>
</sst>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164" formatCode="&quot;$&quot;#,##0.00"/>
    </dxf>
    <dxf>
      <numFmt numFmtId="0" formatCode="General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55.961861574076" createdVersion="6" refreshedVersion="6" minRefreshableVersion="3" recordCount="1000">
  <cacheSource type="worksheet">
    <worksheetSource name="SalesData"/>
  </cacheSource>
  <cacheFields count="20">
    <cacheField name="OrderID" numFmtId="0">
      <sharedItems containsNonDate="0" containsString="0" containsBlank="1"/>
    </cacheField>
    <cacheField name="OrderDate" numFmtId="0">
      <sharedItems containsNonDate="0" containsString="0" containsBlank="1"/>
    </cacheField>
    <cacheField name="Customer" numFmtId="0">
      <sharedItems containsNonDate="0" containsString="0" containsBlank="1"/>
    </cacheField>
    <cacheField name="Product" numFmtId="0">
      <sharedItems containsNonDate="0" containsString="0" containsBlank="1"/>
    </cacheField>
    <cacheField name="Category" numFmtId="0">
      <sharedItems containsNonDate="0" containsString="0" containsBlank="1"/>
    </cacheField>
    <cacheField name="Region" numFmtId="0">
      <sharedItems containsNonDate="0" containsString="0" containsBlank="1"/>
    </cacheField>
    <cacheField name="Salesperson" numFmtId="0">
      <sharedItems containsNonDate="0" containsString="0" containsBlank="1"/>
    </cacheField>
    <cacheField name="Channel" numFmtId="0">
      <sharedItems containsSemiMixedTypes="0" containsString="0" containsNumber="1" containsInteger="1" minValue="0" maxValue="0"/>
    </cacheField>
    <cacheField name="Status" numFmtId="0">
      <sharedItems containsSemiMixedTypes="0" containsString="0" containsNumber="1" containsInteger="1" minValue="0" maxValue="0"/>
    </cacheField>
    <cacheField name="UnitPrice" numFmtId="0">
      <sharedItems containsSemiMixedTypes="0" containsString="0" containsNumber="1" containsInteger="1" minValue="0" maxValue="0"/>
    </cacheField>
    <cacheField name="Quantity" numFmtId="0">
      <sharedItems/>
    </cacheField>
    <cacheField name="Discount" numFmtId="0">
      <sharedItems/>
    </cacheField>
    <cacheField name="Revenue" numFmtId="164">
      <sharedItems containsSemiMixedTypes="0" containsString="0" containsNumber="1" containsInteger="1" minValue="1900" maxValue="1900"/>
    </cacheField>
    <cacheField name="Cost" numFmtId="0">
      <sharedItems/>
    </cacheField>
    <cacheField name="Profit" numFmtId="164">
      <sharedItems/>
    </cacheField>
    <cacheField name="ProfitMargin" numFmtId="165">
      <sharedItems/>
    </cacheField>
    <cacheField name="Month" numFmtId="0">
      <sharedItems count="1">
        <s v="Jan-00"/>
      </sharedItems>
    </cacheField>
    <cacheField name="Quarter" numFmtId="0">
      <sharedItems/>
    </cacheField>
    <cacheField name="Year" numFmtId="0">
      <sharedItems containsSemiMixedTypes="0" containsString="0" containsNumber="1" containsInteger="1" minValue="1900" maxValue="1900"/>
    </cacheField>
    <cacheField name="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  <r>
    <m/>
    <m/>
    <m/>
    <m/>
    <m/>
    <m/>
    <m/>
    <n v="0"/>
    <n v="0"/>
    <n v="0"/>
    <s v="January"/>
    <s v="Q1"/>
    <n v="1900"/>
    <s v="New"/>
    <e v="#VALUE!"/>
    <e v="#VALUE!"/>
    <x v="0"/>
    <s v="Q1"/>
    <n v="1900"/>
    <s v="Ret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Revenue" cacheId="0" applyNumberFormats="0" applyBorderFormats="0" applyFontFormats="0" applyPatternFormats="0" applyAlignmentFormats="0" applyWidthHeightFormats="1" dataCaption="Values" updatedVersion="6" minRefreshableVersion="3" showCalcMbrs="0" useAutoFormatting="1" itemPrintTitles="1" createdVersion="3" indent="0" outline="1" outlineData="1" multipleFieldFilters="0">
  <location ref="A3:B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64" showAll="0"/>
    <pivotField numFmtId="165"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6"/>
  </rowFields>
  <rowItems count="2">
    <i>
      <x/>
    </i>
    <i t="grand">
      <x/>
    </i>
  </rowItems>
  <colItems count="1">
    <i/>
  </colItems>
  <dataFields count="1">
    <dataField name="Sum of Revenue" fld="12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SalesData" displayName="SalesData" ref="A1:T1001" insertRowShift="1" totalsRowShown="0">
  <autoFilter ref="A1:T1001"/>
  <tableColumns count="20">
    <tableColumn id="1" name="OrderID"/>
    <tableColumn id="2" name="OrderDate"/>
    <tableColumn id="3" name="Customer"/>
    <tableColumn id="4" name="Product"/>
    <tableColumn id="5" name="Category"/>
    <tableColumn id="6" name="Region"/>
    <tableColumn id="7" name="Salesperson"/>
    <tableColumn id="8" name="Channel" dataDxfId="12">
      <calculatedColumnFormula>(E2*F2)*(1-G2)</calculatedColumnFormula>
    </tableColumn>
    <tableColumn id="9" name="Status" dataDxfId="11">
      <calculatedColumnFormula>H2-(D2*F2)</calculatedColumnFormula>
    </tableColumn>
    <tableColumn id="10" name="UnitPrice" dataDxfId="10">
      <calculatedColumnFormula>IF(H2&gt;0,I2/H2,0)</calculatedColumnFormula>
    </tableColumn>
    <tableColumn id="11" name="Quantity" dataDxfId="9">
      <calculatedColumnFormula>TEXT(A2,"mmmm")</calculatedColumnFormula>
    </tableColumn>
    <tableColumn id="12" name="Discount" dataDxfId="8">
      <calculatedColumnFormula>"Q"&amp;ROUNDUP(MONTH(A2)/3,0)</calculatedColumnFormula>
    </tableColumn>
    <tableColumn id="13" name="Revenue" dataDxfId="7">
      <calculatedColumnFormula>YEAR(A2)</calculatedColumnFormula>
    </tableColumn>
    <tableColumn id="14" name="Cost" dataDxfId="6">
      <calculatedColumnFormula>IF(COUNTIFS(A$2:A2,A2,O$2:O2,O2)&gt;1,"Repeat","New")</calculatedColumnFormula>
    </tableColumn>
    <tableColumn id="15" name="Profit" dataDxfId="5">
      <calculatedColumnFormula>M2-N2</calculatedColumnFormula>
    </tableColumn>
    <tableColumn id="16" name="ProfitMargin" dataDxfId="4">
      <calculatedColumnFormula>IF(M2&gt;0,O2/M2,0)</calculatedColumnFormula>
    </tableColumn>
    <tableColumn id="17" name="Month" dataDxfId="3">
      <calculatedColumnFormula>TEXT(B2, "mmm-yy")</calculatedColumnFormula>
    </tableColumn>
    <tableColumn id="18" name="Quarter" dataDxfId="2">
      <calculatedColumnFormula>"Q"&amp;INT((MONTH(B2)-1)/3)+1</calculatedColumnFormula>
    </tableColumn>
    <tableColumn id="19" name="Year" dataDxfId="1">
      <calculatedColumnFormula>YEAR(B2)</calculatedColumnFormula>
    </tableColumn>
    <tableColumn id="20" name="Segment" dataDxfId="0">
      <calculatedColumnFormula>IF(M2&gt;5000, "Enterprise", "Retail")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4.4" x14ac:dyDescent="0.3"/>
  <cols>
    <col min="1" max="1" width="144.21875" bestFit="1" customWidth="1"/>
  </cols>
  <sheetData>
    <row r="1" spans="1:1" x14ac:dyDescent="0.3">
      <c r="A1" t="s">
        <v>620</v>
      </c>
    </row>
    <row r="2" spans="1:1" x14ac:dyDescent="0.3">
      <c r="A2" t="s">
        <v>621</v>
      </c>
    </row>
    <row r="3" spans="1:1" x14ac:dyDescent="0.3">
      <c r="A3" t="s">
        <v>622</v>
      </c>
    </row>
    <row r="4" spans="1:1" x14ac:dyDescent="0.3">
      <c r="A4" t="s">
        <v>623</v>
      </c>
    </row>
    <row r="5" spans="1:1" x14ac:dyDescent="0.3">
      <c r="A5" t="s">
        <v>624</v>
      </c>
    </row>
    <row r="6" spans="1:1" x14ac:dyDescent="0.3">
      <c r="A6" t="s">
        <v>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37" sqref="B37"/>
    </sheetView>
  </sheetViews>
  <sheetFormatPr defaultRowHeight="14.4" x14ac:dyDescent="0.3"/>
  <cols>
    <col min="1" max="1" width="120" bestFit="1" customWidth="1"/>
    <col min="2" max="2" width="16.33203125" bestFit="1" customWidth="1"/>
    <col min="3" max="3" width="13.88671875" bestFit="1" customWidth="1"/>
  </cols>
  <sheetData>
    <row r="1" spans="1:3" x14ac:dyDescent="0.3">
      <c r="A1" t="s">
        <v>596</v>
      </c>
      <c r="B1" t="s">
        <v>611</v>
      </c>
      <c r="C1" t="s">
        <v>612</v>
      </c>
    </row>
    <row r="2" spans="1:3" x14ac:dyDescent="0.3">
      <c r="A2" t="s">
        <v>613</v>
      </c>
      <c r="B2">
        <f>AVERAGE(RawData!$H$2:$H$1001)*1.02</f>
        <v>0</v>
      </c>
      <c r="C2">
        <f>AVERAGE(RawData!$I$2:$I$1001)*1.02</f>
        <v>0</v>
      </c>
    </row>
    <row r="3" spans="1:3" x14ac:dyDescent="0.3">
      <c r="A3" t="s">
        <v>614</v>
      </c>
      <c r="B3">
        <f>AVERAGE(RawData!$H$2:$H$1001)*1.02</f>
        <v>0</v>
      </c>
      <c r="C3">
        <f>AVERAGE(RawData!$I$2:$I$1001)*1.02</f>
        <v>0</v>
      </c>
    </row>
    <row r="4" spans="1:3" x14ac:dyDescent="0.3">
      <c r="A4" t="s">
        <v>615</v>
      </c>
      <c r="B4">
        <f>AVERAGE(RawData!$H$2:$H$1001)*1.02</f>
        <v>0</v>
      </c>
      <c r="C4">
        <f>AVERAGE(RawData!$I$2:$I$1001)*1.02</f>
        <v>0</v>
      </c>
    </row>
    <row r="5" spans="1:3" x14ac:dyDescent="0.3">
      <c r="A5" t="s">
        <v>616</v>
      </c>
      <c r="B5">
        <f>AVERAGE(RawData!$H$2:$H$1001)*1.02</f>
        <v>0</v>
      </c>
      <c r="C5">
        <f>AVERAGE(RawData!$I$2:$I$1001)*1.02</f>
        <v>0</v>
      </c>
    </row>
    <row r="6" spans="1:3" x14ac:dyDescent="0.3">
      <c r="A6" t="s">
        <v>617</v>
      </c>
      <c r="B6">
        <f>AVERAGE(RawData!$H$2:$H$1001)*1.02</f>
        <v>0</v>
      </c>
      <c r="C6">
        <f>AVERAGE(RawData!$I$2:$I$1001)*1.02</f>
        <v>0</v>
      </c>
    </row>
    <row r="7" spans="1:3" x14ac:dyDescent="0.3">
      <c r="A7" t="s">
        <v>618</v>
      </c>
      <c r="B7">
        <f>AVERAGE(RawData!$H$2:$H$1001)*1.02</f>
        <v>0</v>
      </c>
      <c r="C7">
        <f>AVERAGE(RawData!$I$2:$I$1001)*1.02</f>
        <v>0</v>
      </c>
    </row>
    <row r="11" spans="1:3" x14ac:dyDescent="0.3">
      <c r="A11" t="s">
        <v>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5"/>
  <sheetViews>
    <sheetView workbookViewId="0">
      <selection activeCell="B36" sqref="B36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4" t="s">
        <v>600</v>
      </c>
      <c r="B3" t="s">
        <v>603</v>
      </c>
    </row>
    <row r="4" spans="1:2" x14ac:dyDescent="0.3">
      <c r="A4" s="5" t="s">
        <v>601</v>
      </c>
      <c r="B4" s="6">
        <v>1900000</v>
      </c>
    </row>
    <row r="5" spans="1:2" x14ac:dyDescent="0.3">
      <c r="A5" s="5" t="s">
        <v>602</v>
      </c>
      <c r="B5" s="6">
        <v>1900000</v>
      </c>
    </row>
    <row r="15" spans="1:2" x14ac:dyDescent="0.3">
      <c r="B15">
        <f>SUMIF(SalesData[Category], A15, SalesData[Revenue])</f>
        <v>0</v>
      </c>
    </row>
    <row r="25" spans="2:2" x14ac:dyDescent="0.3">
      <c r="B25">
        <f>SUMIF(SalesData[Region], A25, SalesData[Revenue])</f>
        <v>0</v>
      </c>
    </row>
    <row r="35" spans="2:2" x14ac:dyDescent="0.3">
      <c r="B35">
        <f>SUMIF(SalesData[Channel], A35, SalesData[Revenue])</f>
        <v>1900000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4" x14ac:dyDescent="0.3"/>
  <cols>
    <col min="1" max="1" width="17.88671875" bestFit="1" customWidth="1"/>
    <col min="2" max="2" width="5.5546875" bestFit="1" customWidth="1"/>
  </cols>
  <sheetData>
    <row r="1" spans="1:2" x14ac:dyDescent="0.3">
      <c r="A1" t="s">
        <v>604</v>
      </c>
      <c r="B1" t="s">
        <v>605</v>
      </c>
    </row>
    <row r="2" spans="1:2" x14ac:dyDescent="0.3">
      <c r="A2" t="s">
        <v>606</v>
      </c>
      <c r="B2">
        <f>SUM(RawData!H2:H1001)</f>
        <v>0</v>
      </c>
    </row>
    <row r="3" spans="1:2" x14ac:dyDescent="0.3">
      <c r="A3" t="s">
        <v>607</v>
      </c>
      <c r="B3">
        <f>SUM(RawData!I2:I1001)</f>
        <v>0</v>
      </c>
    </row>
    <row r="4" spans="1:2" x14ac:dyDescent="0.3">
      <c r="A4" t="s">
        <v>608</v>
      </c>
      <c r="B4">
        <f>IF(B2&gt;0,B3/B2,0)</f>
        <v>0</v>
      </c>
    </row>
    <row r="5" spans="1:2" x14ac:dyDescent="0.3">
      <c r="A5" t="s">
        <v>609</v>
      </c>
      <c r="B5">
        <f>COUNT(RawData!A2:A1001)</f>
        <v>0</v>
      </c>
    </row>
    <row r="6" spans="1:2" x14ac:dyDescent="0.3">
      <c r="A6" t="s">
        <v>610</v>
      </c>
      <c r="B6">
        <f>IF(B5&gt;0,B2/B5,0)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01"/>
  <sheetViews>
    <sheetView tabSelected="1" topLeftCell="K309" workbookViewId="0"/>
  </sheetViews>
  <sheetFormatPr defaultRowHeight="14.4" x14ac:dyDescent="0.3"/>
  <cols>
    <col min="1" max="1" width="9.77734375" bestFit="1" customWidth="1"/>
    <col min="2" max="2" width="11.88671875" bestFit="1" customWidth="1"/>
    <col min="3" max="3" width="11.33203125" bestFit="1" customWidth="1"/>
    <col min="4" max="4" width="13.77734375" bestFit="1" customWidth="1"/>
    <col min="5" max="5" width="10.77734375" bestFit="1" customWidth="1"/>
    <col min="6" max="6" width="9" bestFit="1" customWidth="1"/>
    <col min="7" max="7" width="13.21875" bestFit="1" customWidth="1"/>
    <col min="8" max="8" width="10.44140625" bestFit="1" customWidth="1"/>
    <col min="9" max="9" width="9.88671875" bestFit="1" customWidth="1"/>
    <col min="10" max="10" width="10.88671875" bestFit="1" customWidth="1"/>
    <col min="11" max="13" width="10.5546875" bestFit="1" customWidth="1"/>
    <col min="14" max="14" width="6.88671875" bestFit="1" customWidth="1"/>
    <col min="15" max="15" width="8.109375" bestFit="1" customWidth="1"/>
    <col min="16" max="16" width="13.88671875" bestFit="1" customWidth="1"/>
    <col min="17" max="17" width="9" bestFit="1" customWidth="1"/>
    <col min="18" max="18" width="9.6640625" bestFit="1" customWidth="1"/>
    <col min="19" max="19" width="6.88671875" bestFit="1" customWidth="1"/>
    <col min="20" max="20" width="10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592</v>
      </c>
      <c r="N1" t="s">
        <v>593</v>
      </c>
      <c r="O1" t="s">
        <v>594</v>
      </c>
      <c r="P1" t="s">
        <v>595</v>
      </c>
      <c r="Q1" t="s">
        <v>596</v>
      </c>
      <c r="R1" t="s">
        <v>597</v>
      </c>
      <c r="S1" t="s">
        <v>598</v>
      </c>
      <c r="T1" t="s">
        <v>599</v>
      </c>
    </row>
    <row r="2" spans="1:20" x14ac:dyDescent="0.3">
      <c r="H2">
        <f>(E2*F2)*(1-G2)</f>
        <v>0</v>
      </c>
      <c r="I2">
        <f t="shared" ref="I2:I65" si="0">H2-(D2*F2)</f>
        <v>0</v>
      </c>
      <c r="J2">
        <f t="shared" ref="J2:J65" si="1">IF(H2&gt;0,I2/H2,0)</f>
        <v>0</v>
      </c>
      <c r="K2" t="str">
        <f t="shared" ref="K2:K65" si="2">TEXT(A2,"mmmm")</f>
        <v>January</v>
      </c>
      <c r="L2" t="str">
        <f t="shared" ref="L2:L65" si="3">"Q"&amp;ROUNDUP(MONTH(A2)/3,0)</f>
        <v>Q1</v>
      </c>
      <c r="M2" s="2">
        <f t="shared" ref="M2:M65" si="4">YEAR(A2)</f>
        <v>1900</v>
      </c>
      <c r="N2" t="str">
        <f ca="1">IF(COUNTIFS(A$2:A2,A2,O$2:O2,O2)&gt;1,"Repeat","New")</f>
        <v>New</v>
      </c>
      <c r="O2" s="2" t="e">
        <f t="shared" ref="O2:O65" ca="1" si="5">M2-N2</f>
        <v>#VALUE!</v>
      </c>
      <c r="P2" s="3" t="e">
        <f t="shared" ref="P2:P65" ca="1" si="6">IF(M2&gt;0,O2/M2,0)</f>
        <v>#VALUE!</v>
      </c>
      <c r="Q2" t="str">
        <f t="shared" ref="Q2:Q65" si="7">TEXT(B2, "mmm-yy")</f>
        <v>Jan-00</v>
      </c>
      <c r="R2" t="str">
        <f t="shared" ref="R2:R65" si="8">"Q"&amp;INT((MONTH(B2)-1)/3)+1</f>
        <v>Q1</v>
      </c>
      <c r="S2">
        <f t="shared" ref="S2:S65" si="9">YEAR(B2)</f>
        <v>1900</v>
      </c>
      <c r="T2" t="str">
        <f t="shared" ref="T2:T65" si="10">IF(M2&gt;5000, "Enterprise", "Retail")</f>
        <v>Retail</v>
      </c>
    </row>
    <row r="3" spans="1:20" x14ac:dyDescent="0.3">
      <c r="H3">
        <f t="shared" ref="H3:H66" si="11">(E3*F3)*(1-G3)</f>
        <v>0</v>
      </c>
      <c r="I3">
        <f t="shared" si="0"/>
        <v>0</v>
      </c>
      <c r="J3">
        <f t="shared" si="1"/>
        <v>0</v>
      </c>
      <c r="K3" t="str">
        <f t="shared" si="2"/>
        <v>January</v>
      </c>
      <c r="L3" t="str">
        <f t="shared" si="3"/>
        <v>Q1</v>
      </c>
      <c r="M3" s="2">
        <f t="shared" si="4"/>
        <v>1900</v>
      </c>
      <c r="N3" t="str">
        <f ca="1">IF(COUNTIFS(A$2:A3,A3,O$2:O3,O3)&gt;1,"Repeat","New")</f>
        <v>New</v>
      </c>
      <c r="O3" s="2" t="e">
        <f t="shared" ca="1" si="5"/>
        <v>#VALUE!</v>
      </c>
      <c r="P3" s="3" t="e">
        <f t="shared" ca="1" si="6"/>
        <v>#VALUE!</v>
      </c>
      <c r="Q3" t="str">
        <f t="shared" si="7"/>
        <v>Jan-00</v>
      </c>
      <c r="R3" t="str">
        <f t="shared" si="8"/>
        <v>Q1</v>
      </c>
      <c r="S3">
        <f t="shared" si="9"/>
        <v>1900</v>
      </c>
      <c r="T3" t="str">
        <f t="shared" si="10"/>
        <v>Retail</v>
      </c>
    </row>
    <row r="4" spans="1:20" x14ac:dyDescent="0.3">
      <c r="H4">
        <f t="shared" si="11"/>
        <v>0</v>
      </c>
      <c r="I4">
        <f t="shared" si="0"/>
        <v>0</v>
      </c>
      <c r="J4">
        <f t="shared" si="1"/>
        <v>0</v>
      </c>
      <c r="K4" t="str">
        <f t="shared" si="2"/>
        <v>January</v>
      </c>
      <c r="L4" t="str">
        <f t="shared" si="3"/>
        <v>Q1</v>
      </c>
      <c r="M4" s="2">
        <f t="shared" si="4"/>
        <v>1900</v>
      </c>
      <c r="N4" t="str">
        <f ca="1">IF(COUNTIFS(A$2:A4,A4,O$2:O4,O4)&gt;1,"Repeat","New")</f>
        <v>New</v>
      </c>
      <c r="O4" s="2" t="e">
        <f t="shared" ca="1" si="5"/>
        <v>#VALUE!</v>
      </c>
      <c r="P4" s="3" t="e">
        <f t="shared" ca="1" si="6"/>
        <v>#VALUE!</v>
      </c>
      <c r="Q4" t="str">
        <f t="shared" si="7"/>
        <v>Jan-00</v>
      </c>
      <c r="R4" t="str">
        <f t="shared" si="8"/>
        <v>Q1</v>
      </c>
      <c r="S4">
        <f t="shared" si="9"/>
        <v>1900</v>
      </c>
      <c r="T4" t="str">
        <f t="shared" si="10"/>
        <v>Retail</v>
      </c>
    </row>
    <row r="5" spans="1:20" x14ac:dyDescent="0.3">
      <c r="H5">
        <f t="shared" si="11"/>
        <v>0</v>
      </c>
      <c r="I5">
        <f t="shared" si="0"/>
        <v>0</v>
      </c>
      <c r="J5">
        <f t="shared" si="1"/>
        <v>0</v>
      </c>
      <c r="K5" t="str">
        <f t="shared" si="2"/>
        <v>January</v>
      </c>
      <c r="L5" t="str">
        <f t="shared" si="3"/>
        <v>Q1</v>
      </c>
      <c r="M5" s="2">
        <f t="shared" si="4"/>
        <v>1900</v>
      </c>
      <c r="N5" t="str">
        <f ca="1">IF(COUNTIFS(A$2:A5,A5,O$2:O5,O5)&gt;1,"Repeat","New")</f>
        <v>New</v>
      </c>
      <c r="O5" s="2" t="e">
        <f t="shared" ca="1" si="5"/>
        <v>#VALUE!</v>
      </c>
      <c r="P5" s="3" t="e">
        <f t="shared" ca="1" si="6"/>
        <v>#VALUE!</v>
      </c>
      <c r="Q5" t="str">
        <f t="shared" si="7"/>
        <v>Jan-00</v>
      </c>
      <c r="R5" t="str">
        <f t="shared" si="8"/>
        <v>Q1</v>
      </c>
      <c r="S5">
        <f t="shared" si="9"/>
        <v>1900</v>
      </c>
      <c r="T5" t="str">
        <f t="shared" si="10"/>
        <v>Retail</v>
      </c>
    </row>
    <row r="6" spans="1:20" x14ac:dyDescent="0.3">
      <c r="H6">
        <f t="shared" si="11"/>
        <v>0</v>
      </c>
      <c r="I6">
        <f t="shared" si="0"/>
        <v>0</v>
      </c>
      <c r="J6">
        <f t="shared" si="1"/>
        <v>0</v>
      </c>
      <c r="K6" t="str">
        <f t="shared" si="2"/>
        <v>January</v>
      </c>
      <c r="L6" t="str">
        <f t="shared" si="3"/>
        <v>Q1</v>
      </c>
      <c r="M6" s="2">
        <f t="shared" si="4"/>
        <v>1900</v>
      </c>
      <c r="N6" t="str">
        <f ca="1">IF(COUNTIFS(A$2:A6,A6,O$2:O6,O6)&gt;1,"Repeat","New")</f>
        <v>New</v>
      </c>
      <c r="O6" s="2" t="e">
        <f t="shared" ca="1" si="5"/>
        <v>#VALUE!</v>
      </c>
      <c r="P6" s="3" t="e">
        <f t="shared" ca="1" si="6"/>
        <v>#VALUE!</v>
      </c>
      <c r="Q6" t="str">
        <f t="shared" si="7"/>
        <v>Jan-00</v>
      </c>
      <c r="R6" t="str">
        <f t="shared" si="8"/>
        <v>Q1</v>
      </c>
      <c r="S6">
        <f t="shared" si="9"/>
        <v>1900</v>
      </c>
      <c r="T6" t="str">
        <f t="shared" si="10"/>
        <v>Retail</v>
      </c>
    </row>
    <row r="7" spans="1:20" x14ac:dyDescent="0.3">
      <c r="H7">
        <f t="shared" si="11"/>
        <v>0</v>
      </c>
      <c r="I7">
        <f t="shared" si="0"/>
        <v>0</v>
      </c>
      <c r="J7">
        <f t="shared" si="1"/>
        <v>0</v>
      </c>
      <c r="K7" t="str">
        <f t="shared" si="2"/>
        <v>January</v>
      </c>
      <c r="L7" t="str">
        <f t="shared" si="3"/>
        <v>Q1</v>
      </c>
      <c r="M7" s="2">
        <f t="shared" si="4"/>
        <v>1900</v>
      </c>
      <c r="N7" t="str">
        <f ca="1">IF(COUNTIFS(A$2:A7,A7,O$2:O7,O7)&gt;1,"Repeat","New")</f>
        <v>New</v>
      </c>
      <c r="O7" s="2" t="e">
        <f t="shared" ca="1" si="5"/>
        <v>#VALUE!</v>
      </c>
      <c r="P7" s="3" t="e">
        <f t="shared" ca="1" si="6"/>
        <v>#VALUE!</v>
      </c>
      <c r="Q7" t="str">
        <f t="shared" si="7"/>
        <v>Jan-00</v>
      </c>
      <c r="R7" t="str">
        <f t="shared" si="8"/>
        <v>Q1</v>
      </c>
      <c r="S7">
        <f t="shared" si="9"/>
        <v>1900</v>
      </c>
      <c r="T7" t="str">
        <f t="shared" si="10"/>
        <v>Retail</v>
      </c>
    </row>
    <row r="8" spans="1:20" x14ac:dyDescent="0.3">
      <c r="H8">
        <f t="shared" si="11"/>
        <v>0</v>
      </c>
      <c r="I8">
        <f t="shared" si="0"/>
        <v>0</v>
      </c>
      <c r="J8">
        <f t="shared" si="1"/>
        <v>0</v>
      </c>
      <c r="K8" t="str">
        <f t="shared" si="2"/>
        <v>January</v>
      </c>
      <c r="L8" t="str">
        <f t="shared" si="3"/>
        <v>Q1</v>
      </c>
      <c r="M8" s="2">
        <f t="shared" si="4"/>
        <v>1900</v>
      </c>
      <c r="N8" t="str">
        <f ca="1">IF(COUNTIFS(A$2:A8,A8,O$2:O8,O8)&gt;1,"Repeat","New")</f>
        <v>New</v>
      </c>
      <c r="O8" s="2" t="e">
        <f t="shared" ca="1" si="5"/>
        <v>#VALUE!</v>
      </c>
      <c r="P8" s="3" t="e">
        <f t="shared" ca="1" si="6"/>
        <v>#VALUE!</v>
      </c>
      <c r="Q8" t="str">
        <f t="shared" si="7"/>
        <v>Jan-00</v>
      </c>
      <c r="R8" t="str">
        <f t="shared" si="8"/>
        <v>Q1</v>
      </c>
      <c r="S8">
        <f t="shared" si="9"/>
        <v>1900</v>
      </c>
      <c r="T8" t="str">
        <f t="shared" si="10"/>
        <v>Retail</v>
      </c>
    </row>
    <row r="9" spans="1:20" x14ac:dyDescent="0.3">
      <c r="H9">
        <f t="shared" si="11"/>
        <v>0</v>
      </c>
      <c r="I9">
        <f t="shared" si="0"/>
        <v>0</v>
      </c>
      <c r="J9">
        <f t="shared" si="1"/>
        <v>0</v>
      </c>
      <c r="K9" t="str">
        <f t="shared" si="2"/>
        <v>January</v>
      </c>
      <c r="L9" t="str">
        <f t="shared" si="3"/>
        <v>Q1</v>
      </c>
      <c r="M9" s="2">
        <f t="shared" si="4"/>
        <v>1900</v>
      </c>
      <c r="N9" t="str">
        <f ca="1">IF(COUNTIFS(A$2:A9,A9,O$2:O9,O9)&gt;1,"Repeat","New")</f>
        <v>New</v>
      </c>
      <c r="O9" s="2" t="e">
        <f t="shared" ca="1" si="5"/>
        <v>#VALUE!</v>
      </c>
      <c r="P9" s="3" t="e">
        <f t="shared" ca="1" si="6"/>
        <v>#VALUE!</v>
      </c>
      <c r="Q9" t="str">
        <f t="shared" si="7"/>
        <v>Jan-00</v>
      </c>
      <c r="R9" t="str">
        <f t="shared" si="8"/>
        <v>Q1</v>
      </c>
      <c r="S9">
        <f t="shared" si="9"/>
        <v>1900</v>
      </c>
      <c r="T9" t="str">
        <f t="shared" si="10"/>
        <v>Retail</v>
      </c>
    </row>
    <row r="10" spans="1:20" x14ac:dyDescent="0.3">
      <c r="H10">
        <f t="shared" si="11"/>
        <v>0</v>
      </c>
      <c r="I10">
        <f t="shared" si="0"/>
        <v>0</v>
      </c>
      <c r="J10">
        <f t="shared" si="1"/>
        <v>0</v>
      </c>
      <c r="K10" t="str">
        <f t="shared" si="2"/>
        <v>January</v>
      </c>
      <c r="L10" t="str">
        <f t="shared" si="3"/>
        <v>Q1</v>
      </c>
      <c r="M10" s="2">
        <f t="shared" si="4"/>
        <v>1900</v>
      </c>
      <c r="N10" t="str">
        <f ca="1">IF(COUNTIFS(A$2:A10,A10,O$2:O10,O10)&gt;1,"Repeat","New")</f>
        <v>New</v>
      </c>
      <c r="O10" s="2" t="e">
        <f t="shared" ca="1" si="5"/>
        <v>#VALUE!</v>
      </c>
      <c r="P10" s="3" t="e">
        <f t="shared" ca="1" si="6"/>
        <v>#VALUE!</v>
      </c>
      <c r="Q10" t="str">
        <f t="shared" si="7"/>
        <v>Jan-00</v>
      </c>
      <c r="R10" t="str">
        <f t="shared" si="8"/>
        <v>Q1</v>
      </c>
      <c r="S10">
        <f t="shared" si="9"/>
        <v>1900</v>
      </c>
      <c r="T10" t="str">
        <f t="shared" si="10"/>
        <v>Retail</v>
      </c>
    </row>
    <row r="11" spans="1:20" x14ac:dyDescent="0.3">
      <c r="H11">
        <f t="shared" si="11"/>
        <v>0</v>
      </c>
      <c r="I11">
        <f t="shared" si="0"/>
        <v>0</v>
      </c>
      <c r="J11">
        <f t="shared" si="1"/>
        <v>0</v>
      </c>
      <c r="K11" t="str">
        <f t="shared" si="2"/>
        <v>January</v>
      </c>
      <c r="L11" t="str">
        <f t="shared" si="3"/>
        <v>Q1</v>
      </c>
      <c r="M11" s="2">
        <f t="shared" si="4"/>
        <v>1900</v>
      </c>
      <c r="N11" t="str">
        <f ca="1">IF(COUNTIFS(A$2:A11,A11,O$2:O11,O11)&gt;1,"Repeat","New")</f>
        <v>New</v>
      </c>
      <c r="O11" s="2" t="e">
        <f t="shared" ca="1" si="5"/>
        <v>#VALUE!</v>
      </c>
      <c r="P11" s="3" t="e">
        <f t="shared" ca="1" si="6"/>
        <v>#VALUE!</v>
      </c>
      <c r="Q11" t="str">
        <f t="shared" si="7"/>
        <v>Jan-00</v>
      </c>
      <c r="R11" t="str">
        <f t="shared" si="8"/>
        <v>Q1</v>
      </c>
      <c r="S11">
        <f t="shared" si="9"/>
        <v>1900</v>
      </c>
      <c r="T11" t="str">
        <f t="shared" si="10"/>
        <v>Retail</v>
      </c>
    </row>
    <row r="12" spans="1:20" x14ac:dyDescent="0.3">
      <c r="H12">
        <f t="shared" si="11"/>
        <v>0</v>
      </c>
      <c r="I12">
        <f t="shared" si="0"/>
        <v>0</v>
      </c>
      <c r="J12">
        <f t="shared" si="1"/>
        <v>0</v>
      </c>
      <c r="K12" t="str">
        <f t="shared" si="2"/>
        <v>January</v>
      </c>
      <c r="L12" t="str">
        <f t="shared" si="3"/>
        <v>Q1</v>
      </c>
      <c r="M12" s="2">
        <f t="shared" si="4"/>
        <v>1900</v>
      </c>
      <c r="N12" t="str">
        <f ca="1">IF(COUNTIFS(A$2:A12,A12,O$2:O12,O12)&gt;1,"Repeat","New")</f>
        <v>New</v>
      </c>
      <c r="O12" s="2" t="e">
        <f t="shared" ca="1" si="5"/>
        <v>#VALUE!</v>
      </c>
      <c r="P12" s="3" t="e">
        <f t="shared" ca="1" si="6"/>
        <v>#VALUE!</v>
      </c>
      <c r="Q12" t="str">
        <f t="shared" si="7"/>
        <v>Jan-00</v>
      </c>
      <c r="R12" t="str">
        <f t="shared" si="8"/>
        <v>Q1</v>
      </c>
      <c r="S12">
        <f t="shared" si="9"/>
        <v>1900</v>
      </c>
      <c r="T12" t="str">
        <f t="shared" si="10"/>
        <v>Retail</v>
      </c>
    </row>
    <row r="13" spans="1:20" x14ac:dyDescent="0.3">
      <c r="H13">
        <f t="shared" si="11"/>
        <v>0</v>
      </c>
      <c r="I13">
        <f t="shared" si="0"/>
        <v>0</v>
      </c>
      <c r="J13">
        <f t="shared" si="1"/>
        <v>0</v>
      </c>
      <c r="K13" t="str">
        <f t="shared" si="2"/>
        <v>January</v>
      </c>
      <c r="L13" t="str">
        <f t="shared" si="3"/>
        <v>Q1</v>
      </c>
      <c r="M13" s="2">
        <f t="shared" si="4"/>
        <v>1900</v>
      </c>
      <c r="N13" t="str">
        <f ca="1">IF(COUNTIFS(A$2:A13,A13,O$2:O13,O13)&gt;1,"Repeat","New")</f>
        <v>New</v>
      </c>
      <c r="O13" s="2" t="e">
        <f t="shared" ca="1" si="5"/>
        <v>#VALUE!</v>
      </c>
      <c r="P13" s="3" t="e">
        <f t="shared" ca="1" si="6"/>
        <v>#VALUE!</v>
      </c>
      <c r="Q13" t="str">
        <f t="shared" si="7"/>
        <v>Jan-00</v>
      </c>
      <c r="R13" t="str">
        <f t="shared" si="8"/>
        <v>Q1</v>
      </c>
      <c r="S13">
        <f t="shared" si="9"/>
        <v>1900</v>
      </c>
      <c r="T13" t="str">
        <f t="shared" si="10"/>
        <v>Retail</v>
      </c>
    </row>
    <row r="14" spans="1:20" x14ac:dyDescent="0.3">
      <c r="H14">
        <f t="shared" si="11"/>
        <v>0</v>
      </c>
      <c r="I14">
        <f t="shared" si="0"/>
        <v>0</v>
      </c>
      <c r="J14">
        <f t="shared" si="1"/>
        <v>0</v>
      </c>
      <c r="K14" t="str">
        <f t="shared" si="2"/>
        <v>January</v>
      </c>
      <c r="L14" t="str">
        <f t="shared" si="3"/>
        <v>Q1</v>
      </c>
      <c r="M14" s="2">
        <f t="shared" si="4"/>
        <v>1900</v>
      </c>
      <c r="N14" t="str">
        <f ca="1">IF(COUNTIFS(A$2:A14,A14,O$2:O14,O14)&gt;1,"Repeat","New")</f>
        <v>New</v>
      </c>
      <c r="O14" s="2" t="e">
        <f t="shared" ca="1" si="5"/>
        <v>#VALUE!</v>
      </c>
      <c r="P14" s="3" t="e">
        <f t="shared" ca="1" si="6"/>
        <v>#VALUE!</v>
      </c>
      <c r="Q14" t="str">
        <f t="shared" si="7"/>
        <v>Jan-00</v>
      </c>
      <c r="R14" t="str">
        <f t="shared" si="8"/>
        <v>Q1</v>
      </c>
      <c r="S14">
        <f t="shared" si="9"/>
        <v>1900</v>
      </c>
      <c r="T14" t="str">
        <f t="shared" si="10"/>
        <v>Retail</v>
      </c>
    </row>
    <row r="15" spans="1:20" x14ac:dyDescent="0.3">
      <c r="H15">
        <f t="shared" si="11"/>
        <v>0</v>
      </c>
      <c r="I15">
        <f t="shared" si="0"/>
        <v>0</v>
      </c>
      <c r="J15">
        <f t="shared" si="1"/>
        <v>0</v>
      </c>
      <c r="K15" t="str">
        <f t="shared" si="2"/>
        <v>January</v>
      </c>
      <c r="L15" t="str">
        <f t="shared" si="3"/>
        <v>Q1</v>
      </c>
      <c r="M15" s="2">
        <f t="shared" si="4"/>
        <v>1900</v>
      </c>
      <c r="N15" t="str">
        <f ca="1">IF(COUNTIFS(A$2:A15,A15,O$2:O15,O15)&gt;1,"Repeat","New")</f>
        <v>New</v>
      </c>
      <c r="O15" s="2" t="e">
        <f t="shared" ca="1" si="5"/>
        <v>#VALUE!</v>
      </c>
      <c r="P15" s="3" t="e">
        <f t="shared" ca="1" si="6"/>
        <v>#VALUE!</v>
      </c>
      <c r="Q15" t="str">
        <f t="shared" si="7"/>
        <v>Jan-00</v>
      </c>
      <c r="R15" t="str">
        <f t="shared" si="8"/>
        <v>Q1</v>
      </c>
      <c r="S15">
        <f t="shared" si="9"/>
        <v>1900</v>
      </c>
      <c r="T15" t="str">
        <f t="shared" si="10"/>
        <v>Retail</v>
      </c>
    </row>
    <row r="16" spans="1:20" x14ac:dyDescent="0.3">
      <c r="H16">
        <f t="shared" si="11"/>
        <v>0</v>
      </c>
      <c r="I16">
        <f t="shared" si="0"/>
        <v>0</v>
      </c>
      <c r="J16">
        <f t="shared" si="1"/>
        <v>0</v>
      </c>
      <c r="K16" t="str">
        <f t="shared" si="2"/>
        <v>January</v>
      </c>
      <c r="L16" t="str">
        <f t="shared" si="3"/>
        <v>Q1</v>
      </c>
      <c r="M16" s="2">
        <f t="shared" si="4"/>
        <v>1900</v>
      </c>
      <c r="N16" t="str">
        <f ca="1">IF(COUNTIFS(A$2:A16,A16,O$2:O16,O16)&gt;1,"Repeat","New")</f>
        <v>New</v>
      </c>
      <c r="O16" s="2" t="e">
        <f t="shared" ca="1" si="5"/>
        <v>#VALUE!</v>
      </c>
      <c r="P16" s="3" t="e">
        <f t="shared" ca="1" si="6"/>
        <v>#VALUE!</v>
      </c>
      <c r="Q16" t="str">
        <f t="shared" si="7"/>
        <v>Jan-00</v>
      </c>
      <c r="R16" t="str">
        <f t="shared" si="8"/>
        <v>Q1</v>
      </c>
      <c r="S16">
        <f t="shared" si="9"/>
        <v>1900</v>
      </c>
      <c r="T16" t="str">
        <f t="shared" si="10"/>
        <v>Retail</v>
      </c>
    </row>
    <row r="17" spans="8:20" x14ac:dyDescent="0.3">
      <c r="H17">
        <f t="shared" si="11"/>
        <v>0</v>
      </c>
      <c r="I17">
        <f t="shared" si="0"/>
        <v>0</v>
      </c>
      <c r="J17">
        <f t="shared" si="1"/>
        <v>0</v>
      </c>
      <c r="K17" t="str">
        <f t="shared" si="2"/>
        <v>January</v>
      </c>
      <c r="L17" t="str">
        <f t="shared" si="3"/>
        <v>Q1</v>
      </c>
      <c r="M17" s="2">
        <f t="shared" si="4"/>
        <v>1900</v>
      </c>
      <c r="N17" t="str">
        <f ca="1">IF(COUNTIFS(A$2:A17,A17,O$2:O17,O17)&gt;1,"Repeat","New")</f>
        <v>New</v>
      </c>
      <c r="O17" s="2" t="e">
        <f t="shared" ca="1" si="5"/>
        <v>#VALUE!</v>
      </c>
      <c r="P17" s="3" t="e">
        <f t="shared" ca="1" si="6"/>
        <v>#VALUE!</v>
      </c>
      <c r="Q17" t="str">
        <f t="shared" si="7"/>
        <v>Jan-00</v>
      </c>
      <c r="R17" t="str">
        <f t="shared" si="8"/>
        <v>Q1</v>
      </c>
      <c r="S17">
        <f t="shared" si="9"/>
        <v>1900</v>
      </c>
      <c r="T17" t="str">
        <f t="shared" si="10"/>
        <v>Retail</v>
      </c>
    </row>
    <row r="18" spans="8:20" x14ac:dyDescent="0.3">
      <c r="H18">
        <f t="shared" si="11"/>
        <v>0</v>
      </c>
      <c r="I18">
        <f t="shared" si="0"/>
        <v>0</v>
      </c>
      <c r="J18">
        <f t="shared" si="1"/>
        <v>0</v>
      </c>
      <c r="K18" t="str">
        <f t="shared" si="2"/>
        <v>January</v>
      </c>
      <c r="L18" t="str">
        <f t="shared" si="3"/>
        <v>Q1</v>
      </c>
      <c r="M18" s="2">
        <f t="shared" si="4"/>
        <v>1900</v>
      </c>
      <c r="N18" t="str">
        <f ca="1">IF(COUNTIFS(A$2:A18,A18,O$2:O18,O18)&gt;1,"Repeat","New")</f>
        <v>New</v>
      </c>
      <c r="O18" s="2" t="e">
        <f t="shared" ca="1" si="5"/>
        <v>#VALUE!</v>
      </c>
      <c r="P18" s="3" t="e">
        <f t="shared" ca="1" si="6"/>
        <v>#VALUE!</v>
      </c>
      <c r="Q18" t="str">
        <f t="shared" si="7"/>
        <v>Jan-00</v>
      </c>
      <c r="R18" t="str">
        <f t="shared" si="8"/>
        <v>Q1</v>
      </c>
      <c r="S18">
        <f t="shared" si="9"/>
        <v>1900</v>
      </c>
      <c r="T18" t="str">
        <f t="shared" si="10"/>
        <v>Retail</v>
      </c>
    </row>
    <row r="19" spans="8:20" x14ac:dyDescent="0.3">
      <c r="H19">
        <f t="shared" si="11"/>
        <v>0</v>
      </c>
      <c r="I19">
        <f t="shared" si="0"/>
        <v>0</v>
      </c>
      <c r="J19">
        <f t="shared" si="1"/>
        <v>0</v>
      </c>
      <c r="K19" t="str">
        <f t="shared" si="2"/>
        <v>January</v>
      </c>
      <c r="L19" t="str">
        <f t="shared" si="3"/>
        <v>Q1</v>
      </c>
      <c r="M19" s="2">
        <f t="shared" si="4"/>
        <v>1900</v>
      </c>
      <c r="N19" t="str">
        <f ca="1">IF(COUNTIFS(A$2:A19,A19,O$2:O19,O19)&gt;1,"Repeat","New")</f>
        <v>New</v>
      </c>
      <c r="O19" s="2" t="e">
        <f t="shared" ca="1" si="5"/>
        <v>#VALUE!</v>
      </c>
      <c r="P19" s="3" t="e">
        <f t="shared" ca="1" si="6"/>
        <v>#VALUE!</v>
      </c>
      <c r="Q19" t="str">
        <f t="shared" si="7"/>
        <v>Jan-00</v>
      </c>
      <c r="R19" t="str">
        <f t="shared" si="8"/>
        <v>Q1</v>
      </c>
      <c r="S19">
        <f t="shared" si="9"/>
        <v>1900</v>
      </c>
      <c r="T19" t="str">
        <f t="shared" si="10"/>
        <v>Retail</v>
      </c>
    </row>
    <row r="20" spans="8:20" x14ac:dyDescent="0.3">
      <c r="H20">
        <f t="shared" si="11"/>
        <v>0</v>
      </c>
      <c r="I20">
        <f t="shared" si="0"/>
        <v>0</v>
      </c>
      <c r="J20">
        <f t="shared" si="1"/>
        <v>0</v>
      </c>
      <c r="K20" t="str">
        <f t="shared" si="2"/>
        <v>January</v>
      </c>
      <c r="L20" t="str">
        <f t="shared" si="3"/>
        <v>Q1</v>
      </c>
      <c r="M20" s="2">
        <f t="shared" si="4"/>
        <v>1900</v>
      </c>
      <c r="N20" t="str">
        <f ca="1">IF(COUNTIFS(A$2:A20,A20,O$2:O20,O20)&gt;1,"Repeat","New")</f>
        <v>New</v>
      </c>
      <c r="O20" s="2" t="e">
        <f t="shared" ca="1" si="5"/>
        <v>#VALUE!</v>
      </c>
      <c r="P20" s="3" t="e">
        <f t="shared" ca="1" si="6"/>
        <v>#VALUE!</v>
      </c>
      <c r="Q20" t="str">
        <f t="shared" si="7"/>
        <v>Jan-00</v>
      </c>
      <c r="R20" t="str">
        <f t="shared" si="8"/>
        <v>Q1</v>
      </c>
      <c r="S20">
        <f t="shared" si="9"/>
        <v>1900</v>
      </c>
      <c r="T20" t="str">
        <f t="shared" si="10"/>
        <v>Retail</v>
      </c>
    </row>
    <row r="21" spans="8:20" x14ac:dyDescent="0.3">
      <c r="H21">
        <f t="shared" si="11"/>
        <v>0</v>
      </c>
      <c r="I21">
        <f t="shared" si="0"/>
        <v>0</v>
      </c>
      <c r="J21">
        <f t="shared" si="1"/>
        <v>0</v>
      </c>
      <c r="K21" t="str">
        <f t="shared" si="2"/>
        <v>January</v>
      </c>
      <c r="L21" t="str">
        <f t="shared" si="3"/>
        <v>Q1</v>
      </c>
      <c r="M21" s="2">
        <f t="shared" si="4"/>
        <v>1900</v>
      </c>
      <c r="N21" t="str">
        <f ca="1">IF(COUNTIFS(A$2:A21,A21,O$2:O21,O21)&gt;1,"Repeat","New")</f>
        <v>New</v>
      </c>
      <c r="O21" s="2" t="e">
        <f t="shared" ca="1" si="5"/>
        <v>#VALUE!</v>
      </c>
      <c r="P21" s="3" t="e">
        <f t="shared" ca="1" si="6"/>
        <v>#VALUE!</v>
      </c>
      <c r="Q21" t="str">
        <f t="shared" si="7"/>
        <v>Jan-00</v>
      </c>
      <c r="R21" t="str">
        <f t="shared" si="8"/>
        <v>Q1</v>
      </c>
      <c r="S21">
        <f t="shared" si="9"/>
        <v>1900</v>
      </c>
      <c r="T21" t="str">
        <f t="shared" si="10"/>
        <v>Retail</v>
      </c>
    </row>
    <row r="22" spans="8:20" x14ac:dyDescent="0.3">
      <c r="H22">
        <f t="shared" si="11"/>
        <v>0</v>
      </c>
      <c r="I22">
        <f t="shared" si="0"/>
        <v>0</v>
      </c>
      <c r="J22">
        <f t="shared" si="1"/>
        <v>0</v>
      </c>
      <c r="K22" t="str">
        <f t="shared" si="2"/>
        <v>January</v>
      </c>
      <c r="L22" t="str">
        <f t="shared" si="3"/>
        <v>Q1</v>
      </c>
      <c r="M22" s="2">
        <f t="shared" si="4"/>
        <v>1900</v>
      </c>
      <c r="N22" t="str">
        <f ca="1">IF(COUNTIFS(A$2:A22,A22,O$2:O22,O22)&gt;1,"Repeat","New")</f>
        <v>New</v>
      </c>
      <c r="O22" s="2" t="e">
        <f t="shared" ca="1" si="5"/>
        <v>#VALUE!</v>
      </c>
      <c r="P22" s="3" t="e">
        <f t="shared" ca="1" si="6"/>
        <v>#VALUE!</v>
      </c>
      <c r="Q22" t="str">
        <f t="shared" si="7"/>
        <v>Jan-00</v>
      </c>
      <c r="R22" t="str">
        <f t="shared" si="8"/>
        <v>Q1</v>
      </c>
      <c r="S22">
        <f t="shared" si="9"/>
        <v>1900</v>
      </c>
      <c r="T22" t="str">
        <f t="shared" si="10"/>
        <v>Retail</v>
      </c>
    </row>
    <row r="23" spans="8:20" x14ac:dyDescent="0.3">
      <c r="H23">
        <f t="shared" si="11"/>
        <v>0</v>
      </c>
      <c r="I23">
        <f t="shared" si="0"/>
        <v>0</v>
      </c>
      <c r="J23">
        <f t="shared" si="1"/>
        <v>0</v>
      </c>
      <c r="K23" t="str">
        <f t="shared" si="2"/>
        <v>January</v>
      </c>
      <c r="L23" t="str">
        <f t="shared" si="3"/>
        <v>Q1</v>
      </c>
      <c r="M23" s="2">
        <f t="shared" si="4"/>
        <v>1900</v>
      </c>
      <c r="N23" t="str">
        <f ca="1">IF(COUNTIFS(A$2:A23,A23,O$2:O23,O23)&gt;1,"Repeat","New")</f>
        <v>New</v>
      </c>
      <c r="O23" s="2" t="e">
        <f t="shared" ca="1" si="5"/>
        <v>#VALUE!</v>
      </c>
      <c r="P23" s="3" t="e">
        <f t="shared" ca="1" si="6"/>
        <v>#VALUE!</v>
      </c>
      <c r="Q23" t="str">
        <f t="shared" si="7"/>
        <v>Jan-00</v>
      </c>
      <c r="R23" t="str">
        <f t="shared" si="8"/>
        <v>Q1</v>
      </c>
      <c r="S23">
        <f t="shared" si="9"/>
        <v>1900</v>
      </c>
      <c r="T23" t="str">
        <f t="shared" si="10"/>
        <v>Retail</v>
      </c>
    </row>
    <row r="24" spans="8:20" x14ac:dyDescent="0.3">
      <c r="H24">
        <f t="shared" si="11"/>
        <v>0</v>
      </c>
      <c r="I24">
        <f t="shared" si="0"/>
        <v>0</v>
      </c>
      <c r="J24">
        <f t="shared" si="1"/>
        <v>0</v>
      </c>
      <c r="K24" t="str">
        <f t="shared" si="2"/>
        <v>January</v>
      </c>
      <c r="L24" t="str">
        <f t="shared" si="3"/>
        <v>Q1</v>
      </c>
      <c r="M24" s="2">
        <f t="shared" si="4"/>
        <v>1900</v>
      </c>
      <c r="N24" t="str">
        <f ca="1">IF(COUNTIFS(A$2:A24,A24,O$2:O24,O24)&gt;1,"Repeat","New")</f>
        <v>New</v>
      </c>
      <c r="O24" s="2" t="e">
        <f t="shared" ca="1" si="5"/>
        <v>#VALUE!</v>
      </c>
      <c r="P24" s="3" t="e">
        <f t="shared" ca="1" si="6"/>
        <v>#VALUE!</v>
      </c>
      <c r="Q24" t="str">
        <f t="shared" si="7"/>
        <v>Jan-00</v>
      </c>
      <c r="R24" t="str">
        <f t="shared" si="8"/>
        <v>Q1</v>
      </c>
      <c r="S24">
        <f t="shared" si="9"/>
        <v>1900</v>
      </c>
      <c r="T24" t="str">
        <f t="shared" si="10"/>
        <v>Retail</v>
      </c>
    </row>
    <row r="25" spans="8:20" x14ac:dyDescent="0.3">
      <c r="H25">
        <f t="shared" si="11"/>
        <v>0</v>
      </c>
      <c r="I25">
        <f t="shared" si="0"/>
        <v>0</v>
      </c>
      <c r="J25">
        <f t="shared" si="1"/>
        <v>0</v>
      </c>
      <c r="K25" t="str">
        <f t="shared" si="2"/>
        <v>January</v>
      </c>
      <c r="L25" t="str">
        <f t="shared" si="3"/>
        <v>Q1</v>
      </c>
      <c r="M25" s="2">
        <f t="shared" si="4"/>
        <v>1900</v>
      </c>
      <c r="N25" t="str">
        <f ca="1">IF(COUNTIFS(A$2:A25,A25,O$2:O25,O25)&gt;1,"Repeat","New")</f>
        <v>New</v>
      </c>
      <c r="O25" s="2" t="e">
        <f t="shared" ca="1" si="5"/>
        <v>#VALUE!</v>
      </c>
      <c r="P25" s="3" t="e">
        <f t="shared" ca="1" si="6"/>
        <v>#VALUE!</v>
      </c>
      <c r="Q25" t="str">
        <f t="shared" si="7"/>
        <v>Jan-00</v>
      </c>
      <c r="R25" t="str">
        <f t="shared" si="8"/>
        <v>Q1</v>
      </c>
      <c r="S25">
        <f t="shared" si="9"/>
        <v>1900</v>
      </c>
      <c r="T25" t="str">
        <f t="shared" si="10"/>
        <v>Retail</v>
      </c>
    </row>
    <row r="26" spans="8:20" x14ac:dyDescent="0.3">
      <c r="H26">
        <f t="shared" si="11"/>
        <v>0</v>
      </c>
      <c r="I26">
        <f t="shared" si="0"/>
        <v>0</v>
      </c>
      <c r="J26">
        <f t="shared" si="1"/>
        <v>0</v>
      </c>
      <c r="K26" t="str">
        <f t="shared" si="2"/>
        <v>January</v>
      </c>
      <c r="L26" t="str">
        <f t="shared" si="3"/>
        <v>Q1</v>
      </c>
      <c r="M26" s="2">
        <f t="shared" si="4"/>
        <v>1900</v>
      </c>
      <c r="N26" t="str">
        <f ca="1">IF(COUNTIFS(A$2:A26,A26,O$2:O26,O26)&gt;1,"Repeat","New")</f>
        <v>New</v>
      </c>
      <c r="O26" s="2" t="e">
        <f t="shared" ca="1" si="5"/>
        <v>#VALUE!</v>
      </c>
      <c r="P26" s="3" t="e">
        <f t="shared" ca="1" si="6"/>
        <v>#VALUE!</v>
      </c>
      <c r="Q26" t="str">
        <f t="shared" si="7"/>
        <v>Jan-00</v>
      </c>
      <c r="R26" t="str">
        <f t="shared" si="8"/>
        <v>Q1</v>
      </c>
      <c r="S26">
        <f t="shared" si="9"/>
        <v>1900</v>
      </c>
      <c r="T26" t="str">
        <f t="shared" si="10"/>
        <v>Retail</v>
      </c>
    </row>
    <row r="27" spans="8:20" x14ac:dyDescent="0.3">
      <c r="H27">
        <f t="shared" si="11"/>
        <v>0</v>
      </c>
      <c r="I27">
        <f t="shared" si="0"/>
        <v>0</v>
      </c>
      <c r="J27">
        <f t="shared" si="1"/>
        <v>0</v>
      </c>
      <c r="K27" t="str">
        <f t="shared" si="2"/>
        <v>January</v>
      </c>
      <c r="L27" t="str">
        <f t="shared" si="3"/>
        <v>Q1</v>
      </c>
      <c r="M27" s="2">
        <f t="shared" si="4"/>
        <v>1900</v>
      </c>
      <c r="N27" t="str">
        <f ca="1">IF(COUNTIFS(A$2:A27,A27,O$2:O27,O27)&gt;1,"Repeat","New")</f>
        <v>New</v>
      </c>
      <c r="O27" s="2" t="e">
        <f t="shared" ca="1" si="5"/>
        <v>#VALUE!</v>
      </c>
      <c r="P27" s="3" t="e">
        <f t="shared" ca="1" si="6"/>
        <v>#VALUE!</v>
      </c>
      <c r="Q27" t="str">
        <f t="shared" si="7"/>
        <v>Jan-00</v>
      </c>
      <c r="R27" t="str">
        <f t="shared" si="8"/>
        <v>Q1</v>
      </c>
      <c r="S27">
        <f t="shared" si="9"/>
        <v>1900</v>
      </c>
      <c r="T27" t="str">
        <f t="shared" si="10"/>
        <v>Retail</v>
      </c>
    </row>
    <row r="28" spans="8:20" x14ac:dyDescent="0.3">
      <c r="H28">
        <f t="shared" si="11"/>
        <v>0</v>
      </c>
      <c r="I28">
        <f t="shared" si="0"/>
        <v>0</v>
      </c>
      <c r="J28">
        <f t="shared" si="1"/>
        <v>0</v>
      </c>
      <c r="K28" t="str">
        <f t="shared" si="2"/>
        <v>January</v>
      </c>
      <c r="L28" t="str">
        <f t="shared" si="3"/>
        <v>Q1</v>
      </c>
      <c r="M28" s="2">
        <f t="shared" si="4"/>
        <v>1900</v>
      </c>
      <c r="N28" t="str">
        <f ca="1">IF(COUNTIFS(A$2:A28,A28,O$2:O28,O28)&gt;1,"Repeat","New")</f>
        <v>New</v>
      </c>
      <c r="O28" s="2" t="e">
        <f t="shared" ca="1" si="5"/>
        <v>#VALUE!</v>
      </c>
      <c r="P28" s="3" t="e">
        <f t="shared" ca="1" si="6"/>
        <v>#VALUE!</v>
      </c>
      <c r="Q28" t="str">
        <f t="shared" si="7"/>
        <v>Jan-00</v>
      </c>
      <c r="R28" t="str">
        <f t="shared" si="8"/>
        <v>Q1</v>
      </c>
      <c r="S28">
        <f t="shared" si="9"/>
        <v>1900</v>
      </c>
      <c r="T28" t="str">
        <f t="shared" si="10"/>
        <v>Retail</v>
      </c>
    </row>
    <row r="29" spans="8:20" x14ac:dyDescent="0.3">
      <c r="H29">
        <f t="shared" si="11"/>
        <v>0</v>
      </c>
      <c r="I29">
        <f t="shared" si="0"/>
        <v>0</v>
      </c>
      <c r="J29">
        <f t="shared" si="1"/>
        <v>0</v>
      </c>
      <c r="K29" t="str">
        <f t="shared" si="2"/>
        <v>January</v>
      </c>
      <c r="L29" t="str">
        <f t="shared" si="3"/>
        <v>Q1</v>
      </c>
      <c r="M29" s="2">
        <f t="shared" si="4"/>
        <v>1900</v>
      </c>
      <c r="N29" t="str">
        <f ca="1">IF(COUNTIFS(A$2:A29,A29,O$2:O29,O29)&gt;1,"Repeat","New")</f>
        <v>New</v>
      </c>
      <c r="O29" s="2" t="e">
        <f t="shared" ca="1" si="5"/>
        <v>#VALUE!</v>
      </c>
      <c r="P29" s="3" t="e">
        <f t="shared" ca="1" si="6"/>
        <v>#VALUE!</v>
      </c>
      <c r="Q29" t="str">
        <f t="shared" si="7"/>
        <v>Jan-00</v>
      </c>
      <c r="R29" t="str">
        <f t="shared" si="8"/>
        <v>Q1</v>
      </c>
      <c r="S29">
        <f t="shared" si="9"/>
        <v>1900</v>
      </c>
      <c r="T29" t="str">
        <f t="shared" si="10"/>
        <v>Retail</v>
      </c>
    </row>
    <row r="30" spans="8:20" x14ac:dyDescent="0.3">
      <c r="H30">
        <f t="shared" si="11"/>
        <v>0</v>
      </c>
      <c r="I30">
        <f t="shared" si="0"/>
        <v>0</v>
      </c>
      <c r="J30">
        <f t="shared" si="1"/>
        <v>0</v>
      </c>
      <c r="K30" t="str">
        <f t="shared" si="2"/>
        <v>January</v>
      </c>
      <c r="L30" t="str">
        <f t="shared" si="3"/>
        <v>Q1</v>
      </c>
      <c r="M30" s="2">
        <f t="shared" si="4"/>
        <v>1900</v>
      </c>
      <c r="N30" t="str">
        <f ca="1">IF(COUNTIFS(A$2:A30,A30,O$2:O30,O30)&gt;1,"Repeat","New")</f>
        <v>New</v>
      </c>
      <c r="O30" s="2" t="e">
        <f t="shared" ca="1" si="5"/>
        <v>#VALUE!</v>
      </c>
      <c r="P30" s="3" t="e">
        <f t="shared" ca="1" si="6"/>
        <v>#VALUE!</v>
      </c>
      <c r="Q30" t="str">
        <f t="shared" si="7"/>
        <v>Jan-00</v>
      </c>
      <c r="R30" t="str">
        <f t="shared" si="8"/>
        <v>Q1</v>
      </c>
      <c r="S30">
        <f t="shared" si="9"/>
        <v>1900</v>
      </c>
      <c r="T30" t="str">
        <f t="shared" si="10"/>
        <v>Retail</v>
      </c>
    </row>
    <row r="31" spans="8:20" x14ac:dyDescent="0.3">
      <c r="H31">
        <f t="shared" si="11"/>
        <v>0</v>
      </c>
      <c r="I31">
        <f t="shared" si="0"/>
        <v>0</v>
      </c>
      <c r="J31">
        <f t="shared" si="1"/>
        <v>0</v>
      </c>
      <c r="K31" t="str">
        <f t="shared" si="2"/>
        <v>January</v>
      </c>
      <c r="L31" t="str">
        <f t="shared" si="3"/>
        <v>Q1</v>
      </c>
      <c r="M31" s="2">
        <f t="shared" si="4"/>
        <v>1900</v>
      </c>
      <c r="N31" t="str">
        <f ca="1">IF(COUNTIFS(A$2:A31,A31,O$2:O31,O31)&gt;1,"Repeat","New")</f>
        <v>New</v>
      </c>
      <c r="O31" s="2" t="e">
        <f t="shared" ca="1" si="5"/>
        <v>#VALUE!</v>
      </c>
      <c r="P31" s="3" t="e">
        <f t="shared" ca="1" si="6"/>
        <v>#VALUE!</v>
      </c>
      <c r="Q31" t="str">
        <f t="shared" si="7"/>
        <v>Jan-00</v>
      </c>
      <c r="R31" t="str">
        <f t="shared" si="8"/>
        <v>Q1</v>
      </c>
      <c r="S31">
        <f t="shared" si="9"/>
        <v>1900</v>
      </c>
      <c r="T31" t="str">
        <f t="shared" si="10"/>
        <v>Retail</v>
      </c>
    </row>
    <row r="32" spans="8:20" x14ac:dyDescent="0.3">
      <c r="H32">
        <f t="shared" si="11"/>
        <v>0</v>
      </c>
      <c r="I32">
        <f t="shared" si="0"/>
        <v>0</v>
      </c>
      <c r="J32">
        <f t="shared" si="1"/>
        <v>0</v>
      </c>
      <c r="K32" t="str">
        <f t="shared" si="2"/>
        <v>January</v>
      </c>
      <c r="L32" t="str">
        <f t="shared" si="3"/>
        <v>Q1</v>
      </c>
      <c r="M32" s="2">
        <f t="shared" si="4"/>
        <v>1900</v>
      </c>
      <c r="N32" t="str">
        <f ca="1">IF(COUNTIFS(A$2:A32,A32,O$2:O32,O32)&gt;1,"Repeat","New")</f>
        <v>New</v>
      </c>
      <c r="O32" s="2" t="e">
        <f t="shared" ca="1" si="5"/>
        <v>#VALUE!</v>
      </c>
      <c r="P32" s="3" t="e">
        <f t="shared" ca="1" si="6"/>
        <v>#VALUE!</v>
      </c>
      <c r="Q32" t="str">
        <f t="shared" si="7"/>
        <v>Jan-00</v>
      </c>
      <c r="R32" t="str">
        <f t="shared" si="8"/>
        <v>Q1</v>
      </c>
      <c r="S32">
        <f t="shared" si="9"/>
        <v>1900</v>
      </c>
      <c r="T32" t="str">
        <f t="shared" si="10"/>
        <v>Retail</v>
      </c>
    </row>
    <row r="33" spans="8:20" x14ac:dyDescent="0.3">
      <c r="H33">
        <f t="shared" si="11"/>
        <v>0</v>
      </c>
      <c r="I33">
        <f t="shared" si="0"/>
        <v>0</v>
      </c>
      <c r="J33">
        <f t="shared" si="1"/>
        <v>0</v>
      </c>
      <c r="K33" t="str">
        <f t="shared" si="2"/>
        <v>January</v>
      </c>
      <c r="L33" t="str">
        <f t="shared" si="3"/>
        <v>Q1</v>
      </c>
      <c r="M33" s="2">
        <f t="shared" si="4"/>
        <v>1900</v>
      </c>
      <c r="N33" t="str">
        <f ca="1">IF(COUNTIFS(A$2:A33,A33,O$2:O33,O33)&gt;1,"Repeat","New")</f>
        <v>New</v>
      </c>
      <c r="O33" s="2" t="e">
        <f t="shared" ca="1" si="5"/>
        <v>#VALUE!</v>
      </c>
      <c r="P33" s="3" t="e">
        <f t="shared" ca="1" si="6"/>
        <v>#VALUE!</v>
      </c>
      <c r="Q33" t="str">
        <f t="shared" si="7"/>
        <v>Jan-00</v>
      </c>
      <c r="R33" t="str">
        <f t="shared" si="8"/>
        <v>Q1</v>
      </c>
      <c r="S33">
        <f t="shared" si="9"/>
        <v>1900</v>
      </c>
      <c r="T33" t="str">
        <f t="shared" si="10"/>
        <v>Retail</v>
      </c>
    </row>
    <row r="34" spans="8:20" x14ac:dyDescent="0.3">
      <c r="H34">
        <f t="shared" si="11"/>
        <v>0</v>
      </c>
      <c r="I34">
        <f t="shared" si="0"/>
        <v>0</v>
      </c>
      <c r="J34">
        <f t="shared" si="1"/>
        <v>0</v>
      </c>
      <c r="K34" t="str">
        <f t="shared" si="2"/>
        <v>January</v>
      </c>
      <c r="L34" t="str">
        <f t="shared" si="3"/>
        <v>Q1</v>
      </c>
      <c r="M34" s="2">
        <f t="shared" si="4"/>
        <v>1900</v>
      </c>
      <c r="N34" t="str">
        <f ca="1">IF(COUNTIFS(A$2:A34,A34,O$2:O34,O34)&gt;1,"Repeat","New")</f>
        <v>New</v>
      </c>
      <c r="O34" s="2" t="e">
        <f t="shared" ca="1" si="5"/>
        <v>#VALUE!</v>
      </c>
      <c r="P34" s="3" t="e">
        <f t="shared" ca="1" si="6"/>
        <v>#VALUE!</v>
      </c>
      <c r="Q34" t="str">
        <f t="shared" si="7"/>
        <v>Jan-00</v>
      </c>
      <c r="R34" t="str">
        <f t="shared" si="8"/>
        <v>Q1</v>
      </c>
      <c r="S34">
        <f t="shared" si="9"/>
        <v>1900</v>
      </c>
      <c r="T34" t="str">
        <f t="shared" si="10"/>
        <v>Retail</v>
      </c>
    </row>
    <row r="35" spans="8:20" x14ac:dyDescent="0.3">
      <c r="H35">
        <f t="shared" si="11"/>
        <v>0</v>
      </c>
      <c r="I35">
        <f t="shared" si="0"/>
        <v>0</v>
      </c>
      <c r="J35">
        <f t="shared" si="1"/>
        <v>0</v>
      </c>
      <c r="K35" t="str">
        <f t="shared" si="2"/>
        <v>January</v>
      </c>
      <c r="L35" t="str">
        <f t="shared" si="3"/>
        <v>Q1</v>
      </c>
      <c r="M35" s="2">
        <f t="shared" si="4"/>
        <v>1900</v>
      </c>
      <c r="N35" t="str">
        <f ca="1">IF(COUNTIFS(A$2:A35,A35,O$2:O35,O35)&gt;1,"Repeat","New")</f>
        <v>New</v>
      </c>
      <c r="O35" s="2" t="e">
        <f t="shared" ca="1" si="5"/>
        <v>#VALUE!</v>
      </c>
      <c r="P35" s="3" t="e">
        <f t="shared" ca="1" si="6"/>
        <v>#VALUE!</v>
      </c>
      <c r="Q35" t="str">
        <f t="shared" si="7"/>
        <v>Jan-00</v>
      </c>
      <c r="R35" t="str">
        <f t="shared" si="8"/>
        <v>Q1</v>
      </c>
      <c r="S35">
        <f t="shared" si="9"/>
        <v>1900</v>
      </c>
      <c r="T35" t="str">
        <f t="shared" si="10"/>
        <v>Retail</v>
      </c>
    </row>
    <row r="36" spans="8:20" x14ac:dyDescent="0.3">
      <c r="H36">
        <f t="shared" si="11"/>
        <v>0</v>
      </c>
      <c r="I36">
        <f t="shared" si="0"/>
        <v>0</v>
      </c>
      <c r="J36">
        <f t="shared" si="1"/>
        <v>0</v>
      </c>
      <c r="K36" t="str">
        <f t="shared" si="2"/>
        <v>January</v>
      </c>
      <c r="L36" t="str">
        <f t="shared" si="3"/>
        <v>Q1</v>
      </c>
      <c r="M36" s="2">
        <f t="shared" si="4"/>
        <v>1900</v>
      </c>
      <c r="N36" t="str">
        <f ca="1">IF(COUNTIFS(A$2:A36,A36,O$2:O36,O36)&gt;1,"Repeat","New")</f>
        <v>New</v>
      </c>
      <c r="O36" s="2" t="e">
        <f t="shared" ca="1" si="5"/>
        <v>#VALUE!</v>
      </c>
      <c r="P36" s="3" t="e">
        <f t="shared" ca="1" si="6"/>
        <v>#VALUE!</v>
      </c>
      <c r="Q36" t="str">
        <f t="shared" si="7"/>
        <v>Jan-00</v>
      </c>
      <c r="R36" t="str">
        <f t="shared" si="8"/>
        <v>Q1</v>
      </c>
      <c r="S36">
        <f t="shared" si="9"/>
        <v>1900</v>
      </c>
      <c r="T36" t="str">
        <f t="shared" si="10"/>
        <v>Retail</v>
      </c>
    </row>
    <row r="37" spans="8:20" x14ac:dyDescent="0.3">
      <c r="H37">
        <f t="shared" si="11"/>
        <v>0</v>
      </c>
      <c r="I37">
        <f t="shared" si="0"/>
        <v>0</v>
      </c>
      <c r="J37">
        <f t="shared" si="1"/>
        <v>0</v>
      </c>
      <c r="K37" t="str">
        <f t="shared" si="2"/>
        <v>January</v>
      </c>
      <c r="L37" t="str">
        <f t="shared" si="3"/>
        <v>Q1</v>
      </c>
      <c r="M37" s="2">
        <f t="shared" si="4"/>
        <v>1900</v>
      </c>
      <c r="N37" t="str">
        <f ca="1">IF(COUNTIFS(A$2:A37,A37,O$2:O37,O37)&gt;1,"Repeat","New")</f>
        <v>New</v>
      </c>
      <c r="O37" s="2" t="e">
        <f t="shared" ca="1" si="5"/>
        <v>#VALUE!</v>
      </c>
      <c r="P37" s="3" t="e">
        <f t="shared" ca="1" si="6"/>
        <v>#VALUE!</v>
      </c>
      <c r="Q37" t="str">
        <f t="shared" si="7"/>
        <v>Jan-00</v>
      </c>
      <c r="R37" t="str">
        <f t="shared" si="8"/>
        <v>Q1</v>
      </c>
      <c r="S37">
        <f t="shared" si="9"/>
        <v>1900</v>
      </c>
      <c r="T37" t="str">
        <f t="shared" si="10"/>
        <v>Retail</v>
      </c>
    </row>
    <row r="38" spans="8:20" x14ac:dyDescent="0.3">
      <c r="H38">
        <f t="shared" si="11"/>
        <v>0</v>
      </c>
      <c r="I38">
        <f t="shared" si="0"/>
        <v>0</v>
      </c>
      <c r="J38">
        <f t="shared" si="1"/>
        <v>0</v>
      </c>
      <c r="K38" t="str">
        <f t="shared" si="2"/>
        <v>January</v>
      </c>
      <c r="L38" t="str">
        <f t="shared" si="3"/>
        <v>Q1</v>
      </c>
      <c r="M38" s="2">
        <f t="shared" si="4"/>
        <v>1900</v>
      </c>
      <c r="N38" t="str">
        <f ca="1">IF(COUNTIFS(A$2:A38,A38,O$2:O38,O38)&gt;1,"Repeat","New")</f>
        <v>New</v>
      </c>
      <c r="O38" s="2" t="e">
        <f t="shared" ca="1" si="5"/>
        <v>#VALUE!</v>
      </c>
      <c r="P38" s="3" t="e">
        <f t="shared" ca="1" si="6"/>
        <v>#VALUE!</v>
      </c>
      <c r="Q38" t="str">
        <f t="shared" si="7"/>
        <v>Jan-00</v>
      </c>
      <c r="R38" t="str">
        <f t="shared" si="8"/>
        <v>Q1</v>
      </c>
      <c r="S38">
        <f t="shared" si="9"/>
        <v>1900</v>
      </c>
      <c r="T38" t="str">
        <f t="shared" si="10"/>
        <v>Retail</v>
      </c>
    </row>
    <row r="39" spans="8:20" x14ac:dyDescent="0.3">
      <c r="H39">
        <f t="shared" si="11"/>
        <v>0</v>
      </c>
      <c r="I39">
        <f t="shared" si="0"/>
        <v>0</v>
      </c>
      <c r="J39">
        <f t="shared" si="1"/>
        <v>0</v>
      </c>
      <c r="K39" t="str">
        <f t="shared" si="2"/>
        <v>January</v>
      </c>
      <c r="L39" t="str">
        <f t="shared" si="3"/>
        <v>Q1</v>
      </c>
      <c r="M39" s="2">
        <f t="shared" si="4"/>
        <v>1900</v>
      </c>
      <c r="N39" t="str">
        <f ca="1">IF(COUNTIFS(A$2:A39,A39,O$2:O39,O39)&gt;1,"Repeat","New")</f>
        <v>New</v>
      </c>
      <c r="O39" s="2" t="e">
        <f t="shared" ca="1" si="5"/>
        <v>#VALUE!</v>
      </c>
      <c r="P39" s="3" t="e">
        <f t="shared" ca="1" si="6"/>
        <v>#VALUE!</v>
      </c>
      <c r="Q39" t="str">
        <f t="shared" si="7"/>
        <v>Jan-00</v>
      </c>
      <c r="R39" t="str">
        <f t="shared" si="8"/>
        <v>Q1</v>
      </c>
      <c r="S39">
        <f t="shared" si="9"/>
        <v>1900</v>
      </c>
      <c r="T39" t="str">
        <f t="shared" si="10"/>
        <v>Retail</v>
      </c>
    </row>
    <row r="40" spans="8:20" x14ac:dyDescent="0.3">
      <c r="H40">
        <f t="shared" si="11"/>
        <v>0</v>
      </c>
      <c r="I40">
        <f t="shared" si="0"/>
        <v>0</v>
      </c>
      <c r="J40">
        <f t="shared" si="1"/>
        <v>0</v>
      </c>
      <c r="K40" t="str">
        <f t="shared" si="2"/>
        <v>January</v>
      </c>
      <c r="L40" t="str">
        <f t="shared" si="3"/>
        <v>Q1</v>
      </c>
      <c r="M40" s="2">
        <f t="shared" si="4"/>
        <v>1900</v>
      </c>
      <c r="N40" t="str">
        <f ca="1">IF(COUNTIFS(A$2:A40,A40,O$2:O40,O40)&gt;1,"Repeat","New")</f>
        <v>New</v>
      </c>
      <c r="O40" s="2" t="e">
        <f t="shared" ca="1" si="5"/>
        <v>#VALUE!</v>
      </c>
      <c r="P40" s="3" t="e">
        <f t="shared" ca="1" si="6"/>
        <v>#VALUE!</v>
      </c>
      <c r="Q40" t="str">
        <f t="shared" si="7"/>
        <v>Jan-00</v>
      </c>
      <c r="R40" t="str">
        <f t="shared" si="8"/>
        <v>Q1</v>
      </c>
      <c r="S40">
        <f t="shared" si="9"/>
        <v>1900</v>
      </c>
      <c r="T40" t="str">
        <f t="shared" si="10"/>
        <v>Retail</v>
      </c>
    </row>
    <row r="41" spans="8:20" x14ac:dyDescent="0.3">
      <c r="H41">
        <f t="shared" si="11"/>
        <v>0</v>
      </c>
      <c r="I41">
        <f t="shared" si="0"/>
        <v>0</v>
      </c>
      <c r="J41">
        <f t="shared" si="1"/>
        <v>0</v>
      </c>
      <c r="K41" t="str">
        <f t="shared" si="2"/>
        <v>January</v>
      </c>
      <c r="L41" t="str">
        <f t="shared" si="3"/>
        <v>Q1</v>
      </c>
      <c r="M41" s="2">
        <f t="shared" si="4"/>
        <v>1900</v>
      </c>
      <c r="N41" t="str">
        <f ca="1">IF(COUNTIFS(A$2:A41,A41,O$2:O41,O41)&gt;1,"Repeat","New")</f>
        <v>New</v>
      </c>
      <c r="O41" s="2" t="e">
        <f t="shared" ca="1" si="5"/>
        <v>#VALUE!</v>
      </c>
      <c r="P41" s="3" t="e">
        <f t="shared" ca="1" si="6"/>
        <v>#VALUE!</v>
      </c>
      <c r="Q41" t="str">
        <f t="shared" si="7"/>
        <v>Jan-00</v>
      </c>
      <c r="R41" t="str">
        <f t="shared" si="8"/>
        <v>Q1</v>
      </c>
      <c r="S41">
        <f t="shared" si="9"/>
        <v>1900</v>
      </c>
      <c r="T41" t="str">
        <f t="shared" si="10"/>
        <v>Retail</v>
      </c>
    </row>
    <row r="42" spans="8:20" x14ac:dyDescent="0.3">
      <c r="H42">
        <f t="shared" si="11"/>
        <v>0</v>
      </c>
      <c r="I42">
        <f t="shared" si="0"/>
        <v>0</v>
      </c>
      <c r="J42">
        <f t="shared" si="1"/>
        <v>0</v>
      </c>
      <c r="K42" t="str">
        <f t="shared" si="2"/>
        <v>January</v>
      </c>
      <c r="L42" t="str">
        <f t="shared" si="3"/>
        <v>Q1</v>
      </c>
      <c r="M42" s="2">
        <f t="shared" si="4"/>
        <v>1900</v>
      </c>
      <c r="N42" t="str">
        <f ca="1">IF(COUNTIFS(A$2:A42,A42,O$2:O42,O42)&gt;1,"Repeat","New")</f>
        <v>New</v>
      </c>
      <c r="O42" s="2" t="e">
        <f t="shared" ca="1" si="5"/>
        <v>#VALUE!</v>
      </c>
      <c r="P42" s="3" t="e">
        <f t="shared" ca="1" si="6"/>
        <v>#VALUE!</v>
      </c>
      <c r="Q42" t="str">
        <f t="shared" si="7"/>
        <v>Jan-00</v>
      </c>
      <c r="R42" t="str">
        <f t="shared" si="8"/>
        <v>Q1</v>
      </c>
      <c r="S42">
        <f t="shared" si="9"/>
        <v>1900</v>
      </c>
      <c r="T42" t="str">
        <f t="shared" si="10"/>
        <v>Retail</v>
      </c>
    </row>
    <row r="43" spans="8:20" x14ac:dyDescent="0.3">
      <c r="H43">
        <f t="shared" si="11"/>
        <v>0</v>
      </c>
      <c r="I43">
        <f t="shared" si="0"/>
        <v>0</v>
      </c>
      <c r="J43">
        <f t="shared" si="1"/>
        <v>0</v>
      </c>
      <c r="K43" t="str">
        <f t="shared" si="2"/>
        <v>January</v>
      </c>
      <c r="L43" t="str">
        <f t="shared" si="3"/>
        <v>Q1</v>
      </c>
      <c r="M43" s="2">
        <f t="shared" si="4"/>
        <v>1900</v>
      </c>
      <c r="N43" t="str">
        <f ca="1">IF(COUNTIFS(A$2:A43,A43,O$2:O43,O43)&gt;1,"Repeat","New")</f>
        <v>New</v>
      </c>
      <c r="O43" s="2" t="e">
        <f t="shared" ca="1" si="5"/>
        <v>#VALUE!</v>
      </c>
      <c r="P43" s="3" t="e">
        <f t="shared" ca="1" si="6"/>
        <v>#VALUE!</v>
      </c>
      <c r="Q43" t="str">
        <f t="shared" si="7"/>
        <v>Jan-00</v>
      </c>
      <c r="R43" t="str">
        <f t="shared" si="8"/>
        <v>Q1</v>
      </c>
      <c r="S43">
        <f t="shared" si="9"/>
        <v>1900</v>
      </c>
      <c r="T43" t="str">
        <f t="shared" si="10"/>
        <v>Retail</v>
      </c>
    </row>
    <row r="44" spans="8:20" x14ac:dyDescent="0.3">
      <c r="H44">
        <f t="shared" si="11"/>
        <v>0</v>
      </c>
      <c r="I44">
        <f t="shared" si="0"/>
        <v>0</v>
      </c>
      <c r="J44">
        <f t="shared" si="1"/>
        <v>0</v>
      </c>
      <c r="K44" t="str">
        <f t="shared" si="2"/>
        <v>January</v>
      </c>
      <c r="L44" t="str">
        <f t="shared" si="3"/>
        <v>Q1</v>
      </c>
      <c r="M44" s="2">
        <f t="shared" si="4"/>
        <v>1900</v>
      </c>
      <c r="N44" t="str">
        <f ca="1">IF(COUNTIFS(A$2:A44,A44,O$2:O44,O44)&gt;1,"Repeat","New")</f>
        <v>New</v>
      </c>
      <c r="O44" s="2" t="e">
        <f t="shared" ca="1" si="5"/>
        <v>#VALUE!</v>
      </c>
      <c r="P44" s="3" t="e">
        <f t="shared" ca="1" si="6"/>
        <v>#VALUE!</v>
      </c>
      <c r="Q44" t="str">
        <f t="shared" si="7"/>
        <v>Jan-00</v>
      </c>
      <c r="R44" t="str">
        <f t="shared" si="8"/>
        <v>Q1</v>
      </c>
      <c r="S44">
        <f t="shared" si="9"/>
        <v>1900</v>
      </c>
      <c r="T44" t="str">
        <f t="shared" si="10"/>
        <v>Retail</v>
      </c>
    </row>
    <row r="45" spans="8:20" x14ac:dyDescent="0.3">
      <c r="H45">
        <f t="shared" si="11"/>
        <v>0</v>
      </c>
      <c r="I45">
        <f t="shared" si="0"/>
        <v>0</v>
      </c>
      <c r="J45">
        <f t="shared" si="1"/>
        <v>0</v>
      </c>
      <c r="K45" t="str">
        <f t="shared" si="2"/>
        <v>January</v>
      </c>
      <c r="L45" t="str">
        <f t="shared" si="3"/>
        <v>Q1</v>
      </c>
      <c r="M45" s="2">
        <f t="shared" si="4"/>
        <v>1900</v>
      </c>
      <c r="N45" t="str">
        <f ca="1">IF(COUNTIFS(A$2:A45,A45,O$2:O45,O45)&gt;1,"Repeat","New")</f>
        <v>New</v>
      </c>
      <c r="O45" s="2" t="e">
        <f t="shared" ca="1" si="5"/>
        <v>#VALUE!</v>
      </c>
      <c r="P45" s="3" t="e">
        <f t="shared" ca="1" si="6"/>
        <v>#VALUE!</v>
      </c>
      <c r="Q45" t="str">
        <f t="shared" si="7"/>
        <v>Jan-00</v>
      </c>
      <c r="R45" t="str">
        <f t="shared" si="8"/>
        <v>Q1</v>
      </c>
      <c r="S45">
        <f t="shared" si="9"/>
        <v>1900</v>
      </c>
      <c r="T45" t="str">
        <f t="shared" si="10"/>
        <v>Retail</v>
      </c>
    </row>
    <row r="46" spans="8:20" x14ac:dyDescent="0.3">
      <c r="H46">
        <f t="shared" si="11"/>
        <v>0</v>
      </c>
      <c r="I46">
        <f t="shared" si="0"/>
        <v>0</v>
      </c>
      <c r="J46">
        <f t="shared" si="1"/>
        <v>0</v>
      </c>
      <c r="K46" t="str">
        <f t="shared" si="2"/>
        <v>January</v>
      </c>
      <c r="L46" t="str">
        <f t="shared" si="3"/>
        <v>Q1</v>
      </c>
      <c r="M46" s="2">
        <f t="shared" si="4"/>
        <v>1900</v>
      </c>
      <c r="N46" t="str">
        <f ca="1">IF(COUNTIFS(A$2:A46,A46,O$2:O46,O46)&gt;1,"Repeat","New")</f>
        <v>New</v>
      </c>
      <c r="O46" s="2" t="e">
        <f t="shared" ca="1" si="5"/>
        <v>#VALUE!</v>
      </c>
      <c r="P46" s="3" t="e">
        <f t="shared" ca="1" si="6"/>
        <v>#VALUE!</v>
      </c>
      <c r="Q46" t="str">
        <f t="shared" si="7"/>
        <v>Jan-00</v>
      </c>
      <c r="R46" t="str">
        <f t="shared" si="8"/>
        <v>Q1</v>
      </c>
      <c r="S46">
        <f t="shared" si="9"/>
        <v>1900</v>
      </c>
      <c r="T46" t="str">
        <f t="shared" si="10"/>
        <v>Retail</v>
      </c>
    </row>
    <row r="47" spans="8:20" x14ac:dyDescent="0.3">
      <c r="H47">
        <f t="shared" si="11"/>
        <v>0</v>
      </c>
      <c r="I47">
        <f t="shared" si="0"/>
        <v>0</v>
      </c>
      <c r="J47">
        <f t="shared" si="1"/>
        <v>0</v>
      </c>
      <c r="K47" t="str">
        <f t="shared" si="2"/>
        <v>January</v>
      </c>
      <c r="L47" t="str">
        <f t="shared" si="3"/>
        <v>Q1</v>
      </c>
      <c r="M47" s="2">
        <f t="shared" si="4"/>
        <v>1900</v>
      </c>
      <c r="N47" t="str">
        <f ca="1">IF(COUNTIFS(A$2:A47,A47,O$2:O47,O47)&gt;1,"Repeat","New")</f>
        <v>New</v>
      </c>
      <c r="O47" s="2" t="e">
        <f t="shared" ca="1" si="5"/>
        <v>#VALUE!</v>
      </c>
      <c r="P47" s="3" t="e">
        <f t="shared" ca="1" si="6"/>
        <v>#VALUE!</v>
      </c>
      <c r="Q47" t="str">
        <f t="shared" si="7"/>
        <v>Jan-00</v>
      </c>
      <c r="R47" t="str">
        <f t="shared" si="8"/>
        <v>Q1</v>
      </c>
      <c r="S47">
        <f t="shared" si="9"/>
        <v>1900</v>
      </c>
      <c r="T47" t="str">
        <f t="shared" si="10"/>
        <v>Retail</v>
      </c>
    </row>
    <row r="48" spans="8:20" x14ac:dyDescent="0.3">
      <c r="H48">
        <f t="shared" si="11"/>
        <v>0</v>
      </c>
      <c r="I48">
        <f t="shared" si="0"/>
        <v>0</v>
      </c>
      <c r="J48">
        <f t="shared" si="1"/>
        <v>0</v>
      </c>
      <c r="K48" t="str">
        <f t="shared" si="2"/>
        <v>January</v>
      </c>
      <c r="L48" t="str">
        <f t="shared" si="3"/>
        <v>Q1</v>
      </c>
      <c r="M48" s="2">
        <f t="shared" si="4"/>
        <v>1900</v>
      </c>
      <c r="N48" t="str">
        <f ca="1">IF(COUNTIFS(A$2:A48,A48,O$2:O48,O48)&gt;1,"Repeat","New")</f>
        <v>New</v>
      </c>
      <c r="O48" s="2" t="e">
        <f t="shared" ca="1" si="5"/>
        <v>#VALUE!</v>
      </c>
      <c r="P48" s="3" t="e">
        <f t="shared" ca="1" si="6"/>
        <v>#VALUE!</v>
      </c>
      <c r="Q48" t="str">
        <f t="shared" si="7"/>
        <v>Jan-00</v>
      </c>
      <c r="R48" t="str">
        <f t="shared" si="8"/>
        <v>Q1</v>
      </c>
      <c r="S48">
        <f t="shared" si="9"/>
        <v>1900</v>
      </c>
      <c r="T48" t="str">
        <f t="shared" si="10"/>
        <v>Retail</v>
      </c>
    </row>
    <row r="49" spans="8:20" x14ac:dyDescent="0.3">
      <c r="H49">
        <f t="shared" si="11"/>
        <v>0</v>
      </c>
      <c r="I49">
        <f t="shared" si="0"/>
        <v>0</v>
      </c>
      <c r="J49">
        <f t="shared" si="1"/>
        <v>0</v>
      </c>
      <c r="K49" t="str">
        <f t="shared" si="2"/>
        <v>January</v>
      </c>
      <c r="L49" t="str">
        <f t="shared" si="3"/>
        <v>Q1</v>
      </c>
      <c r="M49" s="2">
        <f t="shared" si="4"/>
        <v>1900</v>
      </c>
      <c r="N49" t="str">
        <f ca="1">IF(COUNTIFS(A$2:A49,A49,O$2:O49,O49)&gt;1,"Repeat","New")</f>
        <v>New</v>
      </c>
      <c r="O49" s="2" t="e">
        <f t="shared" ca="1" si="5"/>
        <v>#VALUE!</v>
      </c>
      <c r="P49" s="3" t="e">
        <f t="shared" ca="1" si="6"/>
        <v>#VALUE!</v>
      </c>
      <c r="Q49" t="str">
        <f t="shared" si="7"/>
        <v>Jan-00</v>
      </c>
      <c r="R49" t="str">
        <f t="shared" si="8"/>
        <v>Q1</v>
      </c>
      <c r="S49">
        <f t="shared" si="9"/>
        <v>1900</v>
      </c>
      <c r="T49" t="str">
        <f t="shared" si="10"/>
        <v>Retail</v>
      </c>
    </row>
    <row r="50" spans="8:20" x14ac:dyDescent="0.3">
      <c r="H50">
        <f t="shared" si="11"/>
        <v>0</v>
      </c>
      <c r="I50">
        <f t="shared" si="0"/>
        <v>0</v>
      </c>
      <c r="J50">
        <f t="shared" si="1"/>
        <v>0</v>
      </c>
      <c r="K50" t="str">
        <f t="shared" si="2"/>
        <v>January</v>
      </c>
      <c r="L50" t="str">
        <f t="shared" si="3"/>
        <v>Q1</v>
      </c>
      <c r="M50" s="2">
        <f t="shared" si="4"/>
        <v>1900</v>
      </c>
      <c r="N50" t="str">
        <f ca="1">IF(COUNTIFS(A$2:A50,A50,O$2:O50,O50)&gt;1,"Repeat","New")</f>
        <v>New</v>
      </c>
      <c r="O50" s="2" t="e">
        <f t="shared" ca="1" si="5"/>
        <v>#VALUE!</v>
      </c>
      <c r="P50" s="3" t="e">
        <f t="shared" ca="1" si="6"/>
        <v>#VALUE!</v>
      </c>
      <c r="Q50" t="str">
        <f t="shared" si="7"/>
        <v>Jan-00</v>
      </c>
      <c r="R50" t="str">
        <f t="shared" si="8"/>
        <v>Q1</v>
      </c>
      <c r="S50">
        <f t="shared" si="9"/>
        <v>1900</v>
      </c>
      <c r="T50" t="str">
        <f t="shared" si="10"/>
        <v>Retail</v>
      </c>
    </row>
    <row r="51" spans="8:20" x14ac:dyDescent="0.3">
      <c r="H51">
        <f t="shared" si="11"/>
        <v>0</v>
      </c>
      <c r="I51">
        <f t="shared" si="0"/>
        <v>0</v>
      </c>
      <c r="J51">
        <f t="shared" si="1"/>
        <v>0</v>
      </c>
      <c r="K51" t="str">
        <f t="shared" si="2"/>
        <v>January</v>
      </c>
      <c r="L51" t="str">
        <f t="shared" si="3"/>
        <v>Q1</v>
      </c>
      <c r="M51" s="2">
        <f t="shared" si="4"/>
        <v>1900</v>
      </c>
      <c r="N51" t="str">
        <f ca="1">IF(COUNTIFS(A$2:A51,A51,O$2:O51,O51)&gt;1,"Repeat","New")</f>
        <v>New</v>
      </c>
      <c r="O51" s="2" t="e">
        <f t="shared" ca="1" si="5"/>
        <v>#VALUE!</v>
      </c>
      <c r="P51" s="3" t="e">
        <f t="shared" ca="1" si="6"/>
        <v>#VALUE!</v>
      </c>
      <c r="Q51" t="str">
        <f t="shared" si="7"/>
        <v>Jan-00</v>
      </c>
      <c r="R51" t="str">
        <f t="shared" si="8"/>
        <v>Q1</v>
      </c>
      <c r="S51">
        <f t="shared" si="9"/>
        <v>1900</v>
      </c>
      <c r="T51" t="str">
        <f t="shared" si="10"/>
        <v>Retail</v>
      </c>
    </row>
    <row r="52" spans="8:20" x14ac:dyDescent="0.3">
      <c r="H52">
        <f t="shared" si="11"/>
        <v>0</v>
      </c>
      <c r="I52">
        <f t="shared" si="0"/>
        <v>0</v>
      </c>
      <c r="J52">
        <f t="shared" si="1"/>
        <v>0</v>
      </c>
      <c r="K52" t="str">
        <f t="shared" si="2"/>
        <v>January</v>
      </c>
      <c r="L52" t="str">
        <f t="shared" si="3"/>
        <v>Q1</v>
      </c>
      <c r="M52" s="2">
        <f t="shared" si="4"/>
        <v>1900</v>
      </c>
      <c r="N52" t="str">
        <f ca="1">IF(COUNTIFS(A$2:A52,A52,O$2:O52,O52)&gt;1,"Repeat","New")</f>
        <v>New</v>
      </c>
      <c r="O52" s="2" t="e">
        <f t="shared" ca="1" si="5"/>
        <v>#VALUE!</v>
      </c>
      <c r="P52" s="3" t="e">
        <f t="shared" ca="1" si="6"/>
        <v>#VALUE!</v>
      </c>
      <c r="Q52" t="str">
        <f t="shared" si="7"/>
        <v>Jan-00</v>
      </c>
      <c r="R52" t="str">
        <f t="shared" si="8"/>
        <v>Q1</v>
      </c>
      <c r="S52">
        <f t="shared" si="9"/>
        <v>1900</v>
      </c>
      <c r="T52" t="str">
        <f t="shared" si="10"/>
        <v>Retail</v>
      </c>
    </row>
    <row r="53" spans="8:20" x14ac:dyDescent="0.3">
      <c r="H53">
        <f t="shared" si="11"/>
        <v>0</v>
      </c>
      <c r="I53">
        <f t="shared" si="0"/>
        <v>0</v>
      </c>
      <c r="J53">
        <f t="shared" si="1"/>
        <v>0</v>
      </c>
      <c r="K53" t="str">
        <f t="shared" si="2"/>
        <v>January</v>
      </c>
      <c r="L53" t="str">
        <f t="shared" si="3"/>
        <v>Q1</v>
      </c>
      <c r="M53" s="2">
        <f t="shared" si="4"/>
        <v>1900</v>
      </c>
      <c r="N53" t="str">
        <f ca="1">IF(COUNTIFS(A$2:A53,A53,O$2:O53,O53)&gt;1,"Repeat","New")</f>
        <v>New</v>
      </c>
      <c r="O53" s="2" t="e">
        <f t="shared" ca="1" si="5"/>
        <v>#VALUE!</v>
      </c>
      <c r="P53" s="3" t="e">
        <f t="shared" ca="1" si="6"/>
        <v>#VALUE!</v>
      </c>
      <c r="Q53" t="str">
        <f t="shared" si="7"/>
        <v>Jan-00</v>
      </c>
      <c r="R53" t="str">
        <f t="shared" si="8"/>
        <v>Q1</v>
      </c>
      <c r="S53">
        <f t="shared" si="9"/>
        <v>1900</v>
      </c>
      <c r="T53" t="str">
        <f t="shared" si="10"/>
        <v>Retail</v>
      </c>
    </row>
    <row r="54" spans="8:20" x14ac:dyDescent="0.3">
      <c r="H54">
        <f t="shared" si="11"/>
        <v>0</v>
      </c>
      <c r="I54">
        <f t="shared" si="0"/>
        <v>0</v>
      </c>
      <c r="J54">
        <f t="shared" si="1"/>
        <v>0</v>
      </c>
      <c r="K54" t="str">
        <f t="shared" si="2"/>
        <v>January</v>
      </c>
      <c r="L54" t="str">
        <f t="shared" si="3"/>
        <v>Q1</v>
      </c>
      <c r="M54" s="2">
        <f t="shared" si="4"/>
        <v>1900</v>
      </c>
      <c r="N54" t="str">
        <f ca="1">IF(COUNTIFS(A$2:A54,A54,O$2:O54,O54)&gt;1,"Repeat","New")</f>
        <v>New</v>
      </c>
      <c r="O54" s="2" t="e">
        <f t="shared" ca="1" si="5"/>
        <v>#VALUE!</v>
      </c>
      <c r="P54" s="3" t="e">
        <f t="shared" ca="1" si="6"/>
        <v>#VALUE!</v>
      </c>
      <c r="Q54" t="str">
        <f t="shared" si="7"/>
        <v>Jan-00</v>
      </c>
      <c r="R54" t="str">
        <f t="shared" si="8"/>
        <v>Q1</v>
      </c>
      <c r="S54">
        <f t="shared" si="9"/>
        <v>1900</v>
      </c>
      <c r="T54" t="str">
        <f t="shared" si="10"/>
        <v>Retail</v>
      </c>
    </row>
    <row r="55" spans="8:20" x14ac:dyDescent="0.3">
      <c r="H55">
        <f t="shared" si="11"/>
        <v>0</v>
      </c>
      <c r="I55">
        <f t="shared" si="0"/>
        <v>0</v>
      </c>
      <c r="J55">
        <f t="shared" si="1"/>
        <v>0</v>
      </c>
      <c r="K55" t="str">
        <f t="shared" si="2"/>
        <v>January</v>
      </c>
      <c r="L55" t="str">
        <f t="shared" si="3"/>
        <v>Q1</v>
      </c>
      <c r="M55" s="2">
        <f t="shared" si="4"/>
        <v>1900</v>
      </c>
      <c r="N55" t="str">
        <f ca="1">IF(COUNTIFS(A$2:A55,A55,O$2:O55,O55)&gt;1,"Repeat","New")</f>
        <v>New</v>
      </c>
      <c r="O55" s="2" t="e">
        <f t="shared" ca="1" si="5"/>
        <v>#VALUE!</v>
      </c>
      <c r="P55" s="3" t="e">
        <f t="shared" ca="1" si="6"/>
        <v>#VALUE!</v>
      </c>
      <c r="Q55" t="str">
        <f t="shared" si="7"/>
        <v>Jan-00</v>
      </c>
      <c r="R55" t="str">
        <f t="shared" si="8"/>
        <v>Q1</v>
      </c>
      <c r="S55">
        <f t="shared" si="9"/>
        <v>1900</v>
      </c>
      <c r="T55" t="str">
        <f t="shared" si="10"/>
        <v>Retail</v>
      </c>
    </row>
    <row r="56" spans="8:20" x14ac:dyDescent="0.3">
      <c r="H56">
        <f t="shared" si="11"/>
        <v>0</v>
      </c>
      <c r="I56">
        <f t="shared" si="0"/>
        <v>0</v>
      </c>
      <c r="J56">
        <f t="shared" si="1"/>
        <v>0</v>
      </c>
      <c r="K56" t="str">
        <f t="shared" si="2"/>
        <v>January</v>
      </c>
      <c r="L56" t="str">
        <f t="shared" si="3"/>
        <v>Q1</v>
      </c>
      <c r="M56" s="2">
        <f t="shared" si="4"/>
        <v>1900</v>
      </c>
      <c r="N56" t="str">
        <f ca="1">IF(COUNTIFS(A$2:A56,A56,O$2:O56,O56)&gt;1,"Repeat","New")</f>
        <v>New</v>
      </c>
      <c r="O56" s="2" t="e">
        <f t="shared" ca="1" si="5"/>
        <v>#VALUE!</v>
      </c>
      <c r="P56" s="3" t="e">
        <f t="shared" ca="1" si="6"/>
        <v>#VALUE!</v>
      </c>
      <c r="Q56" t="str">
        <f t="shared" si="7"/>
        <v>Jan-00</v>
      </c>
      <c r="R56" t="str">
        <f t="shared" si="8"/>
        <v>Q1</v>
      </c>
      <c r="S56">
        <f t="shared" si="9"/>
        <v>1900</v>
      </c>
      <c r="T56" t="str">
        <f t="shared" si="10"/>
        <v>Retail</v>
      </c>
    </row>
    <row r="57" spans="8:20" x14ac:dyDescent="0.3">
      <c r="H57">
        <f t="shared" si="11"/>
        <v>0</v>
      </c>
      <c r="I57">
        <f t="shared" si="0"/>
        <v>0</v>
      </c>
      <c r="J57">
        <f t="shared" si="1"/>
        <v>0</v>
      </c>
      <c r="K57" t="str">
        <f t="shared" si="2"/>
        <v>January</v>
      </c>
      <c r="L57" t="str">
        <f t="shared" si="3"/>
        <v>Q1</v>
      </c>
      <c r="M57" s="2">
        <f t="shared" si="4"/>
        <v>1900</v>
      </c>
      <c r="N57" t="str">
        <f ca="1">IF(COUNTIFS(A$2:A57,A57,O$2:O57,O57)&gt;1,"Repeat","New")</f>
        <v>New</v>
      </c>
      <c r="O57" s="2" t="e">
        <f t="shared" ca="1" si="5"/>
        <v>#VALUE!</v>
      </c>
      <c r="P57" s="3" t="e">
        <f t="shared" ca="1" si="6"/>
        <v>#VALUE!</v>
      </c>
      <c r="Q57" t="str">
        <f t="shared" si="7"/>
        <v>Jan-00</v>
      </c>
      <c r="R57" t="str">
        <f t="shared" si="8"/>
        <v>Q1</v>
      </c>
      <c r="S57">
        <f t="shared" si="9"/>
        <v>1900</v>
      </c>
      <c r="T57" t="str">
        <f t="shared" si="10"/>
        <v>Retail</v>
      </c>
    </row>
    <row r="58" spans="8:20" x14ac:dyDescent="0.3">
      <c r="H58">
        <f t="shared" si="11"/>
        <v>0</v>
      </c>
      <c r="I58">
        <f t="shared" si="0"/>
        <v>0</v>
      </c>
      <c r="J58">
        <f t="shared" si="1"/>
        <v>0</v>
      </c>
      <c r="K58" t="str">
        <f t="shared" si="2"/>
        <v>January</v>
      </c>
      <c r="L58" t="str">
        <f t="shared" si="3"/>
        <v>Q1</v>
      </c>
      <c r="M58" s="2">
        <f t="shared" si="4"/>
        <v>1900</v>
      </c>
      <c r="N58" t="str">
        <f ca="1">IF(COUNTIFS(A$2:A58,A58,O$2:O58,O58)&gt;1,"Repeat","New")</f>
        <v>New</v>
      </c>
      <c r="O58" s="2" t="e">
        <f t="shared" ca="1" si="5"/>
        <v>#VALUE!</v>
      </c>
      <c r="P58" s="3" t="e">
        <f t="shared" ca="1" si="6"/>
        <v>#VALUE!</v>
      </c>
      <c r="Q58" t="str">
        <f t="shared" si="7"/>
        <v>Jan-00</v>
      </c>
      <c r="R58" t="str">
        <f t="shared" si="8"/>
        <v>Q1</v>
      </c>
      <c r="S58">
        <f t="shared" si="9"/>
        <v>1900</v>
      </c>
      <c r="T58" t="str">
        <f t="shared" si="10"/>
        <v>Retail</v>
      </c>
    </row>
    <row r="59" spans="8:20" x14ac:dyDescent="0.3">
      <c r="H59">
        <f t="shared" si="11"/>
        <v>0</v>
      </c>
      <c r="I59">
        <f t="shared" si="0"/>
        <v>0</v>
      </c>
      <c r="J59">
        <f t="shared" si="1"/>
        <v>0</v>
      </c>
      <c r="K59" t="str">
        <f t="shared" si="2"/>
        <v>January</v>
      </c>
      <c r="L59" t="str">
        <f t="shared" si="3"/>
        <v>Q1</v>
      </c>
      <c r="M59" s="2">
        <f t="shared" si="4"/>
        <v>1900</v>
      </c>
      <c r="N59" t="str">
        <f ca="1">IF(COUNTIFS(A$2:A59,A59,O$2:O59,O59)&gt;1,"Repeat","New")</f>
        <v>New</v>
      </c>
      <c r="O59" s="2" t="e">
        <f t="shared" ca="1" si="5"/>
        <v>#VALUE!</v>
      </c>
      <c r="P59" s="3" t="e">
        <f t="shared" ca="1" si="6"/>
        <v>#VALUE!</v>
      </c>
      <c r="Q59" t="str">
        <f t="shared" si="7"/>
        <v>Jan-00</v>
      </c>
      <c r="R59" t="str">
        <f t="shared" si="8"/>
        <v>Q1</v>
      </c>
      <c r="S59">
        <f t="shared" si="9"/>
        <v>1900</v>
      </c>
      <c r="T59" t="str">
        <f t="shared" si="10"/>
        <v>Retail</v>
      </c>
    </row>
    <row r="60" spans="8:20" x14ac:dyDescent="0.3">
      <c r="H60">
        <f t="shared" si="11"/>
        <v>0</v>
      </c>
      <c r="I60">
        <f t="shared" si="0"/>
        <v>0</v>
      </c>
      <c r="J60">
        <f t="shared" si="1"/>
        <v>0</v>
      </c>
      <c r="K60" t="str">
        <f t="shared" si="2"/>
        <v>January</v>
      </c>
      <c r="L60" t="str">
        <f t="shared" si="3"/>
        <v>Q1</v>
      </c>
      <c r="M60" s="2">
        <f t="shared" si="4"/>
        <v>1900</v>
      </c>
      <c r="N60" t="str">
        <f ca="1">IF(COUNTIFS(A$2:A60,A60,O$2:O60,O60)&gt;1,"Repeat","New")</f>
        <v>New</v>
      </c>
      <c r="O60" s="2" t="e">
        <f t="shared" ca="1" si="5"/>
        <v>#VALUE!</v>
      </c>
      <c r="P60" s="3" t="e">
        <f t="shared" ca="1" si="6"/>
        <v>#VALUE!</v>
      </c>
      <c r="Q60" t="str">
        <f t="shared" si="7"/>
        <v>Jan-00</v>
      </c>
      <c r="R60" t="str">
        <f t="shared" si="8"/>
        <v>Q1</v>
      </c>
      <c r="S60">
        <f t="shared" si="9"/>
        <v>1900</v>
      </c>
      <c r="T60" t="str">
        <f t="shared" si="10"/>
        <v>Retail</v>
      </c>
    </row>
    <row r="61" spans="8:20" x14ac:dyDescent="0.3">
      <c r="H61">
        <f t="shared" si="11"/>
        <v>0</v>
      </c>
      <c r="I61">
        <f t="shared" si="0"/>
        <v>0</v>
      </c>
      <c r="J61">
        <f t="shared" si="1"/>
        <v>0</v>
      </c>
      <c r="K61" t="str">
        <f t="shared" si="2"/>
        <v>January</v>
      </c>
      <c r="L61" t="str">
        <f t="shared" si="3"/>
        <v>Q1</v>
      </c>
      <c r="M61" s="2">
        <f t="shared" si="4"/>
        <v>1900</v>
      </c>
      <c r="N61" t="str">
        <f ca="1">IF(COUNTIFS(A$2:A61,A61,O$2:O61,O61)&gt;1,"Repeat","New")</f>
        <v>New</v>
      </c>
      <c r="O61" s="2" t="e">
        <f t="shared" ca="1" si="5"/>
        <v>#VALUE!</v>
      </c>
      <c r="P61" s="3" t="e">
        <f t="shared" ca="1" si="6"/>
        <v>#VALUE!</v>
      </c>
      <c r="Q61" t="str">
        <f t="shared" si="7"/>
        <v>Jan-00</v>
      </c>
      <c r="R61" t="str">
        <f t="shared" si="8"/>
        <v>Q1</v>
      </c>
      <c r="S61">
        <f t="shared" si="9"/>
        <v>1900</v>
      </c>
      <c r="T61" t="str">
        <f t="shared" si="10"/>
        <v>Retail</v>
      </c>
    </row>
    <row r="62" spans="8:20" x14ac:dyDescent="0.3">
      <c r="H62">
        <f t="shared" si="11"/>
        <v>0</v>
      </c>
      <c r="I62">
        <f t="shared" si="0"/>
        <v>0</v>
      </c>
      <c r="J62">
        <f t="shared" si="1"/>
        <v>0</v>
      </c>
      <c r="K62" t="str">
        <f t="shared" si="2"/>
        <v>January</v>
      </c>
      <c r="L62" t="str">
        <f t="shared" si="3"/>
        <v>Q1</v>
      </c>
      <c r="M62" s="2">
        <f t="shared" si="4"/>
        <v>1900</v>
      </c>
      <c r="N62" t="str">
        <f ca="1">IF(COUNTIFS(A$2:A62,A62,O$2:O62,O62)&gt;1,"Repeat","New")</f>
        <v>New</v>
      </c>
      <c r="O62" s="2" t="e">
        <f t="shared" ca="1" si="5"/>
        <v>#VALUE!</v>
      </c>
      <c r="P62" s="3" t="e">
        <f t="shared" ca="1" si="6"/>
        <v>#VALUE!</v>
      </c>
      <c r="Q62" t="str">
        <f t="shared" si="7"/>
        <v>Jan-00</v>
      </c>
      <c r="R62" t="str">
        <f t="shared" si="8"/>
        <v>Q1</v>
      </c>
      <c r="S62">
        <f t="shared" si="9"/>
        <v>1900</v>
      </c>
      <c r="T62" t="str">
        <f t="shared" si="10"/>
        <v>Retail</v>
      </c>
    </row>
    <row r="63" spans="8:20" x14ac:dyDescent="0.3">
      <c r="H63">
        <f t="shared" si="11"/>
        <v>0</v>
      </c>
      <c r="I63">
        <f t="shared" si="0"/>
        <v>0</v>
      </c>
      <c r="J63">
        <f t="shared" si="1"/>
        <v>0</v>
      </c>
      <c r="K63" t="str">
        <f t="shared" si="2"/>
        <v>January</v>
      </c>
      <c r="L63" t="str">
        <f t="shared" si="3"/>
        <v>Q1</v>
      </c>
      <c r="M63" s="2">
        <f t="shared" si="4"/>
        <v>1900</v>
      </c>
      <c r="N63" t="str">
        <f ca="1">IF(COUNTIFS(A$2:A63,A63,O$2:O63,O63)&gt;1,"Repeat","New")</f>
        <v>New</v>
      </c>
      <c r="O63" s="2" t="e">
        <f t="shared" ca="1" si="5"/>
        <v>#VALUE!</v>
      </c>
      <c r="P63" s="3" t="e">
        <f t="shared" ca="1" si="6"/>
        <v>#VALUE!</v>
      </c>
      <c r="Q63" t="str">
        <f t="shared" si="7"/>
        <v>Jan-00</v>
      </c>
      <c r="R63" t="str">
        <f t="shared" si="8"/>
        <v>Q1</v>
      </c>
      <c r="S63">
        <f t="shared" si="9"/>
        <v>1900</v>
      </c>
      <c r="T63" t="str">
        <f t="shared" si="10"/>
        <v>Retail</v>
      </c>
    </row>
    <row r="64" spans="8:20" x14ac:dyDescent="0.3">
      <c r="H64">
        <f t="shared" si="11"/>
        <v>0</v>
      </c>
      <c r="I64">
        <f t="shared" si="0"/>
        <v>0</v>
      </c>
      <c r="J64">
        <f t="shared" si="1"/>
        <v>0</v>
      </c>
      <c r="K64" t="str">
        <f t="shared" si="2"/>
        <v>January</v>
      </c>
      <c r="L64" t="str">
        <f t="shared" si="3"/>
        <v>Q1</v>
      </c>
      <c r="M64" s="2">
        <f t="shared" si="4"/>
        <v>1900</v>
      </c>
      <c r="N64" t="str">
        <f ca="1">IF(COUNTIFS(A$2:A64,A64,O$2:O64,O64)&gt;1,"Repeat","New")</f>
        <v>New</v>
      </c>
      <c r="O64" s="2" t="e">
        <f t="shared" ca="1" si="5"/>
        <v>#VALUE!</v>
      </c>
      <c r="P64" s="3" t="e">
        <f t="shared" ca="1" si="6"/>
        <v>#VALUE!</v>
      </c>
      <c r="Q64" t="str">
        <f t="shared" si="7"/>
        <v>Jan-00</v>
      </c>
      <c r="R64" t="str">
        <f t="shared" si="8"/>
        <v>Q1</v>
      </c>
      <c r="S64">
        <f t="shared" si="9"/>
        <v>1900</v>
      </c>
      <c r="T64" t="str">
        <f t="shared" si="10"/>
        <v>Retail</v>
      </c>
    </row>
    <row r="65" spans="8:20" x14ac:dyDescent="0.3">
      <c r="H65">
        <f t="shared" si="11"/>
        <v>0</v>
      </c>
      <c r="I65">
        <f t="shared" si="0"/>
        <v>0</v>
      </c>
      <c r="J65">
        <f t="shared" si="1"/>
        <v>0</v>
      </c>
      <c r="K65" t="str">
        <f t="shared" si="2"/>
        <v>January</v>
      </c>
      <c r="L65" t="str">
        <f t="shared" si="3"/>
        <v>Q1</v>
      </c>
      <c r="M65" s="2">
        <f t="shared" si="4"/>
        <v>1900</v>
      </c>
      <c r="N65" t="str">
        <f ca="1">IF(COUNTIFS(A$2:A65,A65,O$2:O65,O65)&gt;1,"Repeat","New")</f>
        <v>New</v>
      </c>
      <c r="O65" s="2" t="e">
        <f t="shared" ca="1" si="5"/>
        <v>#VALUE!</v>
      </c>
      <c r="P65" s="3" t="e">
        <f t="shared" ca="1" si="6"/>
        <v>#VALUE!</v>
      </c>
      <c r="Q65" t="str">
        <f t="shared" si="7"/>
        <v>Jan-00</v>
      </c>
      <c r="R65" t="str">
        <f t="shared" si="8"/>
        <v>Q1</v>
      </c>
      <c r="S65">
        <f t="shared" si="9"/>
        <v>1900</v>
      </c>
      <c r="T65" t="str">
        <f t="shared" si="10"/>
        <v>Retail</v>
      </c>
    </row>
    <row r="66" spans="8:20" x14ac:dyDescent="0.3">
      <c r="H66">
        <f t="shared" si="11"/>
        <v>0</v>
      </c>
      <c r="I66">
        <f t="shared" ref="I66:I129" si="12">H66-(D66*F66)</f>
        <v>0</v>
      </c>
      <c r="J66">
        <f t="shared" ref="J66:J129" si="13">IF(H66&gt;0,I66/H66,0)</f>
        <v>0</v>
      </c>
      <c r="K66" t="str">
        <f t="shared" ref="K66:K129" si="14">TEXT(A66,"mmmm")</f>
        <v>January</v>
      </c>
      <c r="L66" t="str">
        <f t="shared" ref="L66:L129" si="15">"Q"&amp;ROUNDUP(MONTH(A66)/3,0)</f>
        <v>Q1</v>
      </c>
      <c r="M66" s="2">
        <f t="shared" ref="M66:M129" si="16">YEAR(A66)</f>
        <v>1900</v>
      </c>
      <c r="N66" t="str">
        <f ca="1">IF(COUNTIFS(A$2:A66,A66,O$2:O66,O66)&gt;1,"Repeat","New")</f>
        <v>New</v>
      </c>
      <c r="O66" s="2" t="e">
        <f t="shared" ref="O66:O129" ca="1" si="17">M66-N66</f>
        <v>#VALUE!</v>
      </c>
      <c r="P66" s="3" t="e">
        <f t="shared" ref="P66:P129" ca="1" si="18">IF(M66&gt;0,O66/M66,0)</f>
        <v>#VALUE!</v>
      </c>
      <c r="Q66" t="str">
        <f t="shared" ref="Q66:Q129" si="19">TEXT(B66, "mmm-yy")</f>
        <v>Jan-00</v>
      </c>
      <c r="R66" t="str">
        <f t="shared" ref="R66:R129" si="20">"Q"&amp;INT((MONTH(B66)-1)/3)+1</f>
        <v>Q1</v>
      </c>
      <c r="S66">
        <f t="shared" ref="S66:S129" si="21">YEAR(B66)</f>
        <v>1900</v>
      </c>
      <c r="T66" t="str">
        <f t="shared" ref="T66:T129" si="22">IF(M66&gt;5000, "Enterprise", "Retail")</f>
        <v>Retail</v>
      </c>
    </row>
    <row r="67" spans="8:20" x14ac:dyDescent="0.3">
      <c r="H67">
        <f t="shared" ref="H67:H130" si="23">(E67*F67)*(1-G67)</f>
        <v>0</v>
      </c>
      <c r="I67">
        <f t="shared" si="12"/>
        <v>0</v>
      </c>
      <c r="J67">
        <f t="shared" si="13"/>
        <v>0</v>
      </c>
      <c r="K67" t="str">
        <f t="shared" si="14"/>
        <v>January</v>
      </c>
      <c r="L67" t="str">
        <f t="shared" si="15"/>
        <v>Q1</v>
      </c>
      <c r="M67" s="2">
        <f t="shared" si="16"/>
        <v>1900</v>
      </c>
      <c r="N67" t="str">
        <f ca="1">IF(COUNTIFS(A$2:A67,A67,O$2:O67,O67)&gt;1,"Repeat","New")</f>
        <v>New</v>
      </c>
      <c r="O67" s="2" t="e">
        <f t="shared" ca="1" si="17"/>
        <v>#VALUE!</v>
      </c>
      <c r="P67" s="3" t="e">
        <f t="shared" ca="1" si="18"/>
        <v>#VALUE!</v>
      </c>
      <c r="Q67" t="str">
        <f t="shared" si="19"/>
        <v>Jan-00</v>
      </c>
      <c r="R67" t="str">
        <f t="shared" si="20"/>
        <v>Q1</v>
      </c>
      <c r="S67">
        <f t="shared" si="21"/>
        <v>1900</v>
      </c>
      <c r="T67" t="str">
        <f t="shared" si="22"/>
        <v>Retail</v>
      </c>
    </row>
    <row r="68" spans="8:20" x14ac:dyDescent="0.3">
      <c r="H68">
        <f t="shared" si="23"/>
        <v>0</v>
      </c>
      <c r="I68">
        <f t="shared" si="12"/>
        <v>0</v>
      </c>
      <c r="J68">
        <f t="shared" si="13"/>
        <v>0</v>
      </c>
      <c r="K68" t="str">
        <f t="shared" si="14"/>
        <v>January</v>
      </c>
      <c r="L68" t="str">
        <f t="shared" si="15"/>
        <v>Q1</v>
      </c>
      <c r="M68" s="2">
        <f t="shared" si="16"/>
        <v>1900</v>
      </c>
      <c r="N68" t="str">
        <f ca="1">IF(COUNTIFS(A$2:A68,A68,O$2:O68,O68)&gt;1,"Repeat","New")</f>
        <v>New</v>
      </c>
      <c r="O68" s="2" t="e">
        <f t="shared" ca="1" si="17"/>
        <v>#VALUE!</v>
      </c>
      <c r="P68" s="3" t="e">
        <f t="shared" ca="1" si="18"/>
        <v>#VALUE!</v>
      </c>
      <c r="Q68" t="str">
        <f t="shared" si="19"/>
        <v>Jan-00</v>
      </c>
      <c r="R68" t="str">
        <f t="shared" si="20"/>
        <v>Q1</v>
      </c>
      <c r="S68">
        <f t="shared" si="21"/>
        <v>1900</v>
      </c>
      <c r="T68" t="str">
        <f t="shared" si="22"/>
        <v>Retail</v>
      </c>
    </row>
    <row r="69" spans="8:20" x14ac:dyDescent="0.3">
      <c r="H69">
        <f t="shared" si="23"/>
        <v>0</v>
      </c>
      <c r="I69">
        <f t="shared" si="12"/>
        <v>0</v>
      </c>
      <c r="J69">
        <f t="shared" si="13"/>
        <v>0</v>
      </c>
      <c r="K69" t="str">
        <f t="shared" si="14"/>
        <v>January</v>
      </c>
      <c r="L69" t="str">
        <f t="shared" si="15"/>
        <v>Q1</v>
      </c>
      <c r="M69" s="2">
        <f t="shared" si="16"/>
        <v>1900</v>
      </c>
      <c r="N69" t="str">
        <f ca="1">IF(COUNTIFS(A$2:A69,A69,O$2:O69,O69)&gt;1,"Repeat","New")</f>
        <v>New</v>
      </c>
      <c r="O69" s="2" t="e">
        <f t="shared" ca="1" si="17"/>
        <v>#VALUE!</v>
      </c>
      <c r="P69" s="3" t="e">
        <f t="shared" ca="1" si="18"/>
        <v>#VALUE!</v>
      </c>
      <c r="Q69" t="str">
        <f t="shared" si="19"/>
        <v>Jan-00</v>
      </c>
      <c r="R69" t="str">
        <f t="shared" si="20"/>
        <v>Q1</v>
      </c>
      <c r="S69">
        <f t="shared" si="21"/>
        <v>1900</v>
      </c>
      <c r="T69" t="str">
        <f t="shared" si="22"/>
        <v>Retail</v>
      </c>
    </row>
    <row r="70" spans="8:20" x14ac:dyDescent="0.3">
      <c r="H70">
        <f t="shared" si="23"/>
        <v>0</v>
      </c>
      <c r="I70">
        <f t="shared" si="12"/>
        <v>0</v>
      </c>
      <c r="J70">
        <f t="shared" si="13"/>
        <v>0</v>
      </c>
      <c r="K70" t="str">
        <f t="shared" si="14"/>
        <v>January</v>
      </c>
      <c r="L70" t="str">
        <f t="shared" si="15"/>
        <v>Q1</v>
      </c>
      <c r="M70" s="2">
        <f t="shared" si="16"/>
        <v>1900</v>
      </c>
      <c r="N70" t="str">
        <f ca="1">IF(COUNTIFS(A$2:A70,A70,O$2:O70,O70)&gt;1,"Repeat","New")</f>
        <v>New</v>
      </c>
      <c r="O70" s="2" t="e">
        <f t="shared" ca="1" si="17"/>
        <v>#VALUE!</v>
      </c>
      <c r="P70" s="3" t="e">
        <f t="shared" ca="1" si="18"/>
        <v>#VALUE!</v>
      </c>
      <c r="Q70" t="str">
        <f t="shared" si="19"/>
        <v>Jan-00</v>
      </c>
      <c r="R70" t="str">
        <f t="shared" si="20"/>
        <v>Q1</v>
      </c>
      <c r="S70">
        <f t="shared" si="21"/>
        <v>1900</v>
      </c>
      <c r="T70" t="str">
        <f t="shared" si="22"/>
        <v>Retail</v>
      </c>
    </row>
    <row r="71" spans="8:20" x14ac:dyDescent="0.3">
      <c r="H71">
        <f t="shared" si="23"/>
        <v>0</v>
      </c>
      <c r="I71">
        <f t="shared" si="12"/>
        <v>0</v>
      </c>
      <c r="J71">
        <f t="shared" si="13"/>
        <v>0</v>
      </c>
      <c r="K71" t="str">
        <f t="shared" si="14"/>
        <v>January</v>
      </c>
      <c r="L71" t="str">
        <f t="shared" si="15"/>
        <v>Q1</v>
      </c>
      <c r="M71" s="2">
        <f t="shared" si="16"/>
        <v>1900</v>
      </c>
      <c r="N71" t="str">
        <f ca="1">IF(COUNTIFS(A$2:A71,A71,O$2:O71,O71)&gt;1,"Repeat","New")</f>
        <v>New</v>
      </c>
      <c r="O71" s="2" t="e">
        <f t="shared" ca="1" si="17"/>
        <v>#VALUE!</v>
      </c>
      <c r="P71" s="3" t="e">
        <f t="shared" ca="1" si="18"/>
        <v>#VALUE!</v>
      </c>
      <c r="Q71" t="str">
        <f t="shared" si="19"/>
        <v>Jan-00</v>
      </c>
      <c r="R71" t="str">
        <f t="shared" si="20"/>
        <v>Q1</v>
      </c>
      <c r="S71">
        <f t="shared" si="21"/>
        <v>1900</v>
      </c>
      <c r="T71" t="str">
        <f t="shared" si="22"/>
        <v>Retail</v>
      </c>
    </row>
    <row r="72" spans="8:20" x14ac:dyDescent="0.3">
      <c r="H72">
        <f t="shared" si="23"/>
        <v>0</v>
      </c>
      <c r="I72">
        <f t="shared" si="12"/>
        <v>0</v>
      </c>
      <c r="J72">
        <f t="shared" si="13"/>
        <v>0</v>
      </c>
      <c r="K72" t="str">
        <f t="shared" si="14"/>
        <v>January</v>
      </c>
      <c r="L72" t="str">
        <f t="shared" si="15"/>
        <v>Q1</v>
      </c>
      <c r="M72" s="2">
        <f t="shared" si="16"/>
        <v>1900</v>
      </c>
      <c r="N72" t="str">
        <f ca="1">IF(COUNTIFS(A$2:A72,A72,O$2:O72,O72)&gt;1,"Repeat","New")</f>
        <v>New</v>
      </c>
      <c r="O72" s="2" t="e">
        <f t="shared" ca="1" si="17"/>
        <v>#VALUE!</v>
      </c>
      <c r="P72" s="3" t="e">
        <f t="shared" ca="1" si="18"/>
        <v>#VALUE!</v>
      </c>
      <c r="Q72" t="str">
        <f t="shared" si="19"/>
        <v>Jan-00</v>
      </c>
      <c r="R72" t="str">
        <f t="shared" si="20"/>
        <v>Q1</v>
      </c>
      <c r="S72">
        <f t="shared" si="21"/>
        <v>1900</v>
      </c>
      <c r="T72" t="str">
        <f t="shared" si="22"/>
        <v>Retail</v>
      </c>
    </row>
    <row r="73" spans="8:20" x14ac:dyDescent="0.3">
      <c r="H73">
        <f t="shared" si="23"/>
        <v>0</v>
      </c>
      <c r="I73">
        <f t="shared" si="12"/>
        <v>0</v>
      </c>
      <c r="J73">
        <f t="shared" si="13"/>
        <v>0</v>
      </c>
      <c r="K73" t="str">
        <f t="shared" si="14"/>
        <v>January</v>
      </c>
      <c r="L73" t="str">
        <f t="shared" si="15"/>
        <v>Q1</v>
      </c>
      <c r="M73" s="2">
        <f t="shared" si="16"/>
        <v>1900</v>
      </c>
      <c r="N73" t="str">
        <f ca="1">IF(COUNTIFS(A$2:A73,A73,O$2:O73,O73)&gt;1,"Repeat","New")</f>
        <v>New</v>
      </c>
      <c r="O73" s="2" t="e">
        <f t="shared" ca="1" si="17"/>
        <v>#VALUE!</v>
      </c>
      <c r="P73" s="3" t="e">
        <f t="shared" ca="1" si="18"/>
        <v>#VALUE!</v>
      </c>
      <c r="Q73" t="str">
        <f t="shared" si="19"/>
        <v>Jan-00</v>
      </c>
      <c r="R73" t="str">
        <f t="shared" si="20"/>
        <v>Q1</v>
      </c>
      <c r="S73">
        <f t="shared" si="21"/>
        <v>1900</v>
      </c>
      <c r="T73" t="str">
        <f t="shared" si="22"/>
        <v>Retail</v>
      </c>
    </row>
    <row r="74" spans="8:20" x14ac:dyDescent="0.3">
      <c r="H74">
        <f t="shared" si="23"/>
        <v>0</v>
      </c>
      <c r="I74">
        <f t="shared" si="12"/>
        <v>0</v>
      </c>
      <c r="J74">
        <f t="shared" si="13"/>
        <v>0</v>
      </c>
      <c r="K74" t="str">
        <f t="shared" si="14"/>
        <v>January</v>
      </c>
      <c r="L74" t="str">
        <f t="shared" si="15"/>
        <v>Q1</v>
      </c>
      <c r="M74" s="2">
        <f t="shared" si="16"/>
        <v>1900</v>
      </c>
      <c r="N74" t="str">
        <f ca="1">IF(COUNTIFS(A$2:A74,A74,O$2:O74,O74)&gt;1,"Repeat","New")</f>
        <v>New</v>
      </c>
      <c r="O74" s="2" t="e">
        <f t="shared" ca="1" si="17"/>
        <v>#VALUE!</v>
      </c>
      <c r="P74" s="3" t="e">
        <f t="shared" ca="1" si="18"/>
        <v>#VALUE!</v>
      </c>
      <c r="Q74" t="str">
        <f t="shared" si="19"/>
        <v>Jan-00</v>
      </c>
      <c r="R74" t="str">
        <f t="shared" si="20"/>
        <v>Q1</v>
      </c>
      <c r="S74">
        <f t="shared" si="21"/>
        <v>1900</v>
      </c>
      <c r="T74" t="str">
        <f t="shared" si="22"/>
        <v>Retail</v>
      </c>
    </row>
    <row r="75" spans="8:20" x14ac:dyDescent="0.3">
      <c r="H75">
        <f t="shared" si="23"/>
        <v>0</v>
      </c>
      <c r="I75">
        <f t="shared" si="12"/>
        <v>0</v>
      </c>
      <c r="J75">
        <f t="shared" si="13"/>
        <v>0</v>
      </c>
      <c r="K75" t="str">
        <f t="shared" si="14"/>
        <v>January</v>
      </c>
      <c r="L75" t="str">
        <f t="shared" si="15"/>
        <v>Q1</v>
      </c>
      <c r="M75" s="2">
        <f t="shared" si="16"/>
        <v>1900</v>
      </c>
      <c r="N75" t="str">
        <f ca="1">IF(COUNTIFS(A$2:A75,A75,O$2:O75,O75)&gt;1,"Repeat","New")</f>
        <v>New</v>
      </c>
      <c r="O75" s="2" t="e">
        <f t="shared" ca="1" si="17"/>
        <v>#VALUE!</v>
      </c>
      <c r="P75" s="3" t="e">
        <f t="shared" ca="1" si="18"/>
        <v>#VALUE!</v>
      </c>
      <c r="Q75" t="str">
        <f t="shared" si="19"/>
        <v>Jan-00</v>
      </c>
      <c r="R75" t="str">
        <f t="shared" si="20"/>
        <v>Q1</v>
      </c>
      <c r="S75">
        <f t="shared" si="21"/>
        <v>1900</v>
      </c>
      <c r="T75" t="str">
        <f t="shared" si="22"/>
        <v>Retail</v>
      </c>
    </row>
    <row r="76" spans="8:20" x14ac:dyDescent="0.3">
      <c r="H76">
        <f t="shared" si="23"/>
        <v>0</v>
      </c>
      <c r="I76">
        <f t="shared" si="12"/>
        <v>0</v>
      </c>
      <c r="J76">
        <f t="shared" si="13"/>
        <v>0</v>
      </c>
      <c r="K76" t="str">
        <f t="shared" si="14"/>
        <v>January</v>
      </c>
      <c r="L76" t="str">
        <f t="shared" si="15"/>
        <v>Q1</v>
      </c>
      <c r="M76" s="2">
        <f t="shared" si="16"/>
        <v>1900</v>
      </c>
      <c r="N76" t="str">
        <f ca="1">IF(COUNTIFS(A$2:A76,A76,O$2:O76,O76)&gt;1,"Repeat","New")</f>
        <v>New</v>
      </c>
      <c r="O76" s="2" t="e">
        <f t="shared" ca="1" si="17"/>
        <v>#VALUE!</v>
      </c>
      <c r="P76" s="3" t="e">
        <f t="shared" ca="1" si="18"/>
        <v>#VALUE!</v>
      </c>
      <c r="Q76" t="str">
        <f t="shared" si="19"/>
        <v>Jan-00</v>
      </c>
      <c r="R76" t="str">
        <f t="shared" si="20"/>
        <v>Q1</v>
      </c>
      <c r="S76">
        <f t="shared" si="21"/>
        <v>1900</v>
      </c>
      <c r="T76" t="str">
        <f t="shared" si="22"/>
        <v>Retail</v>
      </c>
    </row>
    <row r="77" spans="8:20" x14ac:dyDescent="0.3">
      <c r="H77">
        <f t="shared" si="23"/>
        <v>0</v>
      </c>
      <c r="I77">
        <f t="shared" si="12"/>
        <v>0</v>
      </c>
      <c r="J77">
        <f t="shared" si="13"/>
        <v>0</v>
      </c>
      <c r="K77" t="str">
        <f t="shared" si="14"/>
        <v>January</v>
      </c>
      <c r="L77" t="str">
        <f t="shared" si="15"/>
        <v>Q1</v>
      </c>
      <c r="M77" s="2">
        <f t="shared" si="16"/>
        <v>1900</v>
      </c>
      <c r="N77" t="str">
        <f ca="1">IF(COUNTIFS(A$2:A77,A77,O$2:O77,O77)&gt;1,"Repeat","New")</f>
        <v>New</v>
      </c>
      <c r="O77" s="2" t="e">
        <f t="shared" ca="1" si="17"/>
        <v>#VALUE!</v>
      </c>
      <c r="P77" s="3" t="e">
        <f t="shared" ca="1" si="18"/>
        <v>#VALUE!</v>
      </c>
      <c r="Q77" t="str">
        <f t="shared" si="19"/>
        <v>Jan-00</v>
      </c>
      <c r="R77" t="str">
        <f t="shared" si="20"/>
        <v>Q1</v>
      </c>
      <c r="S77">
        <f t="shared" si="21"/>
        <v>1900</v>
      </c>
      <c r="T77" t="str">
        <f t="shared" si="22"/>
        <v>Retail</v>
      </c>
    </row>
    <row r="78" spans="8:20" x14ac:dyDescent="0.3">
      <c r="H78">
        <f t="shared" si="23"/>
        <v>0</v>
      </c>
      <c r="I78">
        <f t="shared" si="12"/>
        <v>0</v>
      </c>
      <c r="J78">
        <f t="shared" si="13"/>
        <v>0</v>
      </c>
      <c r="K78" t="str">
        <f t="shared" si="14"/>
        <v>January</v>
      </c>
      <c r="L78" t="str">
        <f t="shared" si="15"/>
        <v>Q1</v>
      </c>
      <c r="M78" s="2">
        <f t="shared" si="16"/>
        <v>1900</v>
      </c>
      <c r="N78" t="str">
        <f ca="1">IF(COUNTIFS(A$2:A78,A78,O$2:O78,O78)&gt;1,"Repeat","New")</f>
        <v>New</v>
      </c>
      <c r="O78" s="2" t="e">
        <f t="shared" ca="1" si="17"/>
        <v>#VALUE!</v>
      </c>
      <c r="P78" s="3" t="e">
        <f t="shared" ca="1" si="18"/>
        <v>#VALUE!</v>
      </c>
      <c r="Q78" t="str">
        <f t="shared" si="19"/>
        <v>Jan-00</v>
      </c>
      <c r="R78" t="str">
        <f t="shared" si="20"/>
        <v>Q1</v>
      </c>
      <c r="S78">
        <f t="shared" si="21"/>
        <v>1900</v>
      </c>
      <c r="T78" t="str">
        <f t="shared" si="22"/>
        <v>Retail</v>
      </c>
    </row>
    <row r="79" spans="8:20" x14ac:dyDescent="0.3">
      <c r="H79">
        <f t="shared" si="23"/>
        <v>0</v>
      </c>
      <c r="I79">
        <f t="shared" si="12"/>
        <v>0</v>
      </c>
      <c r="J79">
        <f t="shared" si="13"/>
        <v>0</v>
      </c>
      <c r="K79" t="str">
        <f t="shared" si="14"/>
        <v>January</v>
      </c>
      <c r="L79" t="str">
        <f t="shared" si="15"/>
        <v>Q1</v>
      </c>
      <c r="M79" s="2">
        <f t="shared" si="16"/>
        <v>1900</v>
      </c>
      <c r="N79" t="str">
        <f ca="1">IF(COUNTIFS(A$2:A79,A79,O$2:O79,O79)&gt;1,"Repeat","New")</f>
        <v>New</v>
      </c>
      <c r="O79" s="2" t="e">
        <f t="shared" ca="1" si="17"/>
        <v>#VALUE!</v>
      </c>
      <c r="P79" s="3" t="e">
        <f t="shared" ca="1" si="18"/>
        <v>#VALUE!</v>
      </c>
      <c r="Q79" t="str">
        <f t="shared" si="19"/>
        <v>Jan-00</v>
      </c>
      <c r="R79" t="str">
        <f t="shared" si="20"/>
        <v>Q1</v>
      </c>
      <c r="S79">
        <f t="shared" si="21"/>
        <v>1900</v>
      </c>
      <c r="T79" t="str">
        <f t="shared" si="22"/>
        <v>Retail</v>
      </c>
    </row>
    <row r="80" spans="8:20" x14ac:dyDescent="0.3">
      <c r="H80">
        <f t="shared" si="23"/>
        <v>0</v>
      </c>
      <c r="I80">
        <f t="shared" si="12"/>
        <v>0</v>
      </c>
      <c r="J80">
        <f t="shared" si="13"/>
        <v>0</v>
      </c>
      <c r="K80" t="str">
        <f t="shared" si="14"/>
        <v>January</v>
      </c>
      <c r="L80" t="str">
        <f t="shared" si="15"/>
        <v>Q1</v>
      </c>
      <c r="M80" s="2">
        <f t="shared" si="16"/>
        <v>1900</v>
      </c>
      <c r="N80" t="str">
        <f ca="1">IF(COUNTIFS(A$2:A80,A80,O$2:O80,O80)&gt;1,"Repeat","New")</f>
        <v>New</v>
      </c>
      <c r="O80" s="2" t="e">
        <f t="shared" ca="1" si="17"/>
        <v>#VALUE!</v>
      </c>
      <c r="P80" s="3" t="e">
        <f t="shared" ca="1" si="18"/>
        <v>#VALUE!</v>
      </c>
      <c r="Q80" t="str">
        <f t="shared" si="19"/>
        <v>Jan-00</v>
      </c>
      <c r="R80" t="str">
        <f t="shared" si="20"/>
        <v>Q1</v>
      </c>
      <c r="S80">
        <f t="shared" si="21"/>
        <v>1900</v>
      </c>
      <c r="T80" t="str">
        <f t="shared" si="22"/>
        <v>Retail</v>
      </c>
    </row>
    <row r="81" spans="8:20" x14ac:dyDescent="0.3">
      <c r="H81">
        <f t="shared" si="23"/>
        <v>0</v>
      </c>
      <c r="I81">
        <f t="shared" si="12"/>
        <v>0</v>
      </c>
      <c r="J81">
        <f t="shared" si="13"/>
        <v>0</v>
      </c>
      <c r="K81" t="str">
        <f t="shared" si="14"/>
        <v>January</v>
      </c>
      <c r="L81" t="str">
        <f t="shared" si="15"/>
        <v>Q1</v>
      </c>
      <c r="M81" s="2">
        <f t="shared" si="16"/>
        <v>1900</v>
      </c>
      <c r="N81" t="str">
        <f ca="1">IF(COUNTIFS(A$2:A81,A81,O$2:O81,O81)&gt;1,"Repeat","New")</f>
        <v>New</v>
      </c>
      <c r="O81" s="2" t="e">
        <f t="shared" ca="1" si="17"/>
        <v>#VALUE!</v>
      </c>
      <c r="P81" s="3" t="e">
        <f t="shared" ca="1" si="18"/>
        <v>#VALUE!</v>
      </c>
      <c r="Q81" t="str">
        <f t="shared" si="19"/>
        <v>Jan-00</v>
      </c>
      <c r="R81" t="str">
        <f t="shared" si="20"/>
        <v>Q1</v>
      </c>
      <c r="S81">
        <f t="shared" si="21"/>
        <v>1900</v>
      </c>
      <c r="T81" t="str">
        <f t="shared" si="22"/>
        <v>Retail</v>
      </c>
    </row>
    <row r="82" spans="8:20" x14ac:dyDescent="0.3">
      <c r="H82">
        <f t="shared" si="23"/>
        <v>0</v>
      </c>
      <c r="I82">
        <f t="shared" si="12"/>
        <v>0</v>
      </c>
      <c r="J82">
        <f t="shared" si="13"/>
        <v>0</v>
      </c>
      <c r="K82" t="str">
        <f t="shared" si="14"/>
        <v>January</v>
      </c>
      <c r="L82" t="str">
        <f t="shared" si="15"/>
        <v>Q1</v>
      </c>
      <c r="M82" s="2">
        <f t="shared" si="16"/>
        <v>1900</v>
      </c>
      <c r="N82" t="str">
        <f ca="1">IF(COUNTIFS(A$2:A82,A82,O$2:O82,O82)&gt;1,"Repeat","New")</f>
        <v>New</v>
      </c>
      <c r="O82" s="2" t="e">
        <f t="shared" ca="1" si="17"/>
        <v>#VALUE!</v>
      </c>
      <c r="P82" s="3" t="e">
        <f t="shared" ca="1" si="18"/>
        <v>#VALUE!</v>
      </c>
      <c r="Q82" t="str">
        <f t="shared" si="19"/>
        <v>Jan-00</v>
      </c>
      <c r="R82" t="str">
        <f t="shared" si="20"/>
        <v>Q1</v>
      </c>
      <c r="S82">
        <f t="shared" si="21"/>
        <v>1900</v>
      </c>
      <c r="T82" t="str">
        <f t="shared" si="22"/>
        <v>Retail</v>
      </c>
    </row>
    <row r="83" spans="8:20" x14ac:dyDescent="0.3">
      <c r="H83">
        <f t="shared" si="23"/>
        <v>0</v>
      </c>
      <c r="I83">
        <f t="shared" si="12"/>
        <v>0</v>
      </c>
      <c r="J83">
        <f t="shared" si="13"/>
        <v>0</v>
      </c>
      <c r="K83" t="str">
        <f t="shared" si="14"/>
        <v>January</v>
      </c>
      <c r="L83" t="str">
        <f t="shared" si="15"/>
        <v>Q1</v>
      </c>
      <c r="M83" s="2">
        <f t="shared" si="16"/>
        <v>1900</v>
      </c>
      <c r="N83" t="str">
        <f ca="1">IF(COUNTIFS(A$2:A83,A83,O$2:O83,O83)&gt;1,"Repeat","New")</f>
        <v>New</v>
      </c>
      <c r="O83" s="2" t="e">
        <f t="shared" ca="1" si="17"/>
        <v>#VALUE!</v>
      </c>
      <c r="P83" s="3" t="e">
        <f t="shared" ca="1" si="18"/>
        <v>#VALUE!</v>
      </c>
      <c r="Q83" t="str">
        <f t="shared" si="19"/>
        <v>Jan-00</v>
      </c>
      <c r="R83" t="str">
        <f t="shared" si="20"/>
        <v>Q1</v>
      </c>
      <c r="S83">
        <f t="shared" si="21"/>
        <v>1900</v>
      </c>
      <c r="T83" t="str">
        <f t="shared" si="22"/>
        <v>Retail</v>
      </c>
    </row>
    <row r="84" spans="8:20" x14ac:dyDescent="0.3">
      <c r="H84">
        <f t="shared" si="23"/>
        <v>0</v>
      </c>
      <c r="I84">
        <f t="shared" si="12"/>
        <v>0</v>
      </c>
      <c r="J84">
        <f t="shared" si="13"/>
        <v>0</v>
      </c>
      <c r="K84" t="str">
        <f t="shared" si="14"/>
        <v>January</v>
      </c>
      <c r="L84" t="str">
        <f t="shared" si="15"/>
        <v>Q1</v>
      </c>
      <c r="M84" s="2">
        <f t="shared" si="16"/>
        <v>1900</v>
      </c>
      <c r="N84" t="str">
        <f ca="1">IF(COUNTIFS(A$2:A84,A84,O$2:O84,O84)&gt;1,"Repeat","New")</f>
        <v>New</v>
      </c>
      <c r="O84" s="2" t="e">
        <f t="shared" ca="1" si="17"/>
        <v>#VALUE!</v>
      </c>
      <c r="P84" s="3" t="e">
        <f t="shared" ca="1" si="18"/>
        <v>#VALUE!</v>
      </c>
      <c r="Q84" t="str">
        <f t="shared" si="19"/>
        <v>Jan-00</v>
      </c>
      <c r="R84" t="str">
        <f t="shared" si="20"/>
        <v>Q1</v>
      </c>
      <c r="S84">
        <f t="shared" si="21"/>
        <v>1900</v>
      </c>
      <c r="T84" t="str">
        <f t="shared" si="22"/>
        <v>Retail</v>
      </c>
    </row>
    <row r="85" spans="8:20" x14ac:dyDescent="0.3">
      <c r="H85">
        <f t="shared" si="23"/>
        <v>0</v>
      </c>
      <c r="I85">
        <f t="shared" si="12"/>
        <v>0</v>
      </c>
      <c r="J85">
        <f t="shared" si="13"/>
        <v>0</v>
      </c>
      <c r="K85" t="str">
        <f t="shared" si="14"/>
        <v>January</v>
      </c>
      <c r="L85" t="str">
        <f t="shared" si="15"/>
        <v>Q1</v>
      </c>
      <c r="M85" s="2">
        <f t="shared" si="16"/>
        <v>1900</v>
      </c>
      <c r="N85" t="str">
        <f ca="1">IF(COUNTIFS(A$2:A85,A85,O$2:O85,O85)&gt;1,"Repeat","New")</f>
        <v>New</v>
      </c>
      <c r="O85" s="2" t="e">
        <f t="shared" ca="1" si="17"/>
        <v>#VALUE!</v>
      </c>
      <c r="P85" s="3" t="e">
        <f t="shared" ca="1" si="18"/>
        <v>#VALUE!</v>
      </c>
      <c r="Q85" t="str">
        <f t="shared" si="19"/>
        <v>Jan-00</v>
      </c>
      <c r="R85" t="str">
        <f t="shared" si="20"/>
        <v>Q1</v>
      </c>
      <c r="S85">
        <f t="shared" si="21"/>
        <v>1900</v>
      </c>
      <c r="T85" t="str">
        <f t="shared" si="22"/>
        <v>Retail</v>
      </c>
    </row>
    <row r="86" spans="8:20" x14ac:dyDescent="0.3">
      <c r="H86">
        <f t="shared" si="23"/>
        <v>0</v>
      </c>
      <c r="I86">
        <f t="shared" si="12"/>
        <v>0</v>
      </c>
      <c r="J86">
        <f t="shared" si="13"/>
        <v>0</v>
      </c>
      <c r="K86" t="str">
        <f t="shared" si="14"/>
        <v>January</v>
      </c>
      <c r="L86" t="str">
        <f t="shared" si="15"/>
        <v>Q1</v>
      </c>
      <c r="M86" s="2">
        <f t="shared" si="16"/>
        <v>1900</v>
      </c>
      <c r="N86" t="str">
        <f ca="1">IF(COUNTIFS(A$2:A86,A86,O$2:O86,O86)&gt;1,"Repeat","New")</f>
        <v>New</v>
      </c>
      <c r="O86" s="2" t="e">
        <f t="shared" ca="1" si="17"/>
        <v>#VALUE!</v>
      </c>
      <c r="P86" s="3" t="e">
        <f t="shared" ca="1" si="18"/>
        <v>#VALUE!</v>
      </c>
      <c r="Q86" t="str">
        <f t="shared" si="19"/>
        <v>Jan-00</v>
      </c>
      <c r="R86" t="str">
        <f t="shared" si="20"/>
        <v>Q1</v>
      </c>
      <c r="S86">
        <f t="shared" si="21"/>
        <v>1900</v>
      </c>
      <c r="T86" t="str">
        <f t="shared" si="22"/>
        <v>Retail</v>
      </c>
    </row>
    <row r="87" spans="8:20" x14ac:dyDescent="0.3">
      <c r="H87">
        <f t="shared" si="23"/>
        <v>0</v>
      </c>
      <c r="I87">
        <f t="shared" si="12"/>
        <v>0</v>
      </c>
      <c r="J87">
        <f t="shared" si="13"/>
        <v>0</v>
      </c>
      <c r="K87" t="str">
        <f t="shared" si="14"/>
        <v>January</v>
      </c>
      <c r="L87" t="str">
        <f t="shared" si="15"/>
        <v>Q1</v>
      </c>
      <c r="M87" s="2">
        <f t="shared" si="16"/>
        <v>1900</v>
      </c>
      <c r="N87" t="str">
        <f ca="1">IF(COUNTIFS(A$2:A87,A87,O$2:O87,O87)&gt;1,"Repeat","New")</f>
        <v>New</v>
      </c>
      <c r="O87" s="2" t="e">
        <f t="shared" ca="1" si="17"/>
        <v>#VALUE!</v>
      </c>
      <c r="P87" s="3" t="e">
        <f t="shared" ca="1" si="18"/>
        <v>#VALUE!</v>
      </c>
      <c r="Q87" t="str">
        <f t="shared" si="19"/>
        <v>Jan-00</v>
      </c>
      <c r="R87" t="str">
        <f t="shared" si="20"/>
        <v>Q1</v>
      </c>
      <c r="S87">
        <f t="shared" si="21"/>
        <v>1900</v>
      </c>
      <c r="T87" t="str">
        <f t="shared" si="22"/>
        <v>Retail</v>
      </c>
    </row>
    <row r="88" spans="8:20" x14ac:dyDescent="0.3">
      <c r="H88">
        <f t="shared" si="23"/>
        <v>0</v>
      </c>
      <c r="I88">
        <f t="shared" si="12"/>
        <v>0</v>
      </c>
      <c r="J88">
        <f t="shared" si="13"/>
        <v>0</v>
      </c>
      <c r="K88" t="str">
        <f t="shared" si="14"/>
        <v>January</v>
      </c>
      <c r="L88" t="str">
        <f t="shared" si="15"/>
        <v>Q1</v>
      </c>
      <c r="M88" s="2">
        <f t="shared" si="16"/>
        <v>1900</v>
      </c>
      <c r="N88" t="str">
        <f ca="1">IF(COUNTIFS(A$2:A88,A88,O$2:O88,O88)&gt;1,"Repeat","New")</f>
        <v>New</v>
      </c>
      <c r="O88" s="2" t="e">
        <f t="shared" ca="1" si="17"/>
        <v>#VALUE!</v>
      </c>
      <c r="P88" s="3" t="e">
        <f t="shared" ca="1" si="18"/>
        <v>#VALUE!</v>
      </c>
      <c r="Q88" t="str">
        <f t="shared" si="19"/>
        <v>Jan-00</v>
      </c>
      <c r="R88" t="str">
        <f t="shared" si="20"/>
        <v>Q1</v>
      </c>
      <c r="S88">
        <f t="shared" si="21"/>
        <v>1900</v>
      </c>
      <c r="T88" t="str">
        <f t="shared" si="22"/>
        <v>Retail</v>
      </c>
    </row>
    <row r="89" spans="8:20" x14ac:dyDescent="0.3">
      <c r="H89">
        <f t="shared" si="23"/>
        <v>0</v>
      </c>
      <c r="I89">
        <f t="shared" si="12"/>
        <v>0</v>
      </c>
      <c r="J89">
        <f t="shared" si="13"/>
        <v>0</v>
      </c>
      <c r="K89" t="str">
        <f t="shared" si="14"/>
        <v>January</v>
      </c>
      <c r="L89" t="str">
        <f t="shared" si="15"/>
        <v>Q1</v>
      </c>
      <c r="M89" s="2">
        <f t="shared" si="16"/>
        <v>1900</v>
      </c>
      <c r="N89" t="str">
        <f ca="1">IF(COUNTIFS(A$2:A89,A89,O$2:O89,O89)&gt;1,"Repeat","New")</f>
        <v>New</v>
      </c>
      <c r="O89" s="2" t="e">
        <f t="shared" ca="1" si="17"/>
        <v>#VALUE!</v>
      </c>
      <c r="P89" s="3" t="e">
        <f t="shared" ca="1" si="18"/>
        <v>#VALUE!</v>
      </c>
      <c r="Q89" t="str">
        <f t="shared" si="19"/>
        <v>Jan-00</v>
      </c>
      <c r="R89" t="str">
        <f t="shared" si="20"/>
        <v>Q1</v>
      </c>
      <c r="S89">
        <f t="shared" si="21"/>
        <v>1900</v>
      </c>
      <c r="T89" t="str">
        <f t="shared" si="22"/>
        <v>Retail</v>
      </c>
    </row>
    <row r="90" spans="8:20" x14ac:dyDescent="0.3">
      <c r="H90">
        <f t="shared" si="23"/>
        <v>0</v>
      </c>
      <c r="I90">
        <f t="shared" si="12"/>
        <v>0</v>
      </c>
      <c r="J90">
        <f t="shared" si="13"/>
        <v>0</v>
      </c>
      <c r="K90" t="str">
        <f t="shared" si="14"/>
        <v>January</v>
      </c>
      <c r="L90" t="str">
        <f t="shared" si="15"/>
        <v>Q1</v>
      </c>
      <c r="M90" s="2">
        <f t="shared" si="16"/>
        <v>1900</v>
      </c>
      <c r="N90" t="str">
        <f ca="1">IF(COUNTIFS(A$2:A90,A90,O$2:O90,O90)&gt;1,"Repeat","New")</f>
        <v>New</v>
      </c>
      <c r="O90" s="2" t="e">
        <f t="shared" ca="1" si="17"/>
        <v>#VALUE!</v>
      </c>
      <c r="P90" s="3" t="e">
        <f t="shared" ca="1" si="18"/>
        <v>#VALUE!</v>
      </c>
      <c r="Q90" t="str">
        <f t="shared" si="19"/>
        <v>Jan-00</v>
      </c>
      <c r="R90" t="str">
        <f t="shared" si="20"/>
        <v>Q1</v>
      </c>
      <c r="S90">
        <f t="shared" si="21"/>
        <v>1900</v>
      </c>
      <c r="T90" t="str">
        <f t="shared" si="22"/>
        <v>Retail</v>
      </c>
    </row>
    <row r="91" spans="8:20" x14ac:dyDescent="0.3">
      <c r="H91">
        <f t="shared" si="23"/>
        <v>0</v>
      </c>
      <c r="I91">
        <f t="shared" si="12"/>
        <v>0</v>
      </c>
      <c r="J91">
        <f t="shared" si="13"/>
        <v>0</v>
      </c>
      <c r="K91" t="str">
        <f t="shared" si="14"/>
        <v>January</v>
      </c>
      <c r="L91" t="str">
        <f t="shared" si="15"/>
        <v>Q1</v>
      </c>
      <c r="M91" s="2">
        <f t="shared" si="16"/>
        <v>1900</v>
      </c>
      <c r="N91" t="str">
        <f ca="1">IF(COUNTIFS(A$2:A91,A91,O$2:O91,O91)&gt;1,"Repeat","New")</f>
        <v>New</v>
      </c>
      <c r="O91" s="2" t="e">
        <f t="shared" ca="1" si="17"/>
        <v>#VALUE!</v>
      </c>
      <c r="P91" s="3" t="e">
        <f t="shared" ca="1" si="18"/>
        <v>#VALUE!</v>
      </c>
      <c r="Q91" t="str">
        <f t="shared" si="19"/>
        <v>Jan-00</v>
      </c>
      <c r="R91" t="str">
        <f t="shared" si="20"/>
        <v>Q1</v>
      </c>
      <c r="S91">
        <f t="shared" si="21"/>
        <v>1900</v>
      </c>
      <c r="T91" t="str">
        <f t="shared" si="22"/>
        <v>Retail</v>
      </c>
    </row>
    <row r="92" spans="8:20" x14ac:dyDescent="0.3">
      <c r="H92">
        <f t="shared" si="23"/>
        <v>0</v>
      </c>
      <c r="I92">
        <f t="shared" si="12"/>
        <v>0</v>
      </c>
      <c r="J92">
        <f t="shared" si="13"/>
        <v>0</v>
      </c>
      <c r="K92" t="str">
        <f t="shared" si="14"/>
        <v>January</v>
      </c>
      <c r="L92" t="str">
        <f t="shared" si="15"/>
        <v>Q1</v>
      </c>
      <c r="M92" s="2">
        <f t="shared" si="16"/>
        <v>1900</v>
      </c>
      <c r="N92" t="str">
        <f ca="1">IF(COUNTIFS(A$2:A92,A92,O$2:O92,O92)&gt;1,"Repeat","New")</f>
        <v>New</v>
      </c>
      <c r="O92" s="2" t="e">
        <f t="shared" ca="1" si="17"/>
        <v>#VALUE!</v>
      </c>
      <c r="P92" s="3" t="e">
        <f t="shared" ca="1" si="18"/>
        <v>#VALUE!</v>
      </c>
      <c r="Q92" t="str">
        <f t="shared" si="19"/>
        <v>Jan-00</v>
      </c>
      <c r="R92" t="str">
        <f t="shared" si="20"/>
        <v>Q1</v>
      </c>
      <c r="S92">
        <f t="shared" si="21"/>
        <v>1900</v>
      </c>
      <c r="T92" t="str">
        <f t="shared" si="22"/>
        <v>Retail</v>
      </c>
    </row>
    <row r="93" spans="8:20" x14ac:dyDescent="0.3">
      <c r="H93">
        <f t="shared" si="23"/>
        <v>0</v>
      </c>
      <c r="I93">
        <f t="shared" si="12"/>
        <v>0</v>
      </c>
      <c r="J93">
        <f t="shared" si="13"/>
        <v>0</v>
      </c>
      <c r="K93" t="str">
        <f t="shared" si="14"/>
        <v>January</v>
      </c>
      <c r="L93" t="str">
        <f t="shared" si="15"/>
        <v>Q1</v>
      </c>
      <c r="M93" s="2">
        <f t="shared" si="16"/>
        <v>1900</v>
      </c>
      <c r="N93" t="str">
        <f ca="1">IF(COUNTIFS(A$2:A93,A93,O$2:O93,O93)&gt;1,"Repeat","New")</f>
        <v>New</v>
      </c>
      <c r="O93" s="2" t="e">
        <f t="shared" ca="1" si="17"/>
        <v>#VALUE!</v>
      </c>
      <c r="P93" s="3" t="e">
        <f t="shared" ca="1" si="18"/>
        <v>#VALUE!</v>
      </c>
      <c r="Q93" t="str">
        <f t="shared" si="19"/>
        <v>Jan-00</v>
      </c>
      <c r="R93" t="str">
        <f t="shared" si="20"/>
        <v>Q1</v>
      </c>
      <c r="S93">
        <f t="shared" si="21"/>
        <v>1900</v>
      </c>
      <c r="T93" t="str">
        <f t="shared" si="22"/>
        <v>Retail</v>
      </c>
    </row>
    <row r="94" spans="8:20" x14ac:dyDescent="0.3">
      <c r="H94">
        <f t="shared" si="23"/>
        <v>0</v>
      </c>
      <c r="I94">
        <f t="shared" si="12"/>
        <v>0</v>
      </c>
      <c r="J94">
        <f t="shared" si="13"/>
        <v>0</v>
      </c>
      <c r="K94" t="str">
        <f t="shared" si="14"/>
        <v>January</v>
      </c>
      <c r="L94" t="str">
        <f t="shared" si="15"/>
        <v>Q1</v>
      </c>
      <c r="M94" s="2">
        <f t="shared" si="16"/>
        <v>1900</v>
      </c>
      <c r="N94" t="str">
        <f ca="1">IF(COUNTIFS(A$2:A94,A94,O$2:O94,O94)&gt;1,"Repeat","New")</f>
        <v>New</v>
      </c>
      <c r="O94" s="2" t="e">
        <f t="shared" ca="1" si="17"/>
        <v>#VALUE!</v>
      </c>
      <c r="P94" s="3" t="e">
        <f t="shared" ca="1" si="18"/>
        <v>#VALUE!</v>
      </c>
      <c r="Q94" t="str">
        <f t="shared" si="19"/>
        <v>Jan-00</v>
      </c>
      <c r="R94" t="str">
        <f t="shared" si="20"/>
        <v>Q1</v>
      </c>
      <c r="S94">
        <f t="shared" si="21"/>
        <v>1900</v>
      </c>
      <c r="T94" t="str">
        <f t="shared" si="22"/>
        <v>Retail</v>
      </c>
    </row>
    <row r="95" spans="8:20" x14ac:dyDescent="0.3">
      <c r="H95">
        <f t="shared" si="23"/>
        <v>0</v>
      </c>
      <c r="I95">
        <f t="shared" si="12"/>
        <v>0</v>
      </c>
      <c r="J95">
        <f t="shared" si="13"/>
        <v>0</v>
      </c>
      <c r="K95" t="str">
        <f t="shared" si="14"/>
        <v>January</v>
      </c>
      <c r="L95" t="str">
        <f t="shared" si="15"/>
        <v>Q1</v>
      </c>
      <c r="M95" s="2">
        <f t="shared" si="16"/>
        <v>1900</v>
      </c>
      <c r="N95" t="str">
        <f ca="1">IF(COUNTIFS(A$2:A95,A95,O$2:O95,O95)&gt;1,"Repeat","New")</f>
        <v>New</v>
      </c>
      <c r="O95" s="2" t="e">
        <f t="shared" ca="1" si="17"/>
        <v>#VALUE!</v>
      </c>
      <c r="P95" s="3" t="e">
        <f t="shared" ca="1" si="18"/>
        <v>#VALUE!</v>
      </c>
      <c r="Q95" t="str">
        <f t="shared" si="19"/>
        <v>Jan-00</v>
      </c>
      <c r="R95" t="str">
        <f t="shared" si="20"/>
        <v>Q1</v>
      </c>
      <c r="S95">
        <f t="shared" si="21"/>
        <v>1900</v>
      </c>
      <c r="T95" t="str">
        <f t="shared" si="22"/>
        <v>Retail</v>
      </c>
    </row>
    <row r="96" spans="8:20" x14ac:dyDescent="0.3">
      <c r="H96">
        <f t="shared" si="23"/>
        <v>0</v>
      </c>
      <c r="I96">
        <f t="shared" si="12"/>
        <v>0</v>
      </c>
      <c r="J96">
        <f t="shared" si="13"/>
        <v>0</v>
      </c>
      <c r="K96" t="str">
        <f t="shared" si="14"/>
        <v>January</v>
      </c>
      <c r="L96" t="str">
        <f t="shared" si="15"/>
        <v>Q1</v>
      </c>
      <c r="M96" s="2">
        <f t="shared" si="16"/>
        <v>1900</v>
      </c>
      <c r="N96" t="str">
        <f ca="1">IF(COUNTIFS(A$2:A96,A96,O$2:O96,O96)&gt;1,"Repeat","New")</f>
        <v>New</v>
      </c>
      <c r="O96" s="2" t="e">
        <f t="shared" ca="1" si="17"/>
        <v>#VALUE!</v>
      </c>
      <c r="P96" s="3" t="e">
        <f t="shared" ca="1" si="18"/>
        <v>#VALUE!</v>
      </c>
      <c r="Q96" t="str">
        <f t="shared" si="19"/>
        <v>Jan-00</v>
      </c>
      <c r="R96" t="str">
        <f t="shared" si="20"/>
        <v>Q1</v>
      </c>
      <c r="S96">
        <f t="shared" si="21"/>
        <v>1900</v>
      </c>
      <c r="T96" t="str">
        <f t="shared" si="22"/>
        <v>Retail</v>
      </c>
    </row>
    <row r="97" spans="8:20" x14ac:dyDescent="0.3">
      <c r="H97">
        <f t="shared" si="23"/>
        <v>0</v>
      </c>
      <c r="I97">
        <f t="shared" si="12"/>
        <v>0</v>
      </c>
      <c r="J97">
        <f t="shared" si="13"/>
        <v>0</v>
      </c>
      <c r="K97" t="str">
        <f t="shared" si="14"/>
        <v>January</v>
      </c>
      <c r="L97" t="str">
        <f t="shared" si="15"/>
        <v>Q1</v>
      </c>
      <c r="M97" s="2">
        <f t="shared" si="16"/>
        <v>1900</v>
      </c>
      <c r="N97" t="str">
        <f ca="1">IF(COUNTIFS(A$2:A97,A97,O$2:O97,O97)&gt;1,"Repeat","New")</f>
        <v>New</v>
      </c>
      <c r="O97" s="2" t="e">
        <f t="shared" ca="1" si="17"/>
        <v>#VALUE!</v>
      </c>
      <c r="P97" s="3" t="e">
        <f t="shared" ca="1" si="18"/>
        <v>#VALUE!</v>
      </c>
      <c r="Q97" t="str">
        <f t="shared" si="19"/>
        <v>Jan-00</v>
      </c>
      <c r="R97" t="str">
        <f t="shared" si="20"/>
        <v>Q1</v>
      </c>
      <c r="S97">
        <f t="shared" si="21"/>
        <v>1900</v>
      </c>
      <c r="T97" t="str">
        <f t="shared" si="22"/>
        <v>Retail</v>
      </c>
    </row>
    <row r="98" spans="8:20" x14ac:dyDescent="0.3">
      <c r="H98">
        <f t="shared" si="23"/>
        <v>0</v>
      </c>
      <c r="I98">
        <f t="shared" si="12"/>
        <v>0</v>
      </c>
      <c r="J98">
        <f t="shared" si="13"/>
        <v>0</v>
      </c>
      <c r="K98" t="str">
        <f t="shared" si="14"/>
        <v>January</v>
      </c>
      <c r="L98" t="str">
        <f t="shared" si="15"/>
        <v>Q1</v>
      </c>
      <c r="M98" s="2">
        <f t="shared" si="16"/>
        <v>1900</v>
      </c>
      <c r="N98" t="str">
        <f ca="1">IF(COUNTIFS(A$2:A98,A98,O$2:O98,O98)&gt;1,"Repeat","New")</f>
        <v>New</v>
      </c>
      <c r="O98" s="2" t="e">
        <f t="shared" ca="1" si="17"/>
        <v>#VALUE!</v>
      </c>
      <c r="P98" s="3" t="e">
        <f t="shared" ca="1" si="18"/>
        <v>#VALUE!</v>
      </c>
      <c r="Q98" t="str">
        <f t="shared" si="19"/>
        <v>Jan-00</v>
      </c>
      <c r="R98" t="str">
        <f t="shared" si="20"/>
        <v>Q1</v>
      </c>
      <c r="S98">
        <f t="shared" si="21"/>
        <v>1900</v>
      </c>
      <c r="T98" t="str">
        <f t="shared" si="22"/>
        <v>Retail</v>
      </c>
    </row>
    <row r="99" spans="8:20" x14ac:dyDescent="0.3">
      <c r="H99">
        <f t="shared" si="23"/>
        <v>0</v>
      </c>
      <c r="I99">
        <f t="shared" si="12"/>
        <v>0</v>
      </c>
      <c r="J99">
        <f t="shared" si="13"/>
        <v>0</v>
      </c>
      <c r="K99" t="str">
        <f t="shared" si="14"/>
        <v>January</v>
      </c>
      <c r="L99" t="str">
        <f t="shared" si="15"/>
        <v>Q1</v>
      </c>
      <c r="M99" s="2">
        <f t="shared" si="16"/>
        <v>1900</v>
      </c>
      <c r="N99" t="str">
        <f ca="1">IF(COUNTIFS(A$2:A99,A99,O$2:O99,O99)&gt;1,"Repeat","New")</f>
        <v>New</v>
      </c>
      <c r="O99" s="2" t="e">
        <f t="shared" ca="1" si="17"/>
        <v>#VALUE!</v>
      </c>
      <c r="P99" s="3" t="e">
        <f t="shared" ca="1" si="18"/>
        <v>#VALUE!</v>
      </c>
      <c r="Q99" t="str">
        <f t="shared" si="19"/>
        <v>Jan-00</v>
      </c>
      <c r="R99" t="str">
        <f t="shared" si="20"/>
        <v>Q1</v>
      </c>
      <c r="S99">
        <f t="shared" si="21"/>
        <v>1900</v>
      </c>
      <c r="T99" t="str">
        <f t="shared" si="22"/>
        <v>Retail</v>
      </c>
    </row>
    <row r="100" spans="8:20" x14ac:dyDescent="0.3">
      <c r="H100">
        <f t="shared" si="23"/>
        <v>0</v>
      </c>
      <c r="I100">
        <f t="shared" si="12"/>
        <v>0</v>
      </c>
      <c r="J100">
        <f t="shared" si="13"/>
        <v>0</v>
      </c>
      <c r="K100" t="str">
        <f t="shared" si="14"/>
        <v>January</v>
      </c>
      <c r="L100" t="str">
        <f t="shared" si="15"/>
        <v>Q1</v>
      </c>
      <c r="M100" s="2">
        <f t="shared" si="16"/>
        <v>1900</v>
      </c>
      <c r="N100" t="str">
        <f ca="1">IF(COUNTIFS(A$2:A100,A100,O$2:O100,O100)&gt;1,"Repeat","New")</f>
        <v>New</v>
      </c>
      <c r="O100" s="2" t="e">
        <f t="shared" ca="1" si="17"/>
        <v>#VALUE!</v>
      </c>
      <c r="P100" s="3" t="e">
        <f t="shared" ca="1" si="18"/>
        <v>#VALUE!</v>
      </c>
      <c r="Q100" t="str">
        <f t="shared" si="19"/>
        <v>Jan-00</v>
      </c>
      <c r="R100" t="str">
        <f t="shared" si="20"/>
        <v>Q1</v>
      </c>
      <c r="S100">
        <f t="shared" si="21"/>
        <v>1900</v>
      </c>
      <c r="T100" t="str">
        <f t="shared" si="22"/>
        <v>Retail</v>
      </c>
    </row>
    <row r="101" spans="8:20" x14ac:dyDescent="0.3">
      <c r="H101">
        <f t="shared" si="23"/>
        <v>0</v>
      </c>
      <c r="I101">
        <f t="shared" si="12"/>
        <v>0</v>
      </c>
      <c r="J101">
        <f t="shared" si="13"/>
        <v>0</v>
      </c>
      <c r="K101" t="str">
        <f t="shared" si="14"/>
        <v>January</v>
      </c>
      <c r="L101" t="str">
        <f t="shared" si="15"/>
        <v>Q1</v>
      </c>
      <c r="M101" s="2">
        <f t="shared" si="16"/>
        <v>1900</v>
      </c>
      <c r="N101" t="str">
        <f ca="1">IF(COUNTIFS(A$2:A101,A101,O$2:O101,O101)&gt;1,"Repeat","New")</f>
        <v>New</v>
      </c>
      <c r="O101" s="2" t="e">
        <f t="shared" ca="1" si="17"/>
        <v>#VALUE!</v>
      </c>
      <c r="P101" s="3" t="e">
        <f t="shared" ca="1" si="18"/>
        <v>#VALUE!</v>
      </c>
      <c r="Q101" t="str">
        <f t="shared" si="19"/>
        <v>Jan-00</v>
      </c>
      <c r="R101" t="str">
        <f t="shared" si="20"/>
        <v>Q1</v>
      </c>
      <c r="S101">
        <f t="shared" si="21"/>
        <v>1900</v>
      </c>
      <c r="T101" t="str">
        <f t="shared" si="22"/>
        <v>Retail</v>
      </c>
    </row>
    <row r="102" spans="8:20" x14ac:dyDescent="0.3">
      <c r="H102">
        <f t="shared" si="23"/>
        <v>0</v>
      </c>
      <c r="I102">
        <f t="shared" si="12"/>
        <v>0</v>
      </c>
      <c r="J102">
        <f t="shared" si="13"/>
        <v>0</v>
      </c>
      <c r="K102" t="str">
        <f t="shared" si="14"/>
        <v>January</v>
      </c>
      <c r="L102" t="str">
        <f t="shared" si="15"/>
        <v>Q1</v>
      </c>
      <c r="M102" s="2">
        <f t="shared" si="16"/>
        <v>1900</v>
      </c>
      <c r="N102" t="str">
        <f ca="1">IF(COUNTIFS(A$2:A102,A102,O$2:O102,O102)&gt;1,"Repeat","New")</f>
        <v>New</v>
      </c>
      <c r="O102" s="2" t="e">
        <f t="shared" ca="1" si="17"/>
        <v>#VALUE!</v>
      </c>
      <c r="P102" s="3" t="e">
        <f t="shared" ca="1" si="18"/>
        <v>#VALUE!</v>
      </c>
      <c r="Q102" t="str">
        <f t="shared" si="19"/>
        <v>Jan-00</v>
      </c>
      <c r="R102" t="str">
        <f t="shared" si="20"/>
        <v>Q1</v>
      </c>
      <c r="S102">
        <f t="shared" si="21"/>
        <v>1900</v>
      </c>
      <c r="T102" t="str">
        <f t="shared" si="22"/>
        <v>Retail</v>
      </c>
    </row>
    <row r="103" spans="8:20" x14ac:dyDescent="0.3">
      <c r="H103">
        <f t="shared" si="23"/>
        <v>0</v>
      </c>
      <c r="I103">
        <f t="shared" si="12"/>
        <v>0</v>
      </c>
      <c r="J103">
        <f t="shared" si="13"/>
        <v>0</v>
      </c>
      <c r="K103" t="str">
        <f t="shared" si="14"/>
        <v>January</v>
      </c>
      <c r="L103" t="str">
        <f t="shared" si="15"/>
        <v>Q1</v>
      </c>
      <c r="M103" s="2">
        <f t="shared" si="16"/>
        <v>1900</v>
      </c>
      <c r="N103" t="str">
        <f ca="1">IF(COUNTIFS(A$2:A103,A103,O$2:O103,O103)&gt;1,"Repeat","New")</f>
        <v>New</v>
      </c>
      <c r="O103" s="2" t="e">
        <f t="shared" ca="1" si="17"/>
        <v>#VALUE!</v>
      </c>
      <c r="P103" s="3" t="e">
        <f t="shared" ca="1" si="18"/>
        <v>#VALUE!</v>
      </c>
      <c r="Q103" t="str">
        <f t="shared" si="19"/>
        <v>Jan-00</v>
      </c>
      <c r="R103" t="str">
        <f t="shared" si="20"/>
        <v>Q1</v>
      </c>
      <c r="S103">
        <f t="shared" si="21"/>
        <v>1900</v>
      </c>
      <c r="T103" t="str">
        <f t="shared" si="22"/>
        <v>Retail</v>
      </c>
    </row>
    <row r="104" spans="8:20" x14ac:dyDescent="0.3">
      <c r="H104">
        <f t="shared" si="23"/>
        <v>0</v>
      </c>
      <c r="I104">
        <f t="shared" si="12"/>
        <v>0</v>
      </c>
      <c r="J104">
        <f t="shared" si="13"/>
        <v>0</v>
      </c>
      <c r="K104" t="str">
        <f t="shared" si="14"/>
        <v>January</v>
      </c>
      <c r="L104" t="str">
        <f t="shared" si="15"/>
        <v>Q1</v>
      </c>
      <c r="M104" s="2">
        <f t="shared" si="16"/>
        <v>1900</v>
      </c>
      <c r="N104" t="str">
        <f ca="1">IF(COUNTIFS(A$2:A104,A104,O$2:O104,O104)&gt;1,"Repeat","New")</f>
        <v>New</v>
      </c>
      <c r="O104" s="2" t="e">
        <f t="shared" ca="1" si="17"/>
        <v>#VALUE!</v>
      </c>
      <c r="P104" s="3" t="e">
        <f t="shared" ca="1" si="18"/>
        <v>#VALUE!</v>
      </c>
      <c r="Q104" t="str">
        <f t="shared" si="19"/>
        <v>Jan-00</v>
      </c>
      <c r="R104" t="str">
        <f t="shared" si="20"/>
        <v>Q1</v>
      </c>
      <c r="S104">
        <f t="shared" si="21"/>
        <v>1900</v>
      </c>
      <c r="T104" t="str">
        <f t="shared" si="22"/>
        <v>Retail</v>
      </c>
    </row>
    <row r="105" spans="8:20" x14ac:dyDescent="0.3">
      <c r="H105">
        <f t="shared" si="23"/>
        <v>0</v>
      </c>
      <c r="I105">
        <f t="shared" si="12"/>
        <v>0</v>
      </c>
      <c r="J105">
        <f t="shared" si="13"/>
        <v>0</v>
      </c>
      <c r="K105" t="str">
        <f t="shared" si="14"/>
        <v>January</v>
      </c>
      <c r="L105" t="str">
        <f t="shared" si="15"/>
        <v>Q1</v>
      </c>
      <c r="M105" s="2">
        <f t="shared" si="16"/>
        <v>1900</v>
      </c>
      <c r="N105" t="str">
        <f ca="1">IF(COUNTIFS(A$2:A105,A105,O$2:O105,O105)&gt;1,"Repeat","New")</f>
        <v>New</v>
      </c>
      <c r="O105" s="2" t="e">
        <f t="shared" ca="1" si="17"/>
        <v>#VALUE!</v>
      </c>
      <c r="P105" s="3" t="e">
        <f t="shared" ca="1" si="18"/>
        <v>#VALUE!</v>
      </c>
      <c r="Q105" t="str">
        <f t="shared" si="19"/>
        <v>Jan-00</v>
      </c>
      <c r="R105" t="str">
        <f t="shared" si="20"/>
        <v>Q1</v>
      </c>
      <c r="S105">
        <f t="shared" si="21"/>
        <v>1900</v>
      </c>
      <c r="T105" t="str">
        <f t="shared" si="22"/>
        <v>Retail</v>
      </c>
    </row>
    <row r="106" spans="8:20" x14ac:dyDescent="0.3">
      <c r="H106">
        <f t="shared" si="23"/>
        <v>0</v>
      </c>
      <c r="I106">
        <f t="shared" si="12"/>
        <v>0</v>
      </c>
      <c r="J106">
        <f t="shared" si="13"/>
        <v>0</v>
      </c>
      <c r="K106" t="str">
        <f t="shared" si="14"/>
        <v>January</v>
      </c>
      <c r="L106" t="str">
        <f t="shared" si="15"/>
        <v>Q1</v>
      </c>
      <c r="M106" s="2">
        <f t="shared" si="16"/>
        <v>1900</v>
      </c>
      <c r="N106" t="str">
        <f ca="1">IF(COUNTIFS(A$2:A106,A106,O$2:O106,O106)&gt;1,"Repeat","New")</f>
        <v>New</v>
      </c>
      <c r="O106" s="2" t="e">
        <f t="shared" ca="1" si="17"/>
        <v>#VALUE!</v>
      </c>
      <c r="P106" s="3" t="e">
        <f t="shared" ca="1" si="18"/>
        <v>#VALUE!</v>
      </c>
      <c r="Q106" t="str">
        <f t="shared" si="19"/>
        <v>Jan-00</v>
      </c>
      <c r="R106" t="str">
        <f t="shared" si="20"/>
        <v>Q1</v>
      </c>
      <c r="S106">
        <f t="shared" si="21"/>
        <v>1900</v>
      </c>
      <c r="T106" t="str">
        <f t="shared" si="22"/>
        <v>Retail</v>
      </c>
    </row>
    <row r="107" spans="8:20" x14ac:dyDescent="0.3">
      <c r="H107">
        <f t="shared" si="23"/>
        <v>0</v>
      </c>
      <c r="I107">
        <f t="shared" si="12"/>
        <v>0</v>
      </c>
      <c r="J107">
        <f t="shared" si="13"/>
        <v>0</v>
      </c>
      <c r="K107" t="str">
        <f t="shared" si="14"/>
        <v>January</v>
      </c>
      <c r="L107" t="str">
        <f t="shared" si="15"/>
        <v>Q1</v>
      </c>
      <c r="M107" s="2">
        <f t="shared" si="16"/>
        <v>1900</v>
      </c>
      <c r="N107" t="str">
        <f ca="1">IF(COUNTIFS(A$2:A107,A107,O$2:O107,O107)&gt;1,"Repeat","New")</f>
        <v>New</v>
      </c>
      <c r="O107" s="2" t="e">
        <f t="shared" ca="1" si="17"/>
        <v>#VALUE!</v>
      </c>
      <c r="P107" s="3" t="e">
        <f t="shared" ca="1" si="18"/>
        <v>#VALUE!</v>
      </c>
      <c r="Q107" t="str">
        <f t="shared" si="19"/>
        <v>Jan-00</v>
      </c>
      <c r="R107" t="str">
        <f t="shared" si="20"/>
        <v>Q1</v>
      </c>
      <c r="S107">
        <f t="shared" si="21"/>
        <v>1900</v>
      </c>
      <c r="T107" t="str">
        <f t="shared" si="22"/>
        <v>Retail</v>
      </c>
    </row>
    <row r="108" spans="8:20" x14ac:dyDescent="0.3">
      <c r="H108">
        <f t="shared" si="23"/>
        <v>0</v>
      </c>
      <c r="I108">
        <f t="shared" si="12"/>
        <v>0</v>
      </c>
      <c r="J108">
        <f t="shared" si="13"/>
        <v>0</v>
      </c>
      <c r="K108" t="str">
        <f t="shared" si="14"/>
        <v>January</v>
      </c>
      <c r="L108" t="str">
        <f t="shared" si="15"/>
        <v>Q1</v>
      </c>
      <c r="M108" s="2">
        <f t="shared" si="16"/>
        <v>1900</v>
      </c>
      <c r="N108" t="str">
        <f ca="1">IF(COUNTIFS(A$2:A108,A108,O$2:O108,O108)&gt;1,"Repeat","New")</f>
        <v>New</v>
      </c>
      <c r="O108" s="2" t="e">
        <f t="shared" ca="1" si="17"/>
        <v>#VALUE!</v>
      </c>
      <c r="P108" s="3" t="e">
        <f t="shared" ca="1" si="18"/>
        <v>#VALUE!</v>
      </c>
      <c r="Q108" t="str">
        <f t="shared" si="19"/>
        <v>Jan-00</v>
      </c>
      <c r="R108" t="str">
        <f t="shared" si="20"/>
        <v>Q1</v>
      </c>
      <c r="S108">
        <f t="shared" si="21"/>
        <v>1900</v>
      </c>
      <c r="T108" t="str">
        <f t="shared" si="22"/>
        <v>Retail</v>
      </c>
    </row>
    <row r="109" spans="8:20" x14ac:dyDescent="0.3">
      <c r="H109">
        <f t="shared" si="23"/>
        <v>0</v>
      </c>
      <c r="I109">
        <f t="shared" si="12"/>
        <v>0</v>
      </c>
      <c r="J109">
        <f t="shared" si="13"/>
        <v>0</v>
      </c>
      <c r="K109" t="str">
        <f t="shared" si="14"/>
        <v>January</v>
      </c>
      <c r="L109" t="str">
        <f t="shared" si="15"/>
        <v>Q1</v>
      </c>
      <c r="M109" s="2">
        <f t="shared" si="16"/>
        <v>1900</v>
      </c>
      <c r="N109" t="str">
        <f ca="1">IF(COUNTIFS(A$2:A109,A109,O$2:O109,O109)&gt;1,"Repeat","New")</f>
        <v>New</v>
      </c>
      <c r="O109" s="2" t="e">
        <f t="shared" ca="1" si="17"/>
        <v>#VALUE!</v>
      </c>
      <c r="P109" s="3" t="e">
        <f t="shared" ca="1" si="18"/>
        <v>#VALUE!</v>
      </c>
      <c r="Q109" t="str">
        <f t="shared" si="19"/>
        <v>Jan-00</v>
      </c>
      <c r="R109" t="str">
        <f t="shared" si="20"/>
        <v>Q1</v>
      </c>
      <c r="S109">
        <f t="shared" si="21"/>
        <v>1900</v>
      </c>
      <c r="T109" t="str">
        <f t="shared" si="22"/>
        <v>Retail</v>
      </c>
    </row>
    <row r="110" spans="8:20" x14ac:dyDescent="0.3">
      <c r="H110">
        <f t="shared" si="23"/>
        <v>0</v>
      </c>
      <c r="I110">
        <f t="shared" si="12"/>
        <v>0</v>
      </c>
      <c r="J110">
        <f t="shared" si="13"/>
        <v>0</v>
      </c>
      <c r="K110" t="str">
        <f t="shared" si="14"/>
        <v>January</v>
      </c>
      <c r="L110" t="str">
        <f t="shared" si="15"/>
        <v>Q1</v>
      </c>
      <c r="M110" s="2">
        <f t="shared" si="16"/>
        <v>1900</v>
      </c>
      <c r="N110" t="str">
        <f ca="1">IF(COUNTIFS(A$2:A110,A110,O$2:O110,O110)&gt;1,"Repeat","New")</f>
        <v>New</v>
      </c>
      <c r="O110" s="2" t="e">
        <f t="shared" ca="1" si="17"/>
        <v>#VALUE!</v>
      </c>
      <c r="P110" s="3" t="e">
        <f t="shared" ca="1" si="18"/>
        <v>#VALUE!</v>
      </c>
      <c r="Q110" t="str">
        <f t="shared" si="19"/>
        <v>Jan-00</v>
      </c>
      <c r="R110" t="str">
        <f t="shared" si="20"/>
        <v>Q1</v>
      </c>
      <c r="S110">
        <f t="shared" si="21"/>
        <v>1900</v>
      </c>
      <c r="T110" t="str">
        <f t="shared" si="22"/>
        <v>Retail</v>
      </c>
    </row>
    <row r="111" spans="8:20" x14ac:dyDescent="0.3">
      <c r="H111">
        <f t="shared" si="23"/>
        <v>0</v>
      </c>
      <c r="I111">
        <f t="shared" si="12"/>
        <v>0</v>
      </c>
      <c r="J111">
        <f t="shared" si="13"/>
        <v>0</v>
      </c>
      <c r="K111" t="str">
        <f t="shared" si="14"/>
        <v>January</v>
      </c>
      <c r="L111" t="str">
        <f t="shared" si="15"/>
        <v>Q1</v>
      </c>
      <c r="M111" s="2">
        <f t="shared" si="16"/>
        <v>1900</v>
      </c>
      <c r="N111" t="str">
        <f ca="1">IF(COUNTIFS(A$2:A111,A111,O$2:O111,O111)&gt;1,"Repeat","New")</f>
        <v>New</v>
      </c>
      <c r="O111" s="2" t="e">
        <f t="shared" ca="1" si="17"/>
        <v>#VALUE!</v>
      </c>
      <c r="P111" s="3" t="e">
        <f t="shared" ca="1" si="18"/>
        <v>#VALUE!</v>
      </c>
      <c r="Q111" t="str">
        <f t="shared" si="19"/>
        <v>Jan-00</v>
      </c>
      <c r="R111" t="str">
        <f t="shared" si="20"/>
        <v>Q1</v>
      </c>
      <c r="S111">
        <f t="shared" si="21"/>
        <v>1900</v>
      </c>
      <c r="T111" t="str">
        <f t="shared" si="22"/>
        <v>Retail</v>
      </c>
    </row>
    <row r="112" spans="8:20" x14ac:dyDescent="0.3">
      <c r="H112">
        <f t="shared" si="23"/>
        <v>0</v>
      </c>
      <c r="I112">
        <f t="shared" si="12"/>
        <v>0</v>
      </c>
      <c r="J112">
        <f t="shared" si="13"/>
        <v>0</v>
      </c>
      <c r="K112" t="str">
        <f t="shared" si="14"/>
        <v>January</v>
      </c>
      <c r="L112" t="str">
        <f t="shared" si="15"/>
        <v>Q1</v>
      </c>
      <c r="M112" s="2">
        <f t="shared" si="16"/>
        <v>1900</v>
      </c>
      <c r="N112" t="str">
        <f ca="1">IF(COUNTIFS(A$2:A112,A112,O$2:O112,O112)&gt;1,"Repeat","New")</f>
        <v>New</v>
      </c>
      <c r="O112" s="2" t="e">
        <f t="shared" ca="1" si="17"/>
        <v>#VALUE!</v>
      </c>
      <c r="P112" s="3" t="e">
        <f t="shared" ca="1" si="18"/>
        <v>#VALUE!</v>
      </c>
      <c r="Q112" t="str">
        <f t="shared" si="19"/>
        <v>Jan-00</v>
      </c>
      <c r="R112" t="str">
        <f t="shared" si="20"/>
        <v>Q1</v>
      </c>
      <c r="S112">
        <f t="shared" si="21"/>
        <v>1900</v>
      </c>
      <c r="T112" t="str">
        <f t="shared" si="22"/>
        <v>Retail</v>
      </c>
    </row>
    <row r="113" spans="8:20" x14ac:dyDescent="0.3">
      <c r="H113">
        <f t="shared" si="23"/>
        <v>0</v>
      </c>
      <c r="I113">
        <f t="shared" si="12"/>
        <v>0</v>
      </c>
      <c r="J113">
        <f t="shared" si="13"/>
        <v>0</v>
      </c>
      <c r="K113" t="str">
        <f t="shared" si="14"/>
        <v>January</v>
      </c>
      <c r="L113" t="str">
        <f t="shared" si="15"/>
        <v>Q1</v>
      </c>
      <c r="M113" s="2">
        <f t="shared" si="16"/>
        <v>1900</v>
      </c>
      <c r="N113" t="str">
        <f ca="1">IF(COUNTIFS(A$2:A113,A113,O$2:O113,O113)&gt;1,"Repeat","New")</f>
        <v>New</v>
      </c>
      <c r="O113" s="2" t="e">
        <f t="shared" ca="1" si="17"/>
        <v>#VALUE!</v>
      </c>
      <c r="P113" s="3" t="e">
        <f t="shared" ca="1" si="18"/>
        <v>#VALUE!</v>
      </c>
      <c r="Q113" t="str">
        <f t="shared" si="19"/>
        <v>Jan-00</v>
      </c>
      <c r="R113" t="str">
        <f t="shared" si="20"/>
        <v>Q1</v>
      </c>
      <c r="S113">
        <f t="shared" si="21"/>
        <v>1900</v>
      </c>
      <c r="T113" t="str">
        <f t="shared" si="22"/>
        <v>Retail</v>
      </c>
    </row>
    <row r="114" spans="8:20" x14ac:dyDescent="0.3">
      <c r="H114">
        <f t="shared" si="23"/>
        <v>0</v>
      </c>
      <c r="I114">
        <f t="shared" si="12"/>
        <v>0</v>
      </c>
      <c r="J114">
        <f t="shared" si="13"/>
        <v>0</v>
      </c>
      <c r="K114" t="str">
        <f t="shared" si="14"/>
        <v>January</v>
      </c>
      <c r="L114" t="str">
        <f t="shared" si="15"/>
        <v>Q1</v>
      </c>
      <c r="M114" s="2">
        <f t="shared" si="16"/>
        <v>1900</v>
      </c>
      <c r="N114" t="str">
        <f ca="1">IF(COUNTIFS(A$2:A114,A114,O$2:O114,O114)&gt;1,"Repeat","New")</f>
        <v>New</v>
      </c>
      <c r="O114" s="2" t="e">
        <f t="shared" ca="1" si="17"/>
        <v>#VALUE!</v>
      </c>
      <c r="P114" s="3" t="e">
        <f t="shared" ca="1" si="18"/>
        <v>#VALUE!</v>
      </c>
      <c r="Q114" t="str">
        <f t="shared" si="19"/>
        <v>Jan-00</v>
      </c>
      <c r="R114" t="str">
        <f t="shared" si="20"/>
        <v>Q1</v>
      </c>
      <c r="S114">
        <f t="shared" si="21"/>
        <v>1900</v>
      </c>
      <c r="T114" t="str">
        <f t="shared" si="22"/>
        <v>Retail</v>
      </c>
    </row>
    <row r="115" spans="8:20" x14ac:dyDescent="0.3">
      <c r="H115">
        <f t="shared" si="23"/>
        <v>0</v>
      </c>
      <c r="I115">
        <f t="shared" si="12"/>
        <v>0</v>
      </c>
      <c r="J115">
        <f t="shared" si="13"/>
        <v>0</v>
      </c>
      <c r="K115" t="str">
        <f t="shared" si="14"/>
        <v>January</v>
      </c>
      <c r="L115" t="str">
        <f t="shared" si="15"/>
        <v>Q1</v>
      </c>
      <c r="M115" s="2">
        <f t="shared" si="16"/>
        <v>1900</v>
      </c>
      <c r="N115" t="str">
        <f ca="1">IF(COUNTIFS(A$2:A115,A115,O$2:O115,O115)&gt;1,"Repeat","New")</f>
        <v>New</v>
      </c>
      <c r="O115" s="2" t="e">
        <f t="shared" ca="1" si="17"/>
        <v>#VALUE!</v>
      </c>
      <c r="P115" s="3" t="e">
        <f t="shared" ca="1" si="18"/>
        <v>#VALUE!</v>
      </c>
      <c r="Q115" t="str">
        <f t="shared" si="19"/>
        <v>Jan-00</v>
      </c>
      <c r="R115" t="str">
        <f t="shared" si="20"/>
        <v>Q1</v>
      </c>
      <c r="S115">
        <f t="shared" si="21"/>
        <v>1900</v>
      </c>
      <c r="T115" t="str">
        <f t="shared" si="22"/>
        <v>Retail</v>
      </c>
    </row>
    <row r="116" spans="8:20" x14ac:dyDescent="0.3">
      <c r="H116">
        <f t="shared" si="23"/>
        <v>0</v>
      </c>
      <c r="I116">
        <f t="shared" si="12"/>
        <v>0</v>
      </c>
      <c r="J116">
        <f t="shared" si="13"/>
        <v>0</v>
      </c>
      <c r="K116" t="str">
        <f t="shared" si="14"/>
        <v>January</v>
      </c>
      <c r="L116" t="str">
        <f t="shared" si="15"/>
        <v>Q1</v>
      </c>
      <c r="M116" s="2">
        <f t="shared" si="16"/>
        <v>1900</v>
      </c>
      <c r="N116" t="str">
        <f ca="1">IF(COUNTIFS(A$2:A116,A116,O$2:O116,O116)&gt;1,"Repeat","New")</f>
        <v>New</v>
      </c>
      <c r="O116" s="2" t="e">
        <f t="shared" ca="1" si="17"/>
        <v>#VALUE!</v>
      </c>
      <c r="P116" s="3" t="e">
        <f t="shared" ca="1" si="18"/>
        <v>#VALUE!</v>
      </c>
      <c r="Q116" t="str">
        <f t="shared" si="19"/>
        <v>Jan-00</v>
      </c>
      <c r="R116" t="str">
        <f t="shared" si="20"/>
        <v>Q1</v>
      </c>
      <c r="S116">
        <f t="shared" si="21"/>
        <v>1900</v>
      </c>
      <c r="T116" t="str">
        <f t="shared" si="22"/>
        <v>Retail</v>
      </c>
    </row>
    <row r="117" spans="8:20" x14ac:dyDescent="0.3">
      <c r="H117">
        <f t="shared" si="23"/>
        <v>0</v>
      </c>
      <c r="I117">
        <f t="shared" si="12"/>
        <v>0</v>
      </c>
      <c r="J117">
        <f t="shared" si="13"/>
        <v>0</v>
      </c>
      <c r="K117" t="str">
        <f t="shared" si="14"/>
        <v>January</v>
      </c>
      <c r="L117" t="str">
        <f t="shared" si="15"/>
        <v>Q1</v>
      </c>
      <c r="M117" s="2">
        <f t="shared" si="16"/>
        <v>1900</v>
      </c>
      <c r="N117" t="str">
        <f ca="1">IF(COUNTIFS(A$2:A117,A117,O$2:O117,O117)&gt;1,"Repeat","New")</f>
        <v>New</v>
      </c>
      <c r="O117" s="2" t="e">
        <f t="shared" ca="1" si="17"/>
        <v>#VALUE!</v>
      </c>
      <c r="P117" s="3" t="e">
        <f t="shared" ca="1" si="18"/>
        <v>#VALUE!</v>
      </c>
      <c r="Q117" t="str">
        <f t="shared" si="19"/>
        <v>Jan-00</v>
      </c>
      <c r="R117" t="str">
        <f t="shared" si="20"/>
        <v>Q1</v>
      </c>
      <c r="S117">
        <f t="shared" si="21"/>
        <v>1900</v>
      </c>
      <c r="T117" t="str">
        <f t="shared" si="22"/>
        <v>Retail</v>
      </c>
    </row>
    <row r="118" spans="8:20" x14ac:dyDescent="0.3">
      <c r="H118">
        <f t="shared" si="23"/>
        <v>0</v>
      </c>
      <c r="I118">
        <f t="shared" si="12"/>
        <v>0</v>
      </c>
      <c r="J118">
        <f t="shared" si="13"/>
        <v>0</v>
      </c>
      <c r="K118" t="str">
        <f t="shared" si="14"/>
        <v>January</v>
      </c>
      <c r="L118" t="str">
        <f t="shared" si="15"/>
        <v>Q1</v>
      </c>
      <c r="M118" s="2">
        <f t="shared" si="16"/>
        <v>1900</v>
      </c>
      <c r="N118" t="str">
        <f ca="1">IF(COUNTIFS(A$2:A118,A118,O$2:O118,O118)&gt;1,"Repeat","New")</f>
        <v>New</v>
      </c>
      <c r="O118" s="2" t="e">
        <f t="shared" ca="1" si="17"/>
        <v>#VALUE!</v>
      </c>
      <c r="P118" s="3" t="e">
        <f t="shared" ca="1" si="18"/>
        <v>#VALUE!</v>
      </c>
      <c r="Q118" t="str">
        <f t="shared" si="19"/>
        <v>Jan-00</v>
      </c>
      <c r="R118" t="str">
        <f t="shared" si="20"/>
        <v>Q1</v>
      </c>
      <c r="S118">
        <f t="shared" si="21"/>
        <v>1900</v>
      </c>
      <c r="T118" t="str">
        <f t="shared" si="22"/>
        <v>Retail</v>
      </c>
    </row>
    <row r="119" spans="8:20" x14ac:dyDescent="0.3">
      <c r="H119">
        <f t="shared" si="23"/>
        <v>0</v>
      </c>
      <c r="I119">
        <f t="shared" si="12"/>
        <v>0</v>
      </c>
      <c r="J119">
        <f t="shared" si="13"/>
        <v>0</v>
      </c>
      <c r="K119" t="str">
        <f t="shared" si="14"/>
        <v>January</v>
      </c>
      <c r="L119" t="str">
        <f t="shared" si="15"/>
        <v>Q1</v>
      </c>
      <c r="M119" s="2">
        <f t="shared" si="16"/>
        <v>1900</v>
      </c>
      <c r="N119" t="str">
        <f ca="1">IF(COUNTIFS(A$2:A119,A119,O$2:O119,O119)&gt;1,"Repeat","New")</f>
        <v>New</v>
      </c>
      <c r="O119" s="2" t="e">
        <f t="shared" ca="1" si="17"/>
        <v>#VALUE!</v>
      </c>
      <c r="P119" s="3" t="e">
        <f t="shared" ca="1" si="18"/>
        <v>#VALUE!</v>
      </c>
      <c r="Q119" t="str">
        <f t="shared" si="19"/>
        <v>Jan-00</v>
      </c>
      <c r="R119" t="str">
        <f t="shared" si="20"/>
        <v>Q1</v>
      </c>
      <c r="S119">
        <f t="shared" si="21"/>
        <v>1900</v>
      </c>
      <c r="T119" t="str">
        <f t="shared" si="22"/>
        <v>Retail</v>
      </c>
    </row>
    <row r="120" spans="8:20" x14ac:dyDescent="0.3">
      <c r="H120">
        <f t="shared" si="23"/>
        <v>0</v>
      </c>
      <c r="I120">
        <f t="shared" si="12"/>
        <v>0</v>
      </c>
      <c r="J120">
        <f t="shared" si="13"/>
        <v>0</v>
      </c>
      <c r="K120" t="str">
        <f t="shared" si="14"/>
        <v>January</v>
      </c>
      <c r="L120" t="str">
        <f t="shared" si="15"/>
        <v>Q1</v>
      </c>
      <c r="M120" s="2">
        <f t="shared" si="16"/>
        <v>1900</v>
      </c>
      <c r="N120" t="str">
        <f ca="1">IF(COUNTIFS(A$2:A120,A120,O$2:O120,O120)&gt;1,"Repeat","New")</f>
        <v>New</v>
      </c>
      <c r="O120" s="2" t="e">
        <f t="shared" ca="1" si="17"/>
        <v>#VALUE!</v>
      </c>
      <c r="P120" s="3" t="e">
        <f t="shared" ca="1" si="18"/>
        <v>#VALUE!</v>
      </c>
      <c r="Q120" t="str">
        <f t="shared" si="19"/>
        <v>Jan-00</v>
      </c>
      <c r="R120" t="str">
        <f t="shared" si="20"/>
        <v>Q1</v>
      </c>
      <c r="S120">
        <f t="shared" si="21"/>
        <v>1900</v>
      </c>
      <c r="T120" t="str">
        <f t="shared" si="22"/>
        <v>Retail</v>
      </c>
    </row>
    <row r="121" spans="8:20" x14ac:dyDescent="0.3">
      <c r="H121">
        <f t="shared" si="23"/>
        <v>0</v>
      </c>
      <c r="I121">
        <f t="shared" si="12"/>
        <v>0</v>
      </c>
      <c r="J121">
        <f t="shared" si="13"/>
        <v>0</v>
      </c>
      <c r="K121" t="str">
        <f t="shared" si="14"/>
        <v>January</v>
      </c>
      <c r="L121" t="str">
        <f t="shared" si="15"/>
        <v>Q1</v>
      </c>
      <c r="M121" s="2">
        <f t="shared" si="16"/>
        <v>1900</v>
      </c>
      <c r="N121" t="str">
        <f ca="1">IF(COUNTIFS(A$2:A121,A121,O$2:O121,O121)&gt;1,"Repeat","New")</f>
        <v>New</v>
      </c>
      <c r="O121" s="2" t="e">
        <f t="shared" ca="1" si="17"/>
        <v>#VALUE!</v>
      </c>
      <c r="P121" s="3" t="e">
        <f t="shared" ca="1" si="18"/>
        <v>#VALUE!</v>
      </c>
      <c r="Q121" t="str">
        <f t="shared" si="19"/>
        <v>Jan-00</v>
      </c>
      <c r="R121" t="str">
        <f t="shared" si="20"/>
        <v>Q1</v>
      </c>
      <c r="S121">
        <f t="shared" si="21"/>
        <v>1900</v>
      </c>
      <c r="T121" t="str">
        <f t="shared" si="22"/>
        <v>Retail</v>
      </c>
    </row>
    <row r="122" spans="8:20" x14ac:dyDescent="0.3">
      <c r="H122">
        <f t="shared" si="23"/>
        <v>0</v>
      </c>
      <c r="I122">
        <f t="shared" si="12"/>
        <v>0</v>
      </c>
      <c r="J122">
        <f t="shared" si="13"/>
        <v>0</v>
      </c>
      <c r="K122" t="str">
        <f t="shared" si="14"/>
        <v>January</v>
      </c>
      <c r="L122" t="str">
        <f t="shared" si="15"/>
        <v>Q1</v>
      </c>
      <c r="M122" s="2">
        <f t="shared" si="16"/>
        <v>1900</v>
      </c>
      <c r="N122" t="str">
        <f ca="1">IF(COUNTIFS(A$2:A122,A122,O$2:O122,O122)&gt;1,"Repeat","New")</f>
        <v>New</v>
      </c>
      <c r="O122" s="2" t="e">
        <f t="shared" ca="1" si="17"/>
        <v>#VALUE!</v>
      </c>
      <c r="P122" s="3" t="e">
        <f t="shared" ca="1" si="18"/>
        <v>#VALUE!</v>
      </c>
      <c r="Q122" t="str">
        <f t="shared" si="19"/>
        <v>Jan-00</v>
      </c>
      <c r="R122" t="str">
        <f t="shared" si="20"/>
        <v>Q1</v>
      </c>
      <c r="S122">
        <f t="shared" si="21"/>
        <v>1900</v>
      </c>
      <c r="T122" t="str">
        <f t="shared" si="22"/>
        <v>Retail</v>
      </c>
    </row>
    <row r="123" spans="8:20" x14ac:dyDescent="0.3">
      <c r="H123">
        <f t="shared" si="23"/>
        <v>0</v>
      </c>
      <c r="I123">
        <f t="shared" si="12"/>
        <v>0</v>
      </c>
      <c r="J123">
        <f t="shared" si="13"/>
        <v>0</v>
      </c>
      <c r="K123" t="str">
        <f t="shared" si="14"/>
        <v>January</v>
      </c>
      <c r="L123" t="str">
        <f t="shared" si="15"/>
        <v>Q1</v>
      </c>
      <c r="M123" s="2">
        <f t="shared" si="16"/>
        <v>1900</v>
      </c>
      <c r="N123" t="str">
        <f ca="1">IF(COUNTIFS(A$2:A123,A123,O$2:O123,O123)&gt;1,"Repeat","New")</f>
        <v>New</v>
      </c>
      <c r="O123" s="2" t="e">
        <f t="shared" ca="1" si="17"/>
        <v>#VALUE!</v>
      </c>
      <c r="P123" s="3" t="e">
        <f t="shared" ca="1" si="18"/>
        <v>#VALUE!</v>
      </c>
      <c r="Q123" t="str">
        <f t="shared" si="19"/>
        <v>Jan-00</v>
      </c>
      <c r="R123" t="str">
        <f t="shared" si="20"/>
        <v>Q1</v>
      </c>
      <c r="S123">
        <f t="shared" si="21"/>
        <v>1900</v>
      </c>
      <c r="T123" t="str">
        <f t="shared" si="22"/>
        <v>Retail</v>
      </c>
    </row>
    <row r="124" spans="8:20" x14ac:dyDescent="0.3">
      <c r="H124">
        <f t="shared" si="23"/>
        <v>0</v>
      </c>
      <c r="I124">
        <f t="shared" si="12"/>
        <v>0</v>
      </c>
      <c r="J124">
        <f t="shared" si="13"/>
        <v>0</v>
      </c>
      <c r="K124" t="str">
        <f t="shared" si="14"/>
        <v>January</v>
      </c>
      <c r="L124" t="str">
        <f t="shared" si="15"/>
        <v>Q1</v>
      </c>
      <c r="M124" s="2">
        <f t="shared" si="16"/>
        <v>1900</v>
      </c>
      <c r="N124" t="str">
        <f ca="1">IF(COUNTIFS(A$2:A124,A124,O$2:O124,O124)&gt;1,"Repeat","New")</f>
        <v>New</v>
      </c>
      <c r="O124" s="2" t="e">
        <f t="shared" ca="1" si="17"/>
        <v>#VALUE!</v>
      </c>
      <c r="P124" s="3" t="e">
        <f t="shared" ca="1" si="18"/>
        <v>#VALUE!</v>
      </c>
      <c r="Q124" t="str">
        <f t="shared" si="19"/>
        <v>Jan-00</v>
      </c>
      <c r="R124" t="str">
        <f t="shared" si="20"/>
        <v>Q1</v>
      </c>
      <c r="S124">
        <f t="shared" si="21"/>
        <v>1900</v>
      </c>
      <c r="T124" t="str">
        <f t="shared" si="22"/>
        <v>Retail</v>
      </c>
    </row>
    <row r="125" spans="8:20" x14ac:dyDescent="0.3">
      <c r="H125">
        <f t="shared" si="23"/>
        <v>0</v>
      </c>
      <c r="I125">
        <f t="shared" si="12"/>
        <v>0</v>
      </c>
      <c r="J125">
        <f t="shared" si="13"/>
        <v>0</v>
      </c>
      <c r="K125" t="str">
        <f t="shared" si="14"/>
        <v>January</v>
      </c>
      <c r="L125" t="str">
        <f t="shared" si="15"/>
        <v>Q1</v>
      </c>
      <c r="M125" s="2">
        <f t="shared" si="16"/>
        <v>1900</v>
      </c>
      <c r="N125" t="str">
        <f ca="1">IF(COUNTIFS(A$2:A125,A125,O$2:O125,O125)&gt;1,"Repeat","New")</f>
        <v>New</v>
      </c>
      <c r="O125" s="2" t="e">
        <f t="shared" ca="1" si="17"/>
        <v>#VALUE!</v>
      </c>
      <c r="P125" s="3" t="e">
        <f t="shared" ca="1" si="18"/>
        <v>#VALUE!</v>
      </c>
      <c r="Q125" t="str">
        <f t="shared" si="19"/>
        <v>Jan-00</v>
      </c>
      <c r="R125" t="str">
        <f t="shared" si="20"/>
        <v>Q1</v>
      </c>
      <c r="S125">
        <f t="shared" si="21"/>
        <v>1900</v>
      </c>
      <c r="T125" t="str">
        <f t="shared" si="22"/>
        <v>Retail</v>
      </c>
    </row>
    <row r="126" spans="8:20" x14ac:dyDescent="0.3">
      <c r="H126">
        <f t="shared" si="23"/>
        <v>0</v>
      </c>
      <c r="I126">
        <f t="shared" si="12"/>
        <v>0</v>
      </c>
      <c r="J126">
        <f t="shared" si="13"/>
        <v>0</v>
      </c>
      <c r="K126" t="str">
        <f t="shared" si="14"/>
        <v>January</v>
      </c>
      <c r="L126" t="str">
        <f t="shared" si="15"/>
        <v>Q1</v>
      </c>
      <c r="M126" s="2">
        <f t="shared" si="16"/>
        <v>1900</v>
      </c>
      <c r="N126" t="str">
        <f ca="1">IF(COUNTIFS(A$2:A126,A126,O$2:O126,O126)&gt;1,"Repeat","New")</f>
        <v>New</v>
      </c>
      <c r="O126" s="2" t="e">
        <f t="shared" ca="1" si="17"/>
        <v>#VALUE!</v>
      </c>
      <c r="P126" s="3" t="e">
        <f t="shared" ca="1" si="18"/>
        <v>#VALUE!</v>
      </c>
      <c r="Q126" t="str">
        <f t="shared" si="19"/>
        <v>Jan-00</v>
      </c>
      <c r="R126" t="str">
        <f t="shared" si="20"/>
        <v>Q1</v>
      </c>
      <c r="S126">
        <f t="shared" si="21"/>
        <v>1900</v>
      </c>
      <c r="T126" t="str">
        <f t="shared" si="22"/>
        <v>Retail</v>
      </c>
    </row>
    <row r="127" spans="8:20" x14ac:dyDescent="0.3">
      <c r="H127">
        <f t="shared" si="23"/>
        <v>0</v>
      </c>
      <c r="I127">
        <f t="shared" si="12"/>
        <v>0</v>
      </c>
      <c r="J127">
        <f t="shared" si="13"/>
        <v>0</v>
      </c>
      <c r="K127" t="str">
        <f t="shared" si="14"/>
        <v>January</v>
      </c>
      <c r="L127" t="str">
        <f t="shared" si="15"/>
        <v>Q1</v>
      </c>
      <c r="M127" s="2">
        <f t="shared" si="16"/>
        <v>1900</v>
      </c>
      <c r="N127" t="str">
        <f ca="1">IF(COUNTIFS(A$2:A127,A127,O$2:O127,O127)&gt;1,"Repeat","New")</f>
        <v>New</v>
      </c>
      <c r="O127" s="2" t="e">
        <f t="shared" ca="1" si="17"/>
        <v>#VALUE!</v>
      </c>
      <c r="P127" s="3" t="e">
        <f t="shared" ca="1" si="18"/>
        <v>#VALUE!</v>
      </c>
      <c r="Q127" t="str">
        <f t="shared" si="19"/>
        <v>Jan-00</v>
      </c>
      <c r="R127" t="str">
        <f t="shared" si="20"/>
        <v>Q1</v>
      </c>
      <c r="S127">
        <f t="shared" si="21"/>
        <v>1900</v>
      </c>
      <c r="T127" t="str">
        <f t="shared" si="22"/>
        <v>Retail</v>
      </c>
    </row>
    <row r="128" spans="8:20" x14ac:dyDescent="0.3">
      <c r="H128">
        <f t="shared" si="23"/>
        <v>0</v>
      </c>
      <c r="I128">
        <f t="shared" si="12"/>
        <v>0</v>
      </c>
      <c r="J128">
        <f t="shared" si="13"/>
        <v>0</v>
      </c>
      <c r="K128" t="str">
        <f t="shared" si="14"/>
        <v>January</v>
      </c>
      <c r="L128" t="str">
        <f t="shared" si="15"/>
        <v>Q1</v>
      </c>
      <c r="M128" s="2">
        <f t="shared" si="16"/>
        <v>1900</v>
      </c>
      <c r="N128" t="str">
        <f ca="1">IF(COUNTIFS(A$2:A128,A128,O$2:O128,O128)&gt;1,"Repeat","New")</f>
        <v>New</v>
      </c>
      <c r="O128" s="2" t="e">
        <f t="shared" ca="1" si="17"/>
        <v>#VALUE!</v>
      </c>
      <c r="P128" s="3" t="e">
        <f t="shared" ca="1" si="18"/>
        <v>#VALUE!</v>
      </c>
      <c r="Q128" t="str">
        <f t="shared" si="19"/>
        <v>Jan-00</v>
      </c>
      <c r="R128" t="str">
        <f t="shared" si="20"/>
        <v>Q1</v>
      </c>
      <c r="S128">
        <f t="shared" si="21"/>
        <v>1900</v>
      </c>
      <c r="T128" t="str">
        <f t="shared" si="22"/>
        <v>Retail</v>
      </c>
    </row>
    <row r="129" spans="8:20" x14ac:dyDescent="0.3">
      <c r="H129">
        <f t="shared" si="23"/>
        <v>0</v>
      </c>
      <c r="I129">
        <f t="shared" si="12"/>
        <v>0</v>
      </c>
      <c r="J129">
        <f t="shared" si="13"/>
        <v>0</v>
      </c>
      <c r="K129" t="str">
        <f t="shared" si="14"/>
        <v>January</v>
      </c>
      <c r="L129" t="str">
        <f t="shared" si="15"/>
        <v>Q1</v>
      </c>
      <c r="M129" s="2">
        <f t="shared" si="16"/>
        <v>1900</v>
      </c>
      <c r="N129" t="str">
        <f ca="1">IF(COUNTIFS(A$2:A129,A129,O$2:O129,O129)&gt;1,"Repeat","New")</f>
        <v>New</v>
      </c>
      <c r="O129" s="2" t="e">
        <f t="shared" ca="1" si="17"/>
        <v>#VALUE!</v>
      </c>
      <c r="P129" s="3" t="e">
        <f t="shared" ca="1" si="18"/>
        <v>#VALUE!</v>
      </c>
      <c r="Q129" t="str">
        <f t="shared" si="19"/>
        <v>Jan-00</v>
      </c>
      <c r="R129" t="str">
        <f t="shared" si="20"/>
        <v>Q1</v>
      </c>
      <c r="S129">
        <f t="shared" si="21"/>
        <v>1900</v>
      </c>
      <c r="T129" t="str">
        <f t="shared" si="22"/>
        <v>Retail</v>
      </c>
    </row>
    <row r="130" spans="8:20" x14ac:dyDescent="0.3">
      <c r="H130">
        <f t="shared" si="23"/>
        <v>0</v>
      </c>
      <c r="I130">
        <f t="shared" ref="I130:I193" si="24">H130-(D130*F130)</f>
        <v>0</v>
      </c>
      <c r="J130">
        <f t="shared" ref="J130:J193" si="25">IF(H130&gt;0,I130/H130,0)</f>
        <v>0</v>
      </c>
      <c r="K130" t="str">
        <f t="shared" ref="K130:K193" si="26">TEXT(A130,"mmmm")</f>
        <v>January</v>
      </c>
      <c r="L130" t="str">
        <f t="shared" ref="L130:L193" si="27">"Q"&amp;ROUNDUP(MONTH(A130)/3,0)</f>
        <v>Q1</v>
      </c>
      <c r="M130" s="2">
        <f t="shared" ref="M130:M193" si="28">YEAR(A130)</f>
        <v>1900</v>
      </c>
      <c r="N130" t="str">
        <f ca="1">IF(COUNTIFS(A$2:A130,A130,O$2:O130,O130)&gt;1,"Repeat","New")</f>
        <v>New</v>
      </c>
      <c r="O130" s="2" t="e">
        <f t="shared" ref="O130:O193" ca="1" si="29">M130-N130</f>
        <v>#VALUE!</v>
      </c>
      <c r="P130" s="3" t="e">
        <f t="shared" ref="P130:P193" ca="1" si="30">IF(M130&gt;0,O130/M130,0)</f>
        <v>#VALUE!</v>
      </c>
      <c r="Q130" t="str">
        <f t="shared" ref="Q130:Q193" si="31">TEXT(B130, "mmm-yy")</f>
        <v>Jan-00</v>
      </c>
      <c r="R130" t="str">
        <f t="shared" ref="R130:R193" si="32">"Q"&amp;INT((MONTH(B130)-1)/3)+1</f>
        <v>Q1</v>
      </c>
      <c r="S130">
        <f t="shared" ref="S130:S193" si="33">YEAR(B130)</f>
        <v>1900</v>
      </c>
      <c r="T130" t="str">
        <f t="shared" ref="T130:T193" si="34">IF(M130&gt;5000, "Enterprise", "Retail")</f>
        <v>Retail</v>
      </c>
    </row>
    <row r="131" spans="8:20" x14ac:dyDescent="0.3">
      <c r="H131">
        <f t="shared" ref="H131:H194" si="35">(E131*F131)*(1-G131)</f>
        <v>0</v>
      </c>
      <c r="I131">
        <f t="shared" si="24"/>
        <v>0</v>
      </c>
      <c r="J131">
        <f t="shared" si="25"/>
        <v>0</v>
      </c>
      <c r="K131" t="str">
        <f t="shared" si="26"/>
        <v>January</v>
      </c>
      <c r="L131" t="str">
        <f t="shared" si="27"/>
        <v>Q1</v>
      </c>
      <c r="M131" s="2">
        <f t="shared" si="28"/>
        <v>1900</v>
      </c>
      <c r="N131" t="str">
        <f ca="1">IF(COUNTIFS(A$2:A131,A131,O$2:O131,O131)&gt;1,"Repeat","New")</f>
        <v>New</v>
      </c>
      <c r="O131" s="2" t="e">
        <f t="shared" ca="1" si="29"/>
        <v>#VALUE!</v>
      </c>
      <c r="P131" s="3" t="e">
        <f t="shared" ca="1" si="30"/>
        <v>#VALUE!</v>
      </c>
      <c r="Q131" t="str">
        <f t="shared" si="31"/>
        <v>Jan-00</v>
      </c>
      <c r="R131" t="str">
        <f t="shared" si="32"/>
        <v>Q1</v>
      </c>
      <c r="S131">
        <f t="shared" si="33"/>
        <v>1900</v>
      </c>
      <c r="T131" t="str">
        <f t="shared" si="34"/>
        <v>Retail</v>
      </c>
    </row>
    <row r="132" spans="8:20" x14ac:dyDescent="0.3">
      <c r="H132">
        <f t="shared" si="35"/>
        <v>0</v>
      </c>
      <c r="I132">
        <f t="shared" si="24"/>
        <v>0</v>
      </c>
      <c r="J132">
        <f t="shared" si="25"/>
        <v>0</v>
      </c>
      <c r="K132" t="str">
        <f t="shared" si="26"/>
        <v>January</v>
      </c>
      <c r="L132" t="str">
        <f t="shared" si="27"/>
        <v>Q1</v>
      </c>
      <c r="M132" s="2">
        <f t="shared" si="28"/>
        <v>1900</v>
      </c>
      <c r="N132" t="str">
        <f ca="1">IF(COUNTIFS(A$2:A132,A132,O$2:O132,O132)&gt;1,"Repeat","New")</f>
        <v>New</v>
      </c>
      <c r="O132" s="2" t="e">
        <f t="shared" ca="1" si="29"/>
        <v>#VALUE!</v>
      </c>
      <c r="P132" s="3" t="e">
        <f t="shared" ca="1" si="30"/>
        <v>#VALUE!</v>
      </c>
      <c r="Q132" t="str">
        <f t="shared" si="31"/>
        <v>Jan-00</v>
      </c>
      <c r="R132" t="str">
        <f t="shared" si="32"/>
        <v>Q1</v>
      </c>
      <c r="S132">
        <f t="shared" si="33"/>
        <v>1900</v>
      </c>
      <c r="T132" t="str">
        <f t="shared" si="34"/>
        <v>Retail</v>
      </c>
    </row>
    <row r="133" spans="8:20" x14ac:dyDescent="0.3">
      <c r="H133">
        <f t="shared" si="35"/>
        <v>0</v>
      </c>
      <c r="I133">
        <f t="shared" si="24"/>
        <v>0</v>
      </c>
      <c r="J133">
        <f t="shared" si="25"/>
        <v>0</v>
      </c>
      <c r="K133" t="str">
        <f t="shared" si="26"/>
        <v>January</v>
      </c>
      <c r="L133" t="str">
        <f t="shared" si="27"/>
        <v>Q1</v>
      </c>
      <c r="M133" s="2">
        <f t="shared" si="28"/>
        <v>1900</v>
      </c>
      <c r="N133" t="str">
        <f ca="1">IF(COUNTIFS(A$2:A133,A133,O$2:O133,O133)&gt;1,"Repeat","New")</f>
        <v>New</v>
      </c>
      <c r="O133" s="2" t="e">
        <f t="shared" ca="1" si="29"/>
        <v>#VALUE!</v>
      </c>
      <c r="P133" s="3" t="e">
        <f t="shared" ca="1" si="30"/>
        <v>#VALUE!</v>
      </c>
      <c r="Q133" t="str">
        <f t="shared" si="31"/>
        <v>Jan-00</v>
      </c>
      <c r="R133" t="str">
        <f t="shared" si="32"/>
        <v>Q1</v>
      </c>
      <c r="S133">
        <f t="shared" si="33"/>
        <v>1900</v>
      </c>
      <c r="T133" t="str">
        <f t="shared" si="34"/>
        <v>Retail</v>
      </c>
    </row>
    <row r="134" spans="8:20" x14ac:dyDescent="0.3">
      <c r="H134">
        <f t="shared" si="35"/>
        <v>0</v>
      </c>
      <c r="I134">
        <f t="shared" si="24"/>
        <v>0</v>
      </c>
      <c r="J134">
        <f t="shared" si="25"/>
        <v>0</v>
      </c>
      <c r="K134" t="str">
        <f t="shared" si="26"/>
        <v>January</v>
      </c>
      <c r="L134" t="str">
        <f t="shared" si="27"/>
        <v>Q1</v>
      </c>
      <c r="M134" s="2">
        <f t="shared" si="28"/>
        <v>1900</v>
      </c>
      <c r="N134" t="str">
        <f ca="1">IF(COUNTIFS(A$2:A134,A134,O$2:O134,O134)&gt;1,"Repeat","New")</f>
        <v>New</v>
      </c>
      <c r="O134" s="2" t="e">
        <f t="shared" ca="1" si="29"/>
        <v>#VALUE!</v>
      </c>
      <c r="P134" s="3" t="e">
        <f t="shared" ca="1" si="30"/>
        <v>#VALUE!</v>
      </c>
      <c r="Q134" t="str">
        <f t="shared" si="31"/>
        <v>Jan-00</v>
      </c>
      <c r="R134" t="str">
        <f t="shared" si="32"/>
        <v>Q1</v>
      </c>
      <c r="S134">
        <f t="shared" si="33"/>
        <v>1900</v>
      </c>
      <c r="T134" t="str">
        <f t="shared" si="34"/>
        <v>Retail</v>
      </c>
    </row>
    <row r="135" spans="8:20" x14ac:dyDescent="0.3">
      <c r="H135">
        <f t="shared" si="35"/>
        <v>0</v>
      </c>
      <c r="I135">
        <f t="shared" si="24"/>
        <v>0</v>
      </c>
      <c r="J135">
        <f t="shared" si="25"/>
        <v>0</v>
      </c>
      <c r="K135" t="str">
        <f t="shared" si="26"/>
        <v>January</v>
      </c>
      <c r="L135" t="str">
        <f t="shared" si="27"/>
        <v>Q1</v>
      </c>
      <c r="M135" s="2">
        <f t="shared" si="28"/>
        <v>1900</v>
      </c>
      <c r="N135" t="str">
        <f ca="1">IF(COUNTIFS(A$2:A135,A135,O$2:O135,O135)&gt;1,"Repeat","New")</f>
        <v>New</v>
      </c>
      <c r="O135" s="2" t="e">
        <f t="shared" ca="1" si="29"/>
        <v>#VALUE!</v>
      </c>
      <c r="P135" s="3" t="e">
        <f t="shared" ca="1" si="30"/>
        <v>#VALUE!</v>
      </c>
      <c r="Q135" t="str">
        <f t="shared" si="31"/>
        <v>Jan-00</v>
      </c>
      <c r="R135" t="str">
        <f t="shared" si="32"/>
        <v>Q1</v>
      </c>
      <c r="S135">
        <f t="shared" si="33"/>
        <v>1900</v>
      </c>
      <c r="T135" t="str">
        <f t="shared" si="34"/>
        <v>Retail</v>
      </c>
    </row>
    <row r="136" spans="8:20" x14ac:dyDescent="0.3">
      <c r="H136">
        <f t="shared" si="35"/>
        <v>0</v>
      </c>
      <c r="I136">
        <f t="shared" si="24"/>
        <v>0</v>
      </c>
      <c r="J136">
        <f t="shared" si="25"/>
        <v>0</v>
      </c>
      <c r="K136" t="str">
        <f t="shared" si="26"/>
        <v>January</v>
      </c>
      <c r="L136" t="str">
        <f t="shared" si="27"/>
        <v>Q1</v>
      </c>
      <c r="M136" s="2">
        <f t="shared" si="28"/>
        <v>1900</v>
      </c>
      <c r="N136" t="str">
        <f ca="1">IF(COUNTIFS(A$2:A136,A136,O$2:O136,O136)&gt;1,"Repeat","New")</f>
        <v>New</v>
      </c>
      <c r="O136" s="2" t="e">
        <f t="shared" ca="1" si="29"/>
        <v>#VALUE!</v>
      </c>
      <c r="P136" s="3" t="e">
        <f t="shared" ca="1" si="30"/>
        <v>#VALUE!</v>
      </c>
      <c r="Q136" t="str">
        <f t="shared" si="31"/>
        <v>Jan-00</v>
      </c>
      <c r="R136" t="str">
        <f t="shared" si="32"/>
        <v>Q1</v>
      </c>
      <c r="S136">
        <f t="shared" si="33"/>
        <v>1900</v>
      </c>
      <c r="T136" t="str">
        <f t="shared" si="34"/>
        <v>Retail</v>
      </c>
    </row>
    <row r="137" spans="8:20" x14ac:dyDescent="0.3">
      <c r="H137">
        <f t="shared" si="35"/>
        <v>0</v>
      </c>
      <c r="I137">
        <f t="shared" si="24"/>
        <v>0</v>
      </c>
      <c r="J137">
        <f t="shared" si="25"/>
        <v>0</v>
      </c>
      <c r="K137" t="str">
        <f t="shared" si="26"/>
        <v>January</v>
      </c>
      <c r="L137" t="str">
        <f t="shared" si="27"/>
        <v>Q1</v>
      </c>
      <c r="M137" s="2">
        <f t="shared" si="28"/>
        <v>1900</v>
      </c>
      <c r="N137" t="str">
        <f ca="1">IF(COUNTIFS(A$2:A137,A137,O$2:O137,O137)&gt;1,"Repeat","New")</f>
        <v>New</v>
      </c>
      <c r="O137" s="2" t="e">
        <f t="shared" ca="1" si="29"/>
        <v>#VALUE!</v>
      </c>
      <c r="P137" s="3" t="e">
        <f t="shared" ca="1" si="30"/>
        <v>#VALUE!</v>
      </c>
      <c r="Q137" t="str">
        <f t="shared" si="31"/>
        <v>Jan-00</v>
      </c>
      <c r="R137" t="str">
        <f t="shared" si="32"/>
        <v>Q1</v>
      </c>
      <c r="S137">
        <f t="shared" si="33"/>
        <v>1900</v>
      </c>
      <c r="T137" t="str">
        <f t="shared" si="34"/>
        <v>Retail</v>
      </c>
    </row>
    <row r="138" spans="8:20" x14ac:dyDescent="0.3">
      <c r="H138">
        <f t="shared" si="35"/>
        <v>0</v>
      </c>
      <c r="I138">
        <f t="shared" si="24"/>
        <v>0</v>
      </c>
      <c r="J138">
        <f t="shared" si="25"/>
        <v>0</v>
      </c>
      <c r="K138" t="str">
        <f t="shared" si="26"/>
        <v>January</v>
      </c>
      <c r="L138" t="str">
        <f t="shared" si="27"/>
        <v>Q1</v>
      </c>
      <c r="M138" s="2">
        <f t="shared" si="28"/>
        <v>1900</v>
      </c>
      <c r="N138" t="str">
        <f ca="1">IF(COUNTIFS(A$2:A138,A138,O$2:O138,O138)&gt;1,"Repeat","New")</f>
        <v>New</v>
      </c>
      <c r="O138" s="2" t="e">
        <f t="shared" ca="1" si="29"/>
        <v>#VALUE!</v>
      </c>
      <c r="P138" s="3" t="e">
        <f t="shared" ca="1" si="30"/>
        <v>#VALUE!</v>
      </c>
      <c r="Q138" t="str">
        <f t="shared" si="31"/>
        <v>Jan-00</v>
      </c>
      <c r="R138" t="str">
        <f t="shared" si="32"/>
        <v>Q1</v>
      </c>
      <c r="S138">
        <f t="shared" si="33"/>
        <v>1900</v>
      </c>
      <c r="T138" t="str">
        <f t="shared" si="34"/>
        <v>Retail</v>
      </c>
    </row>
    <row r="139" spans="8:20" x14ac:dyDescent="0.3">
      <c r="H139">
        <f t="shared" si="35"/>
        <v>0</v>
      </c>
      <c r="I139">
        <f t="shared" si="24"/>
        <v>0</v>
      </c>
      <c r="J139">
        <f t="shared" si="25"/>
        <v>0</v>
      </c>
      <c r="K139" t="str">
        <f t="shared" si="26"/>
        <v>January</v>
      </c>
      <c r="L139" t="str">
        <f t="shared" si="27"/>
        <v>Q1</v>
      </c>
      <c r="M139" s="2">
        <f t="shared" si="28"/>
        <v>1900</v>
      </c>
      <c r="N139" t="str">
        <f ca="1">IF(COUNTIFS(A$2:A139,A139,O$2:O139,O139)&gt;1,"Repeat","New")</f>
        <v>New</v>
      </c>
      <c r="O139" s="2" t="e">
        <f t="shared" ca="1" si="29"/>
        <v>#VALUE!</v>
      </c>
      <c r="P139" s="3" t="e">
        <f t="shared" ca="1" si="30"/>
        <v>#VALUE!</v>
      </c>
      <c r="Q139" t="str">
        <f t="shared" si="31"/>
        <v>Jan-00</v>
      </c>
      <c r="R139" t="str">
        <f t="shared" si="32"/>
        <v>Q1</v>
      </c>
      <c r="S139">
        <f t="shared" si="33"/>
        <v>1900</v>
      </c>
      <c r="T139" t="str">
        <f t="shared" si="34"/>
        <v>Retail</v>
      </c>
    </row>
    <row r="140" spans="8:20" x14ac:dyDescent="0.3">
      <c r="H140">
        <f t="shared" si="35"/>
        <v>0</v>
      </c>
      <c r="I140">
        <f t="shared" si="24"/>
        <v>0</v>
      </c>
      <c r="J140">
        <f t="shared" si="25"/>
        <v>0</v>
      </c>
      <c r="K140" t="str">
        <f t="shared" si="26"/>
        <v>January</v>
      </c>
      <c r="L140" t="str">
        <f t="shared" si="27"/>
        <v>Q1</v>
      </c>
      <c r="M140" s="2">
        <f t="shared" si="28"/>
        <v>1900</v>
      </c>
      <c r="N140" t="str">
        <f ca="1">IF(COUNTIFS(A$2:A140,A140,O$2:O140,O140)&gt;1,"Repeat","New")</f>
        <v>New</v>
      </c>
      <c r="O140" s="2" t="e">
        <f t="shared" ca="1" si="29"/>
        <v>#VALUE!</v>
      </c>
      <c r="P140" s="3" t="e">
        <f t="shared" ca="1" si="30"/>
        <v>#VALUE!</v>
      </c>
      <c r="Q140" t="str">
        <f t="shared" si="31"/>
        <v>Jan-00</v>
      </c>
      <c r="R140" t="str">
        <f t="shared" si="32"/>
        <v>Q1</v>
      </c>
      <c r="S140">
        <f t="shared" si="33"/>
        <v>1900</v>
      </c>
      <c r="T140" t="str">
        <f t="shared" si="34"/>
        <v>Retail</v>
      </c>
    </row>
    <row r="141" spans="8:20" x14ac:dyDescent="0.3">
      <c r="H141">
        <f t="shared" si="35"/>
        <v>0</v>
      </c>
      <c r="I141">
        <f t="shared" si="24"/>
        <v>0</v>
      </c>
      <c r="J141">
        <f t="shared" si="25"/>
        <v>0</v>
      </c>
      <c r="K141" t="str">
        <f t="shared" si="26"/>
        <v>January</v>
      </c>
      <c r="L141" t="str">
        <f t="shared" si="27"/>
        <v>Q1</v>
      </c>
      <c r="M141" s="2">
        <f t="shared" si="28"/>
        <v>1900</v>
      </c>
      <c r="N141" t="str">
        <f ca="1">IF(COUNTIFS(A$2:A141,A141,O$2:O141,O141)&gt;1,"Repeat","New")</f>
        <v>New</v>
      </c>
      <c r="O141" s="2" t="e">
        <f t="shared" ca="1" si="29"/>
        <v>#VALUE!</v>
      </c>
      <c r="P141" s="3" t="e">
        <f t="shared" ca="1" si="30"/>
        <v>#VALUE!</v>
      </c>
      <c r="Q141" t="str">
        <f t="shared" si="31"/>
        <v>Jan-00</v>
      </c>
      <c r="R141" t="str">
        <f t="shared" si="32"/>
        <v>Q1</v>
      </c>
      <c r="S141">
        <f t="shared" si="33"/>
        <v>1900</v>
      </c>
      <c r="T141" t="str">
        <f t="shared" si="34"/>
        <v>Retail</v>
      </c>
    </row>
    <row r="142" spans="8:20" x14ac:dyDescent="0.3">
      <c r="H142">
        <f t="shared" si="35"/>
        <v>0</v>
      </c>
      <c r="I142">
        <f t="shared" si="24"/>
        <v>0</v>
      </c>
      <c r="J142">
        <f t="shared" si="25"/>
        <v>0</v>
      </c>
      <c r="K142" t="str">
        <f t="shared" si="26"/>
        <v>January</v>
      </c>
      <c r="L142" t="str">
        <f t="shared" si="27"/>
        <v>Q1</v>
      </c>
      <c r="M142" s="2">
        <f t="shared" si="28"/>
        <v>1900</v>
      </c>
      <c r="N142" t="str">
        <f ca="1">IF(COUNTIFS(A$2:A142,A142,O$2:O142,O142)&gt;1,"Repeat","New")</f>
        <v>New</v>
      </c>
      <c r="O142" s="2" t="e">
        <f t="shared" ca="1" si="29"/>
        <v>#VALUE!</v>
      </c>
      <c r="P142" s="3" t="e">
        <f t="shared" ca="1" si="30"/>
        <v>#VALUE!</v>
      </c>
      <c r="Q142" t="str">
        <f t="shared" si="31"/>
        <v>Jan-00</v>
      </c>
      <c r="R142" t="str">
        <f t="shared" si="32"/>
        <v>Q1</v>
      </c>
      <c r="S142">
        <f t="shared" si="33"/>
        <v>1900</v>
      </c>
      <c r="T142" t="str">
        <f t="shared" si="34"/>
        <v>Retail</v>
      </c>
    </row>
    <row r="143" spans="8:20" x14ac:dyDescent="0.3">
      <c r="H143">
        <f t="shared" si="35"/>
        <v>0</v>
      </c>
      <c r="I143">
        <f t="shared" si="24"/>
        <v>0</v>
      </c>
      <c r="J143">
        <f t="shared" si="25"/>
        <v>0</v>
      </c>
      <c r="K143" t="str">
        <f t="shared" si="26"/>
        <v>January</v>
      </c>
      <c r="L143" t="str">
        <f t="shared" si="27"/>
        <v>Q1</v>
      </c>
      <c r="M143" s="2">
        <f t="shared" si="28"/>
        <v>1900</v>
      </c>
      <c r="N143" t="str">
        <f ca="1">IF(COUNTIFS(A$2:A143,A143,O$2:O143,O143)&gt;1,"Repeat","New")</f>
        <v>New</v>
      </c>
      <c r="O143" s="2" t="e">
        <f t="shared" ca="1" si="29"/>
        <v>#VALUE!</v>
      </c>
      <c r="P143" s="3" t="e">
        <f t="shared" ca="1" si="30"/>
        <v>#VALUE!</v>
      </c>
      <c r="Q143" t="str">
        <f t="shared" si="31"/>
        <v>Jan-00</v>
      </c>
      <c r="R143" t="str">
        <f t="shared" si="32"/>
        <v>Q1</v>
      </c>
      <c r="S143">
        <f t="shared" si="33"/>
        <v>1900</v>
      </c>
      <c r="T143" t="str">
        <f t="shared" si="34"/>
        <v>Retail</v>
      </c>
    </row>
    <row r="144" spans="8:20" x14ac:dyDescent="0.3">
      <c r="H144">
        <f t="shared" si="35"/>
        <v>0</v>
      </c>
      <c r="I144">
        <f t="shared" si="24"/>
        <v>0</v>
      </c>
      <c r="J144">
        <f t="shared" si="25"/>
        <v>0</v>
      </c>
      <c r="K144" t="str">
        <f t="shared" si="26"/>
        <v>January</v>
      </c>
      <c r="L144" t="str">
        <f t="shared" si="27"/>
        <v>Q1</v>
      </c>
      <c r="M144" s="2">
        <f t="shared" si="28"/>
        <v>1900</v>
      </c>
      <c r="N144" t="str">
        <f ca="1">IF(COUNTIFS(A$2:A144,A144,O$2:O144,O144)&gt;1,"Repeat","New")</f>
        <v>New</v>
      </c>
      <c r="O144" s="2" t="e">
        <f t="shared" ca="1" si="29"/>
        <v>#VALUE!</v>
      </c>
      <c r="P144" s="3" t="e">
        <f t="shared" ca="1" si="30"/>
        <v>#VALUE!</v>
      </c>
      <c r="Q144" t="str">
        <f t="shared" si="31"/>
        <v>Jan-00</v>
      </c>
      <c r="R144" t="str">
        <f t="shared" si="32"/>
        <v>Q1</v>
      </c>
      <c r="S144">
        <f t="shared" si="33"/>
        <v>1900</v>
      </c>
      <c r="T144" t="str">
        <f t="shared" si="34"/>
        <v>Retail</v>
      </c>
    </row>
    <row r="145" spans="8:20" x14ac:dyDescent="0.3">
      <c r="H145">
        <f t="shared" si="35"/>
        <v>0</v>
      </c>
      <c r="I145">
        <f t="shared" si="24"/>
        <v>0</v>
      </c>
      <c r="J145">
        <f t="shared" si="25"/>
        <v>0</v>
      </c>
      <c r="K145" t="str">
        <f t="shared" si="26"/>
        <v>January</v>
      </c>
      <c r="L145" t="str">
        <f t="shared" si="27"/>
        <v>Q1</v>
      </c>
      <c r="M145" s="2">
        <f t="shared" si="28"/>
        <v>1900</v>
      </c>
      <c r="N145" t="str">
        <f ca="1">IF(COUNTIFS(A$2:A145,A145,O$2:O145,O145)&gt;1,"Repeat","New")</f>
        <v>New</v>
      </c>
      <c r="O145" s="2" t="e">
        <f t="shared" ca="1" si="29"/>
        <v>#VALUE!</v>
      </c>
      <c r="P145" s="3" t="e">
        <f t="shared" ca="1" si="30"/>
        <v>#VALUE!</v>
      </c>
      <c r="Q145" t="str">
        <f t="shared" si="31"/>
        <v>Jan-00</v>
      </c>
      <c r="R145" t="str">
        <f t="shared" si="32"/>
        <v>Q1</v>
      </c>
      <c r="S145">
        <f t="shared" si="33"/>
        <v>1900</v>
      </c>
      <c r="T145" t="str">
        <f t="shared" si="34"/>
        <v>Retail</v>
      </c>
    </row>
    <row r="146" spans="8:20" x14ac:dyDescent="0.3">
      <c r="H146">
        <f t="shared" si="35"/>
        <v>0</v>
      </c>
      <c r="I146">
        <f t="shared" si="24"/>
        <v>0</v>
      </c>
      <c r="J146">
        <f t="shared" si="25"/>
        <v>0</v>
      </c>
      <c r="K146" t="str">
        <f t="shared" si="26"/>
        <v>January</v>
      </c>
      <c r="L146" t="str">
        <f t="shared" si="27"/>
        <v>Q1</v>
      </c>
      <c r="M146" s="2">
        <f t="shared" si="28"/>
        <v>1900</v>
      </c>
      <c r="N146" t="str">
        <f ca="1">IF(COUNTIFS(A$2:A146,A146,O$2:O146,O146)&gt;1,"Repeat","New")</f>
        <v>New</v>
      </c>
      <c r="O146" s="2" t="e">
        <f t="shared" ca="1" si="29"/>
        <v>#VALUE!</v>
      </c>
      <c r="P146" s="3" t="e">
        <f t="shared" ca="1" si="30"/>
        <v>#VALUE!</v>
      </c>
      <c r="Q146" t="str">
        <f t="shared" si="31"/>
        <v>Jan-00</v>
      </c>
      <c r="R146" t="str">
        <f t="shared" si="32"/>
        <v>Q1</v>
      </c>
      <c r="S146">
        <f t="shared" si="33"/>
        <v>1900</v>
      </c>
      <c r="T146" t="str">
        <f t="shared" si="34"/>
        <v>Retail</v>
      </c>
    </row>
    <row r="147" spans="8:20" x14ac:dyDescent="0.3">
      <c r="H147">
        <f t="shared" si="35"/>
        <v>0</v>
      </c>
      <c r="I147">
        <f t="shared" si="24"/>
        <v>0</v>
      </c>
      <c r="J147">
        <f t="shared" si="25"/>
        <v>0</v>
      </c>
      <c r="K147" t="str">
        <f t="shared" si="26"/>
        <v>January</v>
      </c>
      <c r="L147" t="str">
        <f t="shared" si="27"/>
        <v>Q1</v>
      </c>
      <c r="M147" s="2">
        <f t="shared" si="28"/>
        <v>1900</v>
      </c>
      <c r="N147" t="str">
        <f ca="1">IF(COUNTIFS(A$2:A147,A147,O$2:O147,O147)&gt;1,"Repeat","New")</f>
        <v>New</v>
      </c>
      <c r="O147" s="2" t="e">
        <f t="shared" ca="1" si="29"/>
        <v>#VALUE!</v>
      </c>
      <c r="P147" s="3" t="e">
        <f t="shared" ca="1" si="30"/>
        <v>#VALUE!</v>
      </c>
      <c r="Q147" t="str">
        <f t="shared" si="31"/>
        <v>Jan-00</v>
      </c>
      <c r="R147" t="str">
        <f t="shared" si="32"/>
        <v>Q1</v>
      </c>
      <c r="S147">
        <f t="shared" si="33"/>
        <v>1900</v>
      </c>
      <c r="T147" t="str">
        <f t="shared" si="34"/>
        <v>Retail</v>
      </c>
    </row>
    <row r="148" spans="8:20" x14ac:dyDescent="0.3">
      <c r="H148">
        <f t="shared" si="35"/>
        <v>0</v>
      </c>
      <c r="I148">
        <f t="shared" si="24"/>
        <v>0</v>
      </c>
      <c r="J148">
        <f t="shared" si="25"/>
        <v>0</v>
      </c>
      <c r="K148" t="str">
        <f t="shared" si="26"/>
        <v>January</v>
      </c>
      <c r="L148" t="str">
        <f t="shared" si="27"/>
        <v>Q1</v>
      </c>
      <c r="M148" s="2">
        <f t="shared" si="28"/>
        <v>1900</v>
      </c>
      <c r="N148" t="str">
        <f ca="1">IF(COUNTIFS(A$2:A148,A148,O$2:O148,O148)&gt;1,"Repeat","New")</f>
        <v>New</v>
      </c>
      <c r="O148" s="2" t="e">
        <f t="shared" ca="1" si="29"/>
        <v>#VALUE!</v>
      </c>
      <c r="P148" s="3" t="e">
        <f t="shared" ca="1" si="30"/>
        <v>#VALUE!</v>
      </c>
      <c r="Q148" t="str">
        <f t="shared" si="31"/>
        <v>Jan-00</v>
      </c>
      <c r="R148" t="str">
        <f t="shared" si="32"/>
        <v>Q1</v>
      </c>
      <c r="S148">
        <f t="shared" si="33"/>
        <v>1900</v>
      </c>
      <c r="T148" t="str">
        <f t="shared" si="34"/>
        <v>Retail</v>
      </c>
    </row>
    <row r="149" spans="8:20" x14ac:dyDescent="0.3">
      <c r="H149">
        <f t="shared" si="35"/>
        <v>0</v>
      </c>
      <c r="I149">
        <f t="shared" si="24"/>
        <v>0</v>
      </c>
      <c r="J149">
        <f t="shared" si="25"/>
        <v>0</v>
      </c>
      <c r="K149" t="str">
        <f t="shared" si="26"/>
        <v>January</v>
      </c>
      <c r="L149" t="str">
        <f t="shared" si="27"/>
        <v>Q1</v>
      </c>
      <c r="M149" s="2">
        <f t="shared" si="28"/>
        <v>1900</v>
      </c>
      <c r="N149" t="str">
        <f ca="1">IF(COUNTIFS(A$2:A149,A149,O$2:O149,O149)&gt;1,"Repeat","New")</f>
        <v>New</v>
      </c>
      <c r="O149" s="2" t="e">
        <f t="shared" ca="1" si="29"/>
        <v>#VALUE!</v>
      </c>
      <c r="P149" s="3" t="e">
        <f t="shared" ca="1" si="30"/>
        <v>#VALUE!</v>
      </c>
      <c r="Q149" t="str">
        <f t="shared" si="31"/>
        <v>Jan-00</v>
      </c>
      <c r="R149" t="str">
        <f t="shared" si="32"/>
        <v>Q1</v>
      </c>
      <c r="S149">
        <f t="shared" si="33"/>
        <v>1900</v>
      </c>
      <c r="T149" t="str">
        <f t="shared" si="34"/>
        <v>Retail</v>
      </c>
    </row>
    <row r="150" spans="8:20" x14ac:dyDescent="0.3">
      <c r="H150">
        <f t="shared" si="35"/>
        <v>0</v>
      </c>
      <c r="I150">
        <f t="shared" si="24"/>
        <v>0</v>
      </c>
      <c r="J150">
        <f t="shared" si="25"/>
        <v>0</v>
      </c>
      <c r="K150" t="str">
        <f t="shared" si="26"/>
        <v>January</v>
      </c>
      <c r="L150" t="str">
        <f t="shared" si="27"/>
        <v>Q1</v>
      </c>
      <c r="M150" s="2">
        <f t="shared" si="28"/>
        <v>1900</v>
      </c>
      <c r="N150" t="str">
        <f ca="1">IF(COUNTIFS(A$2:A150,A150,O$2:O150,O150)&gt;1,"Repeat","New")</f>
        <v>New</v>
      </c>
      <c r="O150" s="2" t="e">
        <f t="shared" ca="1" si="29"/>
        <v>#VALUE!</v>
      </c>
      <c r="P150" s="3" t="e">
        <f t="shared" ca="1" si="30"/>
        <v>#VALUE!</v>
      </c>
      <c r="Q150" t="str">
        <f t="shared" si="31"/>
        <v>Jan-00</v>
      </c>
      <c r="R150" t="str">
        <f t="shared" si="32"/>
        <v>Q1</v>
      </c>
      <c r="S150">
        <f t="shared" si="33"/>
        <v>1900</v>
      </c>
      <c r="T150" t="str">
        <f t="shared" si="34"/>
        <v>Retail</v>
      </c>
    </row>
    <row r="151" spans="8:20" x14ac:dyDescent="0.3">
      <c r="H151">
        <f t="shared" si="35"/>
        <v>0</v>
      </c>
      <c r="I151">
        <f t="shared" si="24"/>
        <v>0</v>
      </c>
      <c r="J151">
        <f t="shared" si="25"/>
        <v>0</v>
      </c>
      <c r="K151" t="str">
        <f t="shared" si="26"/>
        <v>January</v>
      </c>
      <c r="L151" t="str">
        <f t="shared" si="27"/>
        <v>Q1</v>
      </c>
      <c r="M151" s="2">
        <f t="shared" si="28"/>
        <v>1900</v>
      </c>
      <c r="N151" t="str">
        <f ca="1">IF(COUNTIFS(A$2:A151,A151,O$2:O151,O151)&gt;1,"Repeat","New")</f>
        <v>New</v>
      </c>
      <c r="O151" s="2" t="e">
        <f t="shared" ca="1" si="29"/>
        <v>#VALUE!</v>
      </c>
      <c r="P151" s="3" t="e">
        <f t="shared" ca="1" si="30"/>
        <v>#VALUE!</v>
      </c>
      <c r="Q151" t="str">
        <f t="shared" si="31"/>
        <v>Jan-00</v>
      </c>
      <c r="R151" t="str">
        <f t="shared" si="32"/>
        <v>Q1</v>
      </c>
      <c r="S151">
        <f t="shared" si="33"/>
        <v>1900</v>
      </c>
      <c r="T151" t="str">
        <f t="shared" si="34"/>
        <v>Retail</v>
      </c>
    </row>
    <row r="152" spans="8:20" x14ac:dyDescent="0.3">
      <c r="H152">
        <f t="shared" si="35"/>
        <v>0</v>
      </c>
      <c r="I152">
        <f t="shared" si="24"/>
        <v>0</v>
      </c>
      <c r="J152">
        <f t="shared" si="25"/>
        <v>0</v>
      </c>
      <c r="K152" t="str">
        <f t="shared" si="26"/>
        <v>January</v>
      </c>
      <c r="L152" t="str">
        <f t="shared" si="27"/>
        <v>Q1</v>
      </c>
      <c r="M152" s="2">
        <f t="shared" si="28"/>
        <v>1900</v>
      </c>
      <c r="N152" t="str">
        <f ca="1">IF(COUNTIFS(A$2:A152,A152,O$2:O152,O152)&gt;1,"Repeat","New")</f>
        <v>New</v>
      </c>
      <c r="O152" s="2" t="e">
        <f t="shared" ca="1" si="29"/>
        <v>#VALUE!</v>
      </c>
      <c r="P152" s="3" t="e">
        <f t="shared" ca="1" si="30"/>
        <v>#VALUE!</v>
      </c>
      <c r="Q152" t="str">
        <f t="shared" si="31"/>
        <v>Jan-00</v>
      </c>
      <c r="R152" t="str">
        <f t="shared" si="32"/>
        <v>Q1</v>
      </c>
      <c r="S152">
        <f t="shared" si="33"/>
        <v>1900</v>
      </c>
      <c r="T152" t="str">
        <f t="shared" si="34"/>
        <v>Retail</v>
      </c>
    </row>
    <row r="153" spans="8:20" x14ac:dyDescent="0.3">
      <c r="H153">
        <f t="shared" si="35"/>
        <v>0</v>
      </c>
      <c r="I153">
        <f t="shared" si="24"/>
        <v>0</v>
      </c>
      <c r="J153">
        <f t="shared" si="25"/>
        <v>0</v>
      </c>
      <c r="K153" t="str">
        <f t="shared" si="26"/>
        <v>January</v>
      </c>
      <c r="L153" t="str">
        <f t="shared" si="27"/>
        <v>Q1</v>
      </c>
      <c r="M153" s="2">
        <f t="shared" si="28"/>
        <v>1900</v>
      </c>
      <c r="N153" t="str">
        <f ca="1">IF(COUNTIFS(A$2:A153,A153,O$2:O153,O153)&gt;1,"Repeat","New")</f>
        <v>New</v>
      </c>
      <c r="O153" s="2" t="e">
        <f t="shared" ca="1" si="29"/>
        <v>#VALUE!</v>
      </c>
      <c r="P153" s="3" t="e">
        <f t="shared" ca="1" si="30"/>
        <v>#VALUE!</v>
      </c>
      <c r="Q153" t="str">
        <f t="shared" si="31"/>
        <v>Jan-00</v>
      </c>
      <c r="R153" t="str">
        <f t="shared" si="32"/>
        <v>Q1</v>
      </c>
      <c r="S153">
        <f t="shared" si="33"/>
        <v>1900</v>
      </c>
      <c r="T153" t="str">
        <f t="shared" si="34"/>
        <v>Retail</v>
      </c>
    </row>
    <row r="154" spans="8:20" x14ac:dyDescent="0.3">
      <c r="H154">
        <f t="shared" si="35"/>
        <v>0</v>
      </c>
      <c r="I154">
        <f t="shared" si="24"/>
        <v>0</v>
      </c>
      <c r="J154">
        <f t="shared" si="25"/>
        <v>0</v>
      </c>
      <c r="K154" t="str">
        <f t="shared" si="26"/>
        <v>January</v>
      </c>
      <c r="L154" t="str">
        <f t="shared" si="27"/>
        <v>Q1</v>
      </c>
      <c r="M154" s="2">
        <f t="shared" si="28"/>
        <v>1900</v>
      </c>
      <c r="N154" t="str">
        <f ca="1">IF(COUNTIFS(A$2:A154,A154,O$2:O154,O154)&gt;1,"Repeat","New")</f>
        <v>New</v>
      </c>
      <c r="O154" s="2" t="e">
        <f t="shared" ca="1" si="29"/>
        <v>#VALUE!</v>
      </c>
      <c r="P154" s="3" t="e">
        <f t="shared" ca="1" si="30"/>
        <v>#VALUE!</v>
      </c>
      <c r="Q154" t="str">
        <f t="shared" si="31"/>
        <v>Jan-00</v>
      </c>
      <c r="R154" t="str">
        <f t="shared" si="32"/>
        <v>Q1</v>
      </c>
      <c r="S154">
        <f t="shared" si="33"/>
        <v>1900</v>
      </c>
      <c r="T154" t="str">
        <f t="shared" si="34"/>
        <v>Retail</v>
      </c>
    </row>
    <row r="155" spans="8:20" x14ac:dyDescent="0.3">
      <c r="H155">
        <f t="shared" si="35"/>
        <v>0</v>
      </c>
      <c r="I155">
        <f t="shared" si="24"/>
        <v>0</v>
      </c>
      <c r="J155">
        <f t="shared" si="25"/>
        <v>0</v>
      </c>
      <c r="K155" t="str">
        <f t="shared" si="26"/>
        <v>January</v>
      </c>
      <c r="L155" t="str">
        <f t="shared" si="27"/>
        <v>Q1</v>
      </c>
      <c r="M155" s="2">
        <f t="shared" si="28"/>
        <v>1900</v>
      </c>
      <c r="N155" t="str">
        <f ca="1">IF(COUNTIFS(A$2:A155,A155,O$2:O155,O155)&gt;1,"Repeat","New")</f>
        <v>New</v>
      </c>
      <c r="O155" s="2" t="e">
        <f t="shared" ca="1" si="29"/>
        <v>#VALUE!</v>
      </c>
      <c r="P155" s="3" t="e">
        <f t="shared" ca="1" si="30"/>
        <v>#VALUE!</v>
      </c>
      <c r="Q155" t="str">
        <f t="shared" si="31"/>
        <v>Jan-00</v>
      </c>
      <c r="R155" t="str">
        <f t="shared" si="32"/>
        <v>Q1</v>
      </c>
      <c r="S155">
        <f t="shared" si="33"/>
        <v>1900</v>
      </c>
      <c r="T155" t="str">
        <f t="shared" si="34"/>
        <v>Retail</v>
      </c>
    </row>
    <row r="156" spans="8:20" x14ac:dyDescent="0.3">
      <c r="H156">
        <f t="shared" si="35"/>
        <v>0</v>
      </c>
      <c r="I156">
        <f t="shared" si="24"/>
        <v>0</v>
      </c>
      <c r="J156">
        <f t="shared" si="25"/>
        <v>0</v>
      </c>
      <c r="K156" t="str">
        <f t="shared" si="26"/>
        <v>January</v>
      </c>
      <c r="L156" t="str">
        <f t="shared" si="27"/>
        <v>Q1</v>
      </c>
      <c r="M156" s="2">
        <f t="shared" si="28"/>
        <v>1900</v>
      </c>
      <c r="N156" t="str">
        <f ca="1">IF(COUNTIFS(A$2:A156,A156,O$2:O156,O156)&gt;1,"Repeat","New")</f>
        <v>New</v>
      </c>
      <c r="O156" s="2" t="e">
        <f t="shared" ca="1" si="29"/>
        <v>#VALUE!</v>
      </c>
      <c r="P156" s="3" t="e">
        <f t="shared" ca="1" si="30"/>
        <v>#VALUE!</v>
      </c>
      <c r="Q156" t="str">
        <f t="shared" si="31"/>
        <v>Jan-00</v>
      </c>
      <c r="R156" t="str">
        <f t="shared" si="32"/>
        <v>Q1</v>
      </c>
      <c r="S156">
        <f t="shared" si="33"/>
        <v>1900</v>
      </c>
      <c r="T156" t="str">
        <f t="shared" si="34"/>
        <v>Retail</v>
      </c>
    </row>
    <row r="157" spans="8:20" x14ac:dyDescent="0.3">
      <c r="H157">
        <f t="shared" si="35"/>
        <v>0</v>
      </c>
      <c r="I157">
        <f t="shared" si="24"/>
        <v>0</v>
      </c>
      <c r="J157">
        <f t="shared" si="25"/>
        <v>0</v>
      </c>
      <c r="K157" t="str">
        <f t="shared" si="26"/>
        <v>January</v>
      </c>
      <c r="L157" t="str">
        <f t="shared" si="27"/>
        <v>Q1</v>
      </c>
      <c r="M157" s="2">
        <f t="shared" si="28"/>
        <v>1900</v>
      </c>
      <c r="N157" t="str">
        <f ca="1">IF(COUNTIFS(A$2:A157,A157,O$2:O157,O157)&gt;1,"Repeat","New")</f>
        <v>New</v>
      </c>
      <c r="O157" s="2" t="e">
        <f t="shared" ca="1" si="29"/>
        <v>#VALUE!</v>
      </c>
      <c r="P157" s="3" t="e">
        <f t="shared" ca="1" si="30"/>
        <v>#VALUE!</v>
      </c>
      <c r="Q157" t="str">
        <f t="shared" si="31"/>
        <v>Jan-00</v>
      </c>
      <c r="R157" t="str">
        <f t="shared" si="32"/>
        <v>Q1</v>
      </c>
      <c r="S157">
        <f t="shared" si="33"/>
        <v>1900</v>
      </c>
      <c r="T157" t="str">
        <f t="shared" si="34"/>
        <v>Retail</v>
      </c>
    </row>
    <row r="158" spans="8:20" x14ac:dyDescent="0.3">
      <c r="H158">
        <f t="shared" si="35"/>
        <v>0</v>
      </c>
      <c r="I158">
        <f t="shared" si="24"/>
        <v>0</v>
      </c>
      <c r="J158">
        <f t="shared" si="25"/>
        <v>0</v>
      </c>
      <c r="K158" t="str">
        <f t="shared" si="26"/>
        <v>January</v>
      </c>
      <c r="L158" t="str">
        <f t="shared" si="27"/>
        <v>Q1</v>
      </c>
      <c r="M158" s="2">
        <f t="shared" si="28"/>
        <v>1900</v>
      </c>
      <c r="N158" t="str">
        <f ca="1">IF(COUNTIFS(A$2:A158,A158,O$2:O158,O158)&gt;1,"Repeat","New")</f>
        <v>New</v>
      </c>
      <c r="O158" s="2" t="e">
        <f t="shared" ca="1" si="29"/>
        <v>#VALUE!</v>
      </c>
      <c r="P158" s="3" t="e">
        <f t="shared" ca="1" si="30"/>
        <v>#VALUE!</v>
      </c>
      <c r="Q158" t="str">
        <f t="shared" si="31"/>
        <v>Jan-00</v>
      </c>
      <c r="R158" t="str">
        <f t="shared" si="32"/>
        <v>Q1</v>
      </c>
      <c r="S158">
        <f t="shared" si="33"/>
        <v>1900</v>
      </c>
      <c r="T158" t="str">
        <f t="shared" si="34"/>
        <v>Retail</v>
      </c>
    </row>
    <row r="159" spans="8:20" x14ac:dyDescent="0.3">
      <c r="H159">
        <f t="shared" si="35"/>
        <v>0</v>
      </c>
      <c r="I159">
        <f t="shared" si="24"/>
        <v>0</v>
      </c>
      <c r="J159">
        <f t="shared" si="25"/>
        <v>0</v>
      </c>
      <c r="K159" t="str">
        <f t="shared" si="26"/>
        <v>January</v>
      </c>
      <c r="L159" t="str">
        <f t="shared" si="27"/>
        <v>Q1</v>
      </c>
      <c r="M159" s="2">
        <f t="shared" si="28"/>
        <v>1900</v>
      </c>
      <c r="N159" t="str">
        <f ca="1">IF(COUNTIFS(A$2:A159,A159,O$2:O159,O159)&gt;1,"Repeat","New")</f>
        <v>New</v>
      </c>
      <c r="O159" s="2" t="e">
        <f t="shared" ca="1" si="29"/>
        <v>#VALUE!</v>
      </c>
      <c r="P159" s="3" t="e">
        <f t="shared" ca="1" si="30"/>
        <v>#VALUE!</v>
      </c>
      <c r="Q159" t="str">
        <f t="shared" si="31"/>
        <v>Jan-00</v>
      </c>
      <c r="R159" t="str">
        <f t="shared" si="32"/>
        <v>Q1</v>
      </c>
      <c r="S159">
        <f t="shared" si="33"/>
        <v>1900</v>
      </c>
      <c r="T159" t="str">
        <f t="shared" si="34"/>
        <v>Retail</v>
      </c>
    </row>
    <row r="160" spans="8:20" x14ac:dyDescent="0.3">
      <c r="H160">
        <f t="shared" si="35"/>
        <v>0</v>
      </c>
      <c r="I160">
        <f t="shared" si="24"/>
        <v>0</v>
      </c>
      <c r="J160">
        <f t="shared" si="25"/>
        <v>0</v>
      </c>
      <c r="K160" t="str">
        <f t="shared" si="26"/>
        <v>January</v>
      </c>
      <c r="L160" t="str">
        <f t="shared" si="27"/>
        <v>Q1</v>
      </c>
      <c r="M160" s="2">
        <f t="shared" si="28"/>
        <v>1900</v>
      </c>
      <c r="N160" t="str">
        <f ca="1">IF(COUNTIFS(A$2:A160,A160,O$2:O160,O160)&gt;1,"Repeat","New")</f>
        <v>New</v>
      </c>
      <c r="O160" s="2" t="e">
        <f t="shared" ca="1" si="29"/>
        <v>#VALUE!</v>
      </c>
      <c r="P160" s="3" t="e">
        <f t="shared" ca="1" si="30"/>
        <v>#VALUE!</v>
      </c>
      <c r="Q160" t="str">
        <f t="shared" si="31"/>
        <v>Jan-00</v>
      </c>
      <c r="R160" t="str">
        <f t="shared" si="32"/>
        <v>Q1</v>
      </c>
      <c r="S160">
        <f t="shared" si="33"/>
        <v>1900</v>
      </c>
      <c r="T160" t="str">
        <f t="shared" si="34"/>
        <v>Retail</v>
      </c>
    </row>
    <row r="161" spans="8:20" x14ac:dyDescent="0.3">
      <c r="H161">
        <f t="shared" si="35"/>
        <v>0</v>
      </c>
      <c r="I161">
        <f t="shared" si="24"/>
        <v>0</v>
      </c>
      <c r="J161">
        <f t="shared" si="25"/>
        <v>0</v>
      </c>
      <c r="K161" t="str">
        <f t="shared" si="26"/>
        <v>January</v>
      </c>
      <c r="L161" t="str">
        <f t="shared" si="27"/>
        <v>Q1</v>
      </c>
      <c r="M161" s="2">
        <f t="shared" si="28"/>
        <v>1900</v>
      </c>
      <c r="N161" t="str">
        <f ca="1">IF(COUNTIFS(A$2:A161,A161,O$2:O161,O161)&gt;1,"Repeat","New")</f>
        <v>New</v>
      </c>
      <c r="O161" s="2" t="e">
        <f t="shared" ca="1" si="29"/>
        <v>#VALUE!</v>
      </c>
      <c r="P161" s="3" t="e">
        <f t="shared" ca="1" si="30"/>
        <v>#VALUE!</v>
      </c>
      <c r="Q161" t="str">
        <f t="shared" si="31"/>
        <v>Jan-00</v>
      </c>
      <c r="R161" t="str">
        <f t="shared" si="32"/>
        <v>Q1</v>
      </c>
      <c r="S161">
        <f t="shared" si="33"/>
        <v>1900</v>
      </c>
      <c r="T161" t="str">
        <f t="shared" si="34"/>
        <v>Retail</v>
      </c>
    </row>
    <row r="162" spans="8:20" x14ac:dyDescent="0.3">
      <c r="H162">
        <f t="shared" si="35"/>
        <v>0</v>
      </c>
      <c r="I162">
        <f t="shared" si="24"/>
        <v>0</v>
      </c>
      <c r="J162">
        <f t="shared" si="25"/>
        <v>0</v>
      </c>
      <c r="K162" t="str">
        <f t="shared" si="26"/>
        <v>January</v>
      </c>
      <c r="L162" t="str">
        <f t="shared" si="27"/>
        <v>Q1</v>
      </c>
      <c r="M162" s="2">
        <f t="shared" si="28"/>
        <v>1900</v>
      </c>
      <c r="N162" t="str">
        <f ca="1">IF(COUNTIFS(A$2:A162,A162,O$2:O162,O162)&gt;1,"Repeat","New")</f>
        <v>New</v>
      </c>
      <c r="O162" s="2" t="e">
        <f t="shared" ca="1" si="29"/>
        <v>#VALUE!</v>
      </c>
      <c r="P162" s="3" t="e">
        <f t="shared" ca="1" si="30"/>
        <v>#VALUE!</v>
      </c>
      <c r="Q162" t="str">
        <f t="shared" si="31"/>
        <v>Jan-00</v>
      </c>
      <c r="R162" t="str">
        <f t="shared" si="32"/>
        <v>Q1</v>
      </c>
      <c r="S162">
        <f t="shared" si="33"/>
        <v>1900</v>
      </c>
      <c r="T162" t="str">
        <f t="shared" si="34"/>
        <v>Retail</v>
      </c>
    </row>
    <row r="163" spans="8:20" x14ac:dyDescent="0.3">
      <c r="H163">
        <f t="shared" si="35"/>
        <v>0</v>
      </c>
      <c r="I163">
        <f t="shared" si="24"/>
        <v>0</v>
      </c>
      <c r="J163">
        <f t="shared" si="25"/>
        <v>0</v>
      </c>
      <c r="K163" t="str">
        <f t="shared" si="26"/>
        <v>January</v>
      </c>
      <c r="L163" t="str">
        <f t="shared" si="27"/>
        <v>Q1</v>
      </c>
      <c r="M163" s="2">
        <f t="shared" si="28"/>
        <v>1900</v>
      </c>
      <c r="N163" t="str">
        <f ca="1">IF(COUNTIFS(A$2:A163,A163,O$2:O163,O163)&gt;1,"Repeat","New")</f>
        <v>New</v>
      </c>
      <c r="O163" s="2" t="e">
        <f t="shared" ca="1" si="29"/>
        <v>#VALUE!</v>
      </c>
      <c r="P163" s="3" t="e">
        <f t="shared" ca="1" si="30"/>
        <v>#VALUE!</v>
      </c>
      <c r="Q163" t="str">
        <f t="shared" si="31"/>
        <v>Jan-00</v>
      </c>
      <c r="R163" t="str">
        <f t="shared" si="32"/>
        <v>Q1</v>
      </c>
      <c r="S163">
        <f t="shared" si="33"/>
        <v>1900</v>
      </c>
      <c r="T163" t="str">
        <f t="shared" si="34"/>
        <v>Retail</v>
      </c>
    </row>
    <row r="164" spans="8:20" x14ac:dyDescent="0.3">
      <c r="H164">
        <f t="shared" si="35"/>
        <v>0</v>
      </c>
      <c r="I164">
        <f t="shared" si="24"/>
        <v>0</v>
      </c>
      <c r="J164">
        <f t="shared" si="25"/>
        <v>0</v>
      </c>
      <c r="K164" t="str">
        <f t="shared" si="26"/>
        <v>January</v>
      </c>
      <c r="L164" t="str">
        <f t="shared" si="27"/>
        <v>Q1</v>
      </c>
      <c r="M164" s="2">
        <f t="shared" si="28"/>
        <v>1900</v>
      </c>
      <c r="N164" t="str">
        <f ca="1">IF(COUNTIFS(A$2:A164,A164,O$2:O164,O164)&gt;1,"Repeat","New")</f>
        <v>New</v>
      </c>
      <c r="O164" s="2" t="e">
        <f t="shared" ca="1" si="29"/>
        <v>#VALUE!</v>
      </c>
      <c r="P164" s="3" t="e">
        <f t="shared" ca="1" si="30"/>
        <v>#VALUE!</v>
      </c>
      <c r="Q164" t="str">
        <f t="shared" si="31"/>
        <v>Jan-00</v>
      </c>
      <c r="R164" t="str">
        <f t="shared" si="32"/>
        <v>Q1</v>
      </c>
      <c r="S164">
        <f t="shared" si="33"/>
        <v>1900</v>
      </c>
      <c r="T164" t="str">
        <f t="shared" si="34"/>
        <v>Retail</v>
      </c>
    </row>
    <row r="165" spans="8:20" x14ac:dyDescent="0.3">
      <c r="H165">
        <f t="shared" si="35"/>
        <v>0</v>
      </c>
      <c r="I165">
        <f t="shared" si="24"/>
        <v>0</v>
      </c>
      <c r="J165">
        <f t="shared" si="25"/>
        <v>0</v>
      </c>
      <c r="K165" t="str">
        <f t="shared" si="26"/>
        <v>January</v>
      </c>
      <c r="L165" t="str">
        <f t="shared" si="27"/>
        <v>Q1</v>
      </c>
      <c r="M165" s="2">
        <f t="shared" si="28"/>
        <v>1900</v>
      </c>
      <c r="N165" t="str">
        <f ca="1">IF(COUNTIFS(A$2:A165,A165,O$2:O165,O165)&gt;1,"Repeat","New")</f>
        <v>New</v>
      </c>
      <c r="O165" s="2" t="e">
        <f t="shared" ca="1" si="29"/>
        <v>#VALUE!</v>
      </c>
      <c r="P165" s="3" t="e">
        <f t="shared" ca="1" si="30"/>
        <v>#VALUE!</v>
      </c>
      <c r="Q165" t="str">
        <f t="shared" si="31"/>
        <v>Jan-00</v>
      </c>
      <c r="R165" t="str">
        <f t="shared" si="32"/>
        <v>Q1</v>
      </c>
      <c r="S165">
        <f t="shared" si="33"/>
        <v>1900</v>
      </c>
      <c r="T165" t="str">
        <f t="shared" si="34"/>
        <v>Retail</v>
      </c>
    </row>
    <row r="166" spans="8:20" x14ac:dyDescent="0.3">
      <c r="H166">
        <f t="shared" si="35"/>
        <v>0</v>
      </c>
      <c r="I166">
        <f t="shared" si="24"/>
        <v>0</v>
      </c>
      <c r="J166">
        <f t="shared" si="25"/>
        <v>0</v>
      </c>
      <c r="K166" t="str">
        <f t="shared" si="26"/>
        <v>January</v>
      </c>
      <c r="L166" t="str">
        <f t="shared" si="27"/>
        <v>Q1</v>
      </c>
      <c r="M166" s="2">
        <f t="shared" si="28"/>
        <v>1900</v>
      </c>
      <c r="N166" t="str">
        <f ca="1">IF(COUNTIFS(A$2:A166,A166,O$2:O166,O166)&gt;1,"Repeat","New")</f>
        <v>New</v>
      </c>
      <c r="O166" s="2" t="e">
        <f t="shared" ca="1" si="29"/>
        <v>#VALUE!</v>
      </c>
      <c r="P166" s="3" t="e">
        <f t="shared" ca="1" si="30"/>
        <v>#VALUE!</v>
      </c>
      <c r="Q166" t="str">
        <f t="shared" si="31"/>
        <v>Jan-00</v>
      </c>
      <c r="R166" t="str">
        <f t="shared" si="32"/>
        <v>Q1</v>
      </c>
      <c r="S166">
        <f t="shared" si="33"/>
        <v>1900</v>
      </c>
      <c r="T166" t="str">
        <f t="shared" si="34"/>
        <v>Retail</v>
      </c>
    </row>
    <row r="167" spans="8:20" x14ac:dyDescent="0.3">
      <c r="H167">
        <f t="shared" si="35"/>
        <v>0</v>
      </c>
      <c r="I167">
        <f t="shared" si="24"/>
        <v>0</v>
      </c>
      <c r="J167">
        <f t="shared" si="25"/>
        <v>0</v>
      </c>
      <c r="K167" t="str">
        <f t="shared" si="26"/>
        <v>January</v>
      </c>
      <c r="L167" t="str">
        <f t="shared" si="27"/>
        <v>Q1</v>
      </c>
      <c r="M167" s="2">
        <f t="shared" si="28"/>
        <v>1900</v>
      </c>
      <c r="N167" t="str">
        <f ca="1">IF(COUNTIFS(A$2:A167,A167,O$2:O167,O167)&gt;1,"Repeat","New")</f>
        <v>New</v>
      </c>
      <c r="O167" s="2" t="e">
        <f t="shared" ca="1" si="29"/>
        <v>#VALUE!</v>
      </c>
      <c r="P167" s="3" t="e">
        <f t="shared" ca="1" si="30"/>
        <v>#VALUE!</v>
      </c>
      <c r="Q167" t="str">
        <f t="shared" si="31"/>
        <v>Jan-00</v>
      </c>
      <c r="R167" t="str">
        <f t="shared" si="32"/>
        <v>Q1</v>
      </c>
      <c r="S167">
        <f t="shared" si="33"/>
        <v>1900</v>
      </c>
      <c r="T167" t="str">
        <f t="shared" si="34"/>
        <v>Retail</v>
      </c>
    </row>
    <row r="168" spans="8:20" x14ac:dyDescent="0.3">
      <c r="H168">
        <f t="shared" si="35"/>
        <v>0</v>
      </c>
      <c r="I168">
        <f t="shared" si="24"/>
        <v>0</v>
      </c>
      <c r="J168">
        <f t="shared" si="25"/>
        <v>0</v>
      </c>
      <c r="K168" t="str">
        <f t="shared" si="26"/>
        <v>January</v>
      </c>
      <c r="L168" t="str">
        <f t="shared" si="27"/>
        <v>Q1</v>
      </c>
      <c r="M168" s="2">
        <f t="shared" si="28"/>
        <v>1900</v>
      </c>
      <c r="N168" t="str">
        <f ca="1">IF(COUNTIFS(A$2:A168,A168,O$2:O168,O168)&gt;1,"Repeat","New")</f>
        <v>New</v>
      </c>
      <c r="O168" s="2" t="e">
        <f t="shared" ca="1" si="29"/>
        <v>#VALUE!</v>
      </c>
      <c r="P168" s="3" t="e">
        <f t="shared" ca="1" si="30"/>
        <v>#VALUE!</v>
      </c>
      <c r="Q168" t="str">
        <f t="shared" si="31"/>
        <v>Jan-00</v>
      </c>
      <c r="R168" t="str">
        <f t="shared" si="32"/>
        <v>Q1</v>
      </c>
      <c r="S168">
        <f t="shared" si="33"/>
        <v>1900</v>
      </c>
      <c r="T168" t="str">
        <f t="shared" si="34"/>
        <v>Retail</v>
      </c>
    </row>
    <row r="169" spans="8:20" x14ac:dyDescent="0.3">
      <c r="H169">
        <f t="shared" si="35"/>
        <v>0</v>
      </c>
      <c r="I169">
        <f t="shared" si="24"/>
        <v>0</v>
      </c>
      <c r="J169">
        <f t="shared" si="25"/>
        <v>0</v>
      </c>
      <c r="K169" t="str">
        <f t="shared" si="26"/>
        <v>January</v>
      </c>
      <c r="L169" t="str">
        <f t="shared" si="27"/>
        <v>Q1</v>
      </c>
      <c r="M169" s="2">
        <f t="shared" si="28"/>
        <v>1900</v>
      </c>
      <c r="N169" t="str">
        <f ca="1">IF(COUNTIFS(A$2:A169,A169,O$2:O169,O169)&gt;1,"Repeat","New")</f>
        <v>New</v>
      </c>
      <c r="O169" s="2" t="e">
        <f t="shared" ca="1" si="29"/>
        <v>#VALUE!</v>
      </c>
      <c r="P169" s="3" t="e">
        <f t="shared" ca="1" si="30"/>
        <v>#VALUE!</v>
      </c>
      <c r="Q169" t="str">
        <f t="shared" si="31"/>
        <v>Jan-00</v>
      </c>
      <c r="R169" t="str">
        <f t="shared" si="32"/>
        <v>Q1</v>
      </c>
      <c r="S169">
        <f t="shared" si="33"/>
        <v>1900</v>
      </c>
      <c r="T169" t="str">
        <f t="shared" si="34"/>
        <v>Retail</v>
      </c>
    </row>
    <row r="170" spans="8:20" x14ac:dyDescent="0.3">
      <c r="H170">
        <f t="shared" si="35"/>
        <v>0</v>
      </c>
      <c r="I170">
        <f t="shared" si="24"/>
        <v>0</v>
      </c>
      <c r="J170">
        <f t="shared" si="25"/>
        <v>0</v>
      </c>
      <c r="K170" t="str">
        <f t="shared" si="26"/>
        <v>January</v>
      </c>
      <c r="L170" t="str">
        <f t="shared" si="27"/>
        <v>Q1</v>
      </c>
      <c r="M170" s="2">
        <f t="shared" si="28"/>
        <v>1900</v>
      </c>
      <c r="N170" t="str">
        <f ca="1">IF(COUNTIFS(A$2:A170,A170,O$2:O170,O170)&gt;1,"Repeat","New")</f>
        <v>New</v>
      </c>
      <c r="O170" s="2" t="e">
        <f t="shared" ca="1" si="29"/>
        <v>#VALUE!</v>
      </c>
      <c r="P170" s="3" t="e">
        <f t="shared" ca="1" si="30"/>
        <v>#VALUE!</v>
      </c>
      <c r="Q170" t="str">
        <f t="shared" si="31"/>
        <v>Jan-00</v>
      </c>
      <c r="R170" t="str">
        <f t="shared" si="32"/>
        <v>Q1</v>
      </c>
      <c r="S170">
        <f t="shared" si="33"/>
        <v>1900</v>
      </c>
      <c r="T170" t="str">
        <f t="shared" si="34"/>
        <v>Retail</v>
      </c>
    </row>
    <row r="171" spans="8:20" x14ac:dyDescent="0.3">
      <c r="H171">
        <f t="shared" si="35"/>
        <v>0</v>
      </c>
      <c r="I171">
        <f t="shared" si="24"/>
        <v>0</v>
      </c>
      <c r="J171">
        <f t="shared" si="25"/>
        <v>0</v>
      </c>
      <c r="K171" t="str">
        <f t="shared" si="26"/>
        <v>January</v>
      </c>
      <c r="L171" t="str">
        <f t="shared" si="27"/>
        <v>Q1</v>
      </c>
      <c r="M171" s="2">
        <f t="shared" si="28"/>
        <v>1900</v>
      </c>
      <c r="N171" t="str">
        <f ca="1">IF(COUNTIFS(A$2:A171,A171,O$2:O171,O171)&gt;1,"Repeat","New")</f>
        <v>New</v>
      </c>
      <c r="O171" s="2" t="e">
        <f t="shared" ca="1" si="29"/>
        <v>#VALUE!</v>
      </c>
      <c r="P171" s="3" t="e">
        <f t="shared" ca="1" si="30"/>
        <v>#VALUE!</v>
      </c>
      <c r="Q171" t="str">
        <f t="shared" si="31"/>
        <v>Jan-00</v>
      </c>
      <c r="R171" t="str">
        <f t="shared" si="32"/>
        <v>Q1</v>
      </c>
      <c r="S171">
        <f t="shared" si="33"/>
        <v>1900</v>
      </c>
      <c r="T171" t="str">
        <f t="shared" si="34"/>
        <v>Retail</v>
      </c>
    </row>
    <row r="172" spans="8:20" x14ac:dyDescent="0.3">
      <c r="H172">
        <f t="shared" si="35"/>
        <v>0</v>
      </c>
      <c r="I172">
        <f t="shared" si="24"/>
        <v>0</v>
      </c>
      <c r="J172">
        <f t="shared" si="25"/>
        <v>0</v>
      </c>
      <c r="K172" t="str">
        <f t="shared" si="26"/>
        <v>January</v>
      </c>
      <c r="L172" t="str">
        <f t="shared" si="27"/>
        <v>Q1</v>
      </c>
      <c r="M172" s="2">
        <f t="shared" si="28"/>
        <v>1900</v>
      </c>
      <c r="N172" t="str">
        <f ca="1">IF(COUNTIFS(A$2:A172,A172,O$2:O172,O172)&gt;1,"Repeat","New")</f>
        <v>New</v>
      </c>
      <c r="O172" s="2" t="e">
        <f t="shared" ca="1" si="29"/>
        <v>#VALUE!</v>
      </c>
      <c r="P172" s="3" t="e">
        <f t="shared" ca="1" si="30"/>
        <v>#VALUE!</v>
      </c>
      <c r="Q172" t="str">
        <f t="shared" si="31"/>
        <v>Jan-00</v>
      </c>
      <c r="R172" t="str">
        <f t="shared" si="32"/>
        <v>Q1</v>
      </c>
      <c r="S172">
        <f t="shared" si="33"/>
        <v>1900</v>
      </c>
      <c r="T172" t="str">
        <f t="shared" si="34"/>
        <v>Retail</v>
      </c>
    </row>
    <row r="173" spans="8:20" x14ac:dyDescent="0.3">
      <c r="H173">
        <f t="shared" si="35"/>
        <v>0</v>
      </c>
      <c r="I173">
        <f t="shared" si="24"/>
        <v>0</v>
      </c>
      <c r="J173">
        <f t="shared" si="25"/>
        <v>0</v>
      </c>
      <c r="K173" t="str">
        <f t="shared" si="26"/>
        <v>January</v>
      </c>
      <c r="L173" t="str">
        <f t="shared" si="27"/>
        <v>Q1</v>
      </c>
      <c r="M173" s="2">
        <f t="shared" si="28"/>
        <v>1900</v>
      </c>
      <c r="N173" t="str">
        <f ca="1">IF(COUNTIFS(A$2:A173,A173,O$2:O173,O173)&gt;1,"Repeat","New")</f>
        <v>New</v>
      </c>
      <c r="O173" s="2" t="e">
        <f t="shared" ca="1" si="29"/>
        <v>#VALUE!</v>
      </c>
      <c r="P173" s="3" t="e">
        <f t="shared" ca="1" si="30"/>
        <v>#VALUE!</v>
      </c>
      <c r="Q173" t="str">
        <f t="shared" si="31"/>
        <v>Jan-00</v>
      </c>
      <c r="R173" t="str">
        <f t="shared" si="32"/>
        <v>Q1</v>
      </c>
      <c r="S173">
        <f t="shared" si="33"/>
        <v>1900</v>
      </c>
      <c r="T173" t="str">
        <f t="shared" si="34"/>
        <v>Retail</v>
      </c>
    </row>
    <row r="174" spans="8:20" x14ac:dyDescent="0.3">
      <c r="H174">
        <f t="shared" si="35"/>
        <v>0</v>
      </c>
      <c r="I174">
        <f t="shared" si="24"/>
        <v>0</v>
      </c>
      <c r="J174">
        <f t="shared" si="25"/>
        <v>0</v>
      </c>
      <c r="K174" t="str">
        <f t="shared" si="26"/>
        <v>January</v>
      </c>
      <c r="L174" t="str">
        <f t="shared" si="27"/>
        <v>Q1</v>
      </c>
      <c r="M174" s="2">
        <f t="shared" si="28"/>
        <v>1900</v>
      </c>
      <c r="N174" t="str">
        <f ca="1">IF(COUNTIFS(A$2:A174,A174,O$2:O174,O174)&gt;1,"Repeat","New")</f>
        <v>New</v>
      </c>
      <c r="O174" s="2" t="e">
        <f t="shared" ca="1" si="29"/>
        <v>#VALUE!</v>
      </c>
      <c r="P174" s="3" t="e">
        <f t="shared" ca="1" si="30"/>
        <v>#VALUE!</v>
      </c>
      <c r="Q174" t="str">
        <f t="shared" si="31"/>
        <v>Jan-00</v>
      </c>
      <c r="R174" t="str">
        <f t="shared" si="32"/>
        <v>Q1</v>
      </c>
      <c r="S174">
        <f t="shared" si="33"/>
        <v>1900</v>
      </c>
      <c r="T174" t="str">
        <f t="shared" si="34"/>
        <v>Retail</v>
      </c>
    </row>
    <row r="175" spans="8:20" x14ac:dyDescent="0.3">
      <c r="H175">
        <f t="shared" si="35"/>
        <v>0</v>
      </c>
      <c r="I175">
        <f t="shared" si="24"/>
        <v>0</v>
      </c>
      <c r="J175">
        <f t="shared" si="25"/>
        <v>0</v>
      </c>
      <c r="K175" t="str">
        <f t="shared" si="26"/>
        <v>January</v>
      </c>
      <c r="L175" t="str">
        <f t="shared" si="27"/>
        <v>Q1</v>
      </c>
      <c r="M175" s="2">
        <f t="shared" si="28"/>
        <v>1900</v>
      </c>
      <c r="N175" t="str">
        <f ca="1">IF(COUNTIFS(A$2:A175,A175,O$2:O175,O175)&gt;1,"Repeat","New")</f>
        <v>New</v>
      </c>
      <c r="O175" s="2" t="e">
        <f t="shared" ca="1" si="29"/>
        <v>#VALUE!</v>
      </c>
      <c r="P175" s="3" t="e">
        <f t="shared" ca="1" si="30"/>
        <v>#VALUE!</v>
      </c>
      <c r="Q175" t="str">
        <f t="shared" si="31"/>
        <v>Jan-00</v>
      </c>
      <c r="R175" t="str">
        <f t="shared" si="32"/>
        <v>Q1</v>
      </c>
      <c r="S175">
        <f t="shared" si="33"/>
        <v>1900</v>
      </c>
      <c r="T175" t="str">
        <f t="shared" si="34"/>
        <v>Retail</v>
      </c>
    </row>
    <row r="176" spans="8:20" x14ac:dyDescent="0.3">
      <c r="H176">
        <f t="shared" si="35"/>
        <v>0</v>
      </c>
      <c r="I176">
        <f t="shared" si="24"/>
        <v>0</v>
      </c>
      <c r="J176">
        <f t="shared" si="25"/>
        <v>0</v>
      </c>
      <c r="K176" t="str">
        <f t="shared" si="26"/>
        <v>January</v>
      </c>
      <c r="L176" t="str">
        <f t="shared" si="27"/>
        <v>Q1</v>
      </c>
      <c r="M176" s="2">
        <f t="shared" si="28"/>
        <v>1900</v>
      </c>
      <c r="N176" t="str">
        <f ca="1">IF(COUNTIFS(A$2:A176,A176,O$2:O176,O176)&gt;1,"Repeat","New")</f>
        <v>New</v>
      </c>
      <c r="O176" s="2" t="e">
        <f t="shared" ca="1" si="29"/>
        <v>#VALUE!</v>
      </c>
      <c r="P176" s="3" t="e">
        <f t="shared" ca="1" si="30"/>
        <v>#VALUE!</v>
      </c>
      <c r="Q176" t="str">
        <f t="shared" si="31"/>
        <v>Jan-00</v>
      </c>
      <c r="R176" t="str">
        <f t="shared" si="32"/>
        <v>Q1</v>
      </c>
      <c r="S176">
        <f t="shared" si="33"/>
        <v>1900</v>
      </c>
      <c r="T176" t="str">
        <f t="shared" si="34"/>
        <v>Retail</v>
      </c>
    </row>
    <row r="177" spans="8:20" x14ac:dyDescent="0.3">
      <c r="H177">
        <f t="shared" si="35"/>
        <v>0</v>
      </c>
      <c r="I177">
        <f t="shared" si="24"/>
        <v>0</v>
      </c>
      <c r="J177">
        <f t="shared" si="25"/>
        <v>0</v>
      </c>
      <c r="K177" t="str">
        <f t="shared" si="26"/>
        <v>January</v>
      </c>
      <c r="L177" t="str">
        <f t="shared" si="27"/>
        <v>Q1</v>
      </c>
      <c r="M177" s="2">
        <f t="shared" si="28"/>
        <v>1900</v>
      </c>
      <c r="N177" t="str">
        <f ca="1">IF(COUNTIFS(A$2:A177,A177,O$2:O177,O177)&gt;1,"Repeat","New")</f>
        <v>New</v>
      </c>
      <c r="O177" s="2" t="e">
        <f t="shared" ca="1" si="29"/>
        <v>#VALUE!</v>
      </c>
      <c r="P177" s="3" t="e">
        <f t="shared" ca="1" si="30"/>
        <v>#VALUE!</v>
      </c>
      <c r="Q177" t="str">
        <f t="shared" si="31"/>
        <v>Jan-00</v>
      </c>
      <c r="R177" t="str">
        <f t="shared" si="32"/>
        <v>Q1</v>
      </c>
      <c r="S177">
        <f t="shared" si="33"/>
        <v>1900</v>
      </c>
      <c r="T177" t="str">
        <f t="shared" si="34"/>
        <v>Retail</v>
      </c>
    </row>
    <row r="178" spans="8:20" x14ac:dyDescent="0.3">
      <c r="H178">
        <f t="shared" si="35"/>
        <v>0</v>
      </c>
      <c r="I178">
        <f t="shared" si="24"/>
        <v>0</v>
      </c>
      <c r="J178">
        <f t="shared" si="25"/>
        <v>0</v>
      </c>
      <c r="K178" t="str">
        <f t="shared" si="26"/>
        <v>January</v>
      </c>
      <c r="L178" t="str">
        <f t="shared" si="27"/>
        <v>Q1</v>
      </c>
      <c r="M178" s="2">
        <f t="shared" si="28"/>
        <v>1900</v>
      </c>
      <c r="N178" t="str">
        <f ca="1">IF(COUNTIFS(A$2:A178,A178,O$2:O178,O178)&gt;1,"Repeat","New")</f>
        <v>New</v>
      </c>
      <c r="O178" s="2" t="e">
        <f t="shared" ca="1" si="29"/>
        <v>#VALUE!</v>
      </c>
      <c r="P178" s="3" t="e">
        <f t="shared" ca="1" si="30"/>
        <v>#VALUE!</v>
      </c>
      <c r="Q178" t="str">
        <f t="shared" si="31"/>
        <v>Jan-00</v>
      </c>
      <c r="R178" t="str">
        <f t="shared" si="32"/>
        <v>Q1</v>
      </c>
      <c r="S178">
        <f t="shared" si="33"/>
        <v>1900</v>
      </c>
      <c r="T178" t="str">
        <f t="shared" si="34"/>
        <v>Retail</v>
      </c>
    </row>
    <row r="179" spans="8:20" x14ac:dyDescent="0.3">
      <c r="H179">
        <f t="shared" si="35"/>
        <v>0</v>
      </c>
      <c r="I179">
        <f t="shared" si="24"/>
        <v>0</v>
      </c>
      <c r="J179">
        <f t="shared" si="25"/>
        <v>0</v>
      </c>
      <c r="K179" t="str">
        <f t="shared" si="26"/>
        <v>January</v>
      </c>
      <c r="L179" t="str">
        <f t="shared" si="27"/>
        <v>Q1</v>
      </c>
      <c r="M179" s="2">
        <f t="shared" si="28"/>
        <v>1900</v>
      </c>
      <c r="N179" t="str">
        <f ca="1">IF(COUNTIFS(A$2:A179,A179,O$2:O179,O179)&gt;1,"Repeat","New")</f>
        <v>New</v>
      </c>
      <c r="O179" s="2" t="e">
        <f t="shared" ca="1" si="29"/>
        <v>#VALUE!</v>
      </c>
      <c r="P179" s="3" t="e">
        <f t="shared" ca="1" si="30"/>
        <v>#VALUE!</v>
      </c>
      <c r="Q179" t="str">
        <f t="shared" si="31"/>
        <v>Jan-00</v>
      </c>
      <c r="R179" t="str">
        <f t="shared" si="32"/>
        <v>Q1</v>
      </c>
      <c r="S179">
        <f t="shared" si="33"/>
        <v>1900</v>
      </c>
      <c r="T179" t="str">
        <f t="shared" si="34"/>
        <v>Retail</v>
      </c>
    </row>
    <row r="180" spans="8:20" x14ac:dyDescent="0.3">
      <c r="H180">
        <f t="shared" si="35"/>
        <v>0</v>
      </c>
      <c r="I180">
        <f t="shared" si="24"/>
        <v>0</v>
      </c>
      <c r="J180">
        <f t="shared" si="25"/>
        <v>0</v>
      </c>
      <c r="K180" t="str">
        <f t="shared" si="26"/>
        <v>January</v>
      </c>
      <c r="L180" t="str">
        <f t="shared" si="27"/>
        <v>Q1</v>
      </c>
      <c r="M180" s="2">
        <f t="shared" si="28"/>
        <v>1900</v>
      </c>
      <c r="N180" t="str">
        <f ca="1">IF(COUNTIFS(A$2:A180,A180,O$2:O180,O180)&gt;1,"Repeat","New")</f>
        <v>New</v>
      </c>
      <c r="O180" s="2" t="e">
        <f t="shared" ca="1" si="29"/>
        <v>#VALUE!</v>
      </c>
      <c r="P180" s="3" t="e">
        <f t="shared" ca="1" si="30"/>
        <v>#VALUE!</v>
      </c>
      <c r="Q180" t="str">
        <f t="shared" si="31"/>
        <v>Jan-00</v>
      </c>
      <c r="R180" t="str">
        <f t="shared" si="32"/>
        <v>Q1</v>
      </c>
      <c r="S180">
        <f t="shared" si="33"/>
        <v>1900</v>
      </c>
      <c r="T180" t="str">
        <f t="shared" si="34"/>
        <v>Retail</v>
      </c>
    </row>
    <row r="181" spans="8:20" x14ac:dyDescent="0.3">
      <c r="H181">
        <f t="shared" si="35"/>
        <v>0</v>
      </c>
      <c r="I181">
        <f t="shared" si="24"/>
        <v>0</v>
      </c>
      <c r="J181">
        <f t="shared" si="25"/>
        <v>0</v>
      </c>
      <c r="K181" t="str">
        <f t="shared" si="26"/>
        <v>January</v>
      </c>
      <c r="L181" t="str">
        <f t="shared" si="27"/>
        <v>Q1</v>
      </c>
      <c r="M181" s="2">
        <f t="shared" si="28"/>
        <v>1900</v>
      </c>
      <c r="N181" t="str">
        <f ca="1">IF(COUNTIFS(A$2:A181,A181,O$2:O181,O181)&gt;1,"Repeat","New")</f>
        <v>New</v>
      </c>
      <c r="O181" s="2" t="e">
        <f t="shared" ca="1" si="29"/>
        <v>#VALUE!</v>
      </c>
      <c r="P181" s="3" t="e">
        <f t="shared" ca="1" si="30"/>
        <v>#VALUE!</v>
      </c>
      <c r="Q181" t="str">
        <f t="shared" si="31"/>
        <v>Jan-00</v>
      </c>
      <c r="R181" t="str">
        <f t="shared" si="32"/>
        <v>Q1</v>
      </c>
      <c r="S181">
        <f t="shared" si="33"/>
        <v>1900</v>
      </c>
      <c r="T181" t="str">
        <f t="shared" si="34"/>
        <v>Retail</v>
      </c>
    </row>
    <row r="182" spans="8:20" x14ac:dyDescent="0.3">
      <c r="H182">
        <f t="shared" si="35"/>
        <v>0</v>
      </c>
      <c r="I182">
        <f t="shared" si="24"/>
        <v>0</v>
      </c>
      <c r="J182">
        <f t="shared" si="25"/>
        <v>0</v>
      </c>
      <c r="K182" t="str">
        <f t="shared" si="26"/>
        <v>January</v>
      </c>
      <c r="L182" t="str">
        <f t="shared" si="27"/>
        <v>Q1</v>
      </c>
      <c r="M182" s="2">
        <f t="shared" si="28"/>
        <v>1900</v>
      </c>
      <c r="N182" t="str">
        <f ca="1">IF(COUNTIFS(A$2:A182,A182,O$2:O182,O182)&gt;1,"Repeat","New")</f>
        <v>New</v>
      </c>
      <c r="O182" s="2" t="e">
        <f t="shared" ca="1" si="29"/>
        <v>#VALUE!</v>
      </c>
      <c r="P182" s="3" t="e">
        <f t="shared" ca="1" si="30"/>
        <v>#VALUE!</v>
      </c>
      <c r="Q182" t="str">
        <f t="shared" si="31"/>
        <v>Jan-00</v>
      </c>
      <c r="R182" t="str">
        <f t="shared" si="32"/>
        <v>Q1</v>
      </c>
      <c r="S182">
        <f t="shared" si="33"/>
        <v>1900</v>
      </c>
      <c r="T182" t="str">
        <f t="shared" si="34"/>
        <v>Retail</v>
      </c>
    </row>
    <row r="183" spans="8:20" x14ac:dyDescent="0.3">
      <c r="H183">
        <f t="shared" si="35"/>
        <v>0</v>
      </c>
      <c r="I183">
        <f t="shared" si="24"/>
        <v>0</v>
      </c>
      <c r="J183">
        <f t="shared" si="25"/>
        <v>0</v>
      </c>
      <c r="K183" t="str">
        <f t="shared" si="26"/>
        <v>January</v>
      </c>
      <c r="L183" t="str">
        <f t="shared" si="27"/>
        <v>Q1</v>
      </c>
      <c r="M183" s="2">
        <f t="shared" si="28"/>
        <v>1900</v>
      </c>
      <c r="N183" t="str">
        <f ca="1">IF(COUNTIFS(A$2:A183,A183,O$2:O183,O183)&gt;1,"Repeat","New")</f>
        <v>New</v>
      </c>
      <c r="O183" s="2" t="e">
        <f t="shared" ca="1" si="29"/>
        <v>#VALUE!</v>
      </c>
      <c r="P183" s="3" t="e">
        <f t="shared" ca="1" si="30"/>
        <v>#VALUE!</v>
      </c>
      <c r="Q183" t="str">
        <f t="shared" si="31"/>
        <v>Jan-00</v>
      </c>
      <c r="R183" t="str">
        <f t="shared" si="32"/>
        <v>Q1</v>
      </c>
      <c r="S183">
        <f t="shared" si="33"/>
        <v>1900</v>
      </c>
      <c r="T183" t="str">
        <f t="shared" si="34"/>
        <v>Retail</v>
      </c>
    </row>
    <row r="184" spans="8:20" x14ac:dyDescent="0.3">
      <c r="H184">
        <f t="shared" si="35"/>
        <v>0</v>
      </c>
      <c r="I184">
        <f t="shared" si="24"/>
        <v>0</v>
      </c>
      <c r="J184">
        <f t="shared" si="25"/>
        <v>0</v>
      </c>
      <c r="K184" t="str">
        <f t="shared" si="26"/>
        <v>January</v>
      </c>
      <c r="L184" t="str">
        <f t="shared" si="27"/>
        <v>Q1</v>
      </c>
      <c r="M184" s="2">
        <f t="shared" si="28"/>
        <v>1900</v>
      </c>
      <c r="N184" t="str">
        <f ca="1">IF(COUNTIFS(A$2:A184,A184,O$2:O184,O184)&gt;1,"Repeat","New")</f>
        <v>New</v>
      </c>
      <c r="O184" s="2" t="e">
        <f t="shared" ca="1" si="29"/>
        <v>#VALUE!</v>
      </c>
      <c r="P184" s="3" t="e">
        <f t="shared" ca="1" si="30"/>
        <v>#VALUE!</v>
      </c>
      <c r="Q184" t="str">
        <f t="shared" si="31"/>
        <v>Jan-00</v>
      </c>
      <c r="R184" t="str">
        <f t="shared" si="32"/>
        <v>Q1</v>
      </c>
      <c r="S184">
        <f t="shared" si="33"/>
        <v>1900</v>
      </c>
      <c r="T184" t="str">
        <f t="shared" si="34"/>
        <v>Retail</v>
      </c>
    </row>
    <row r="185" spans="8:20" x14ac:dyDescent="0.3">
      <c r="H185">
        <f t="shared" si="35"/>
        <v>0</v>
      </c>
      <c r="I185">
        <f t="shared" si="24"/>
        <v>0</v>
      </c>
      <c r="J185">
        <f t="shared" si="25"/>
        <v>0</v>
      </c>
      <c r="K185" t="str">
        <f t="shared" si="26"/>
        <v>January</v>
      </c>
      <c r="L185" t="str">
        <f t="shared" si="27"/>
        <v>Q1</v>
      </c>
      <c r="M185" s="2">
        <f t="shared" si="28"/>
        <v>1900</v>
      </c>
      <c r="N185" t="str">
        <f ca="1">IF(COUNTIFS(A$2:A185,A185,O$2:O185,O185)&gt;1,"Repeat","New")</f>
        <v>New</v>
      </c>
      <c r="O185" s="2" t="e">
        <f t="shared" ca="1" si="29"/>
        <v>#VALUE!</v>
      </c>
      <c r="P185" s="3" t="e">
        <f t="shared" ca="1" si="30"/>
        <v>#VALUE!</v>
      </c>
      <c r="Q185" t="str">
        <f t="shared" si="31"/>
        <v>Jan-00</v>
      </c>
      <c r="R185" t="str">
        <f t="shared" si="32"/>
        <v>Q1</v>
      </c>
      <c r="S185">
        <f t="shared" si="33"/>
        <v>1900</v>
      </c>
      <c r="T185" t="str">
        <f t="shared" si="34"/>
        <v>Retail</v>
      </c>
    </row>
    <row r="186" spans="8:20" x14ac:dyDescent="0.3">
      <c r="H186">
        <f t="shared" si="35"/>
        <v>0</v>
      </c>
      <c r="I186">
        <f t="shared" si="24"/>
        <v>0</v>
      </c>
      <c r="J186">
        <f t="shared" si="25"/>
        <v>0</v>
      </c>
      <c r="K186" t="str">
        <f t="shared" si="26"/>
        <v>January</v>
      </c>
      <c r="L186" t="str">
        <f t="shared" si="27"/>
        <v>Q1</v>
      </c>
      <c r="M186" s="2">
        <f t="shared" si="28"/>
        <v>1900</v>
      </c>
      <c r="N186" t="str">
        <f ca="1">IF(COUNTIFS(A$2:A186,A186,O$2:O186,O186)&gt;1,"Repeat","New")</f>
        <v>New</v>
      </c>
      <c r="O186" s="2" t="e">
        <f t="shared" ca="1" si="29"/>
        <v>#VALUE!</v>
      </c>
      <c r="P186" s="3" t="e">
        <f t="shared" ca="1" si="30"/>
        <v>#VALUE!</v>
      </c>
      <c r="Q186" t="str">
        <f t="shared" si="31"/>
        <v>Jan-00</v>
      </c>
      <c r="R186" t="str">
        <f t="shared" si="32"/>
        <v>Q1</v>
      </c>
      <c r="S186">
        <f t="shared" si="33"/>
        <v>1900</v>
      </c>
      <c r="T186" t="str">
        <f t="shared" si="34"/>
        <v>Retail</v>
      </c>
    </row>
    <row r="187" spans="8:20" x14ac:dyDescent="0.3">
      <c r="H187">
        <f t="shared" si="35"/>
        <v>0</v>
      </c>
      <c r="I187">
        <f t="shared" si="24"/>
        <v>0</v>
      </c>
      <c r="J187">
        <f t="shared" si="25"/>
        <v>0</v>
      </c>
      <c r="K187" t="str">
        <f t="shared" si="26"/>
        <v>January</v>
      </c>
      <c r="L187" t="str">
        <f t="shared" si="27"/>
        <v>Q1</v>
      </c>
      <c r="M187" s="2">
        <f t="shared" si="28"/>
        <v>1900</v>
      </c>
      <c r="N187" t="str">
        <f ca="1">IF(COUNTIFS(A$2:A187,A187,O$2:O187,O187)&gt;1,"Repeat","New")</f>
        <v>New</v>
      </c>
      <c r="O187" s="2" t="e">
        <f t="shared" ca="1" si="29"/>
        <v>#VALUE!</v>
      </c>
      <c r="P187" s="3" t="e">
        <f t="shared" ca="1" si="30"/>
        <v>#VALUE!</v>
      </c>
      <c r="Q187" t="str">
        <f t="shared" si="31"/>
        <v>Jan-00</v>
      </c>
      <c r="R187" t="str">
        <f t="shared" si="32"/>
        <v>Q1</v>
      </c>
      <c r="S187">
        <f t="shared" si="33"/>
        <v>1900</v>
      </c>
      <c r="T187" t="str">
        <f t="shared" si="34"/>
        <v>Retail</v>
      </c>
    </row>
    <row r="188" spans="8:20" x14ac:dyDescent="0.3">
      <c r="H188">
        <f t="shared" si="35"/>
        <v>0</v>
      </c>
      <c r="I188">
        <f t="shared" si="24"/>
        <v>0</v>
      </c>
      <c r="J188">
        <f t="shared" si="25"/>
        <v>0</v>
      </c>
      <c r="K188" t="str">
        <f t="shared" si="26"/>
        <v>January</v>
      </c>
      <c r="L188" t="str">
        <f t="shared" si="27"/>
        <v>Q1</v>
      </c>
      <c r="M188" s="2">
        <f t="shared" si="28"/>
        <v>1900</v>
      </c>
      <c r="N188" t="str">
        <f ca="1">IF(COUNTIFS(A$2:A188,A188,O$2:O188,O188)&gt;1,"Repeat","New")</f>
        <v>New</v>
      </c>
      <c r="O188" s="2" t="e">
        <f t="shared" ca="1" si="29"/>
        <v>#VALUE!</v>
      </c>
      <c r="P188" s="3" t="e">
        <f t="shared" ca="1" si="30"/>
        <v>#VALUE!</v>
      </c>
      <c r="Q188" t="str">
        <f t="shared" si="31"/>
        <v>Jan-00</v>
      </c>
      <c r="R188" t="str">
        <f t="shared" si="32"/>
        <v>Q1</v>
      </c>
      <c r="S188">
        <f t="shared" si="33"/>
        <v>1900</v>
      </c>
      <c r="T188" t="str">
        <f t="shared" si="34"/>
        <v>Retail</v>
      </c>
    </row>
    <row r="189" spans="8:20" x14ac:dyDescent="0.3">
      <c r="H189">
        <f t="shared" si="35"/>
        <v>0</v>
      </c>
      <c r="I189">
        <f t="shared" si="24"/>
        <v>0</v>
      </c>
      <c r="J189">
        <f t="shared" si="25"/>
        <v>0</v>
      </c>
      <c r="K189" t="str">
        <f t="shared" si="26"/>
        <v>January</v>
      </c>
      <c r="L189" t="str">
        <f t="shared" si="27"/>
        <v>Q1</v>
      </c>
      <c r="M189" s="2">
        <f t="shared" si="28"/>
        <v>1900</v>
      </c>
      <c r="N189" t="str">
        <f ca="1">IF(COUNTIFS(A$2:A189,A189,O$2:O189,O189)&gt;1,"Repeat","New")</f>
        <v>New</v>
      </c>
      <c r="O189" s="2" t="e">
        <f t="shared" ca="1" si="29"/>
        <v>#VALUE!</v>
      </c>
      <c r="P189" s="3" t="e">
        <f t="shared" ca="1" si="30"/>
        <v>#VALUE!</v>
      </c>
      <c r="Q189" t="str">
        <f t="shared" si="31"/>
        <v>Jan-00</v>
      </c>
      <c r="R189" t="str">
        <f t="shared" si="32"/>
        <v>Q1</v>
      </c>
      <c r="S189">
        <f t="shared" si="33"/>
        <v>1900</v>
      </c>
      <c r="T189" t="str">
        <f t="shared" si="34"/>
        <v>Retail</v>
      </c>
    </row>
    <row r="190" spans="8:20" x14ac:dyDescent="0.3">
      <c r="H190">
        <f t="shared" si="35"/>
        <v>0</v>
      </c>
      <c r="I190">
        <f t="shared" si="24"/>
        <v>0</v>
      </c>
      <c r="J190">
        <f t="shared" si="25"/>
        <v>0</v>
      </c>
      <c r="K190" t="str">
        <f t="shared" si="26"/>
        <v>January</v>
      </c>
      <c r="L190" t="str">
        <f t="shared" si="27"/>
        <v>Q1</v>
      </c>
      <c r="M190" s="2">
        <f t="shared" si="28"/>
        <v>1900</v>
      </c>
      <c r="N190" t="str">
        <f ca="1">IF(COUNTIFS(A$2:A190,A190,O$2:O190,O190)&gt;1,"Repeat","New")</f>
        <v>New</v>
      </c>
      <c r="O190" s="2" t="e">
        <f t="shared" ca="1" si="29"/>
        <v>#VALUE!</v>
      </c>
      <c r="P190" s="3" t="e">
        <f t="shared" ca="1" si="30"/>
        <v>#VALUE!</v>
      </c>
      <c r="Q190" t="str">
        <f t="shared" si="31"/>
        <v>Jan-00</v>
      </c>
      <c r="R190" t="str">
        <f t="shared" si="32"/>
        <v>Q1</v>
      </c>
      <c r="S190">
        <f t="shared" si="33"/>
        <v>1900</v>
      </c>
      <c r="T190" t="str">
        <f t="shared" si="34"/>
        <v>Retail</v>
      </c>
    </row>
    <row r="191" spans="8:20" x14ac:dyDescent="0.3">
      <c r="H191">
        <f t="shared" si="35"/>
        <v>0</v>
      </c>
      <c r="I191">
        <f t="shared" si="24"/>
        <v>0</v>
      </c>
      <c r="J191">
        <f t="shared" si="25"/>
        <v>0</v>
      </c>
      <c r="K191" t="str">
        <f t="shared" si="26"/>
        <v>January</v>
      </c>
      <c r="L191" t="str">
        <f t="shared" si="27"/>
        <v>Q1</v>
      </c>
      <c r="M191" s="2">
        <f t="shared" si="28"/>
        <v>1900</v>
      </c>
      <c r="N191" t="str">
        <f ca="1">IF(COUNTIFS(A$2:A191,A191,O$2:O191,O191)&gt;1,"Repeat","New")</f>
        <v>New</v>
      </c>
      <c r="O191" s="2" t="e">
        <f t="shared" ca="1" si="29"/>
        <v>#VALUE!</v>
      </c>
      <c r="P191" s="3" t="e">
        <f t="shared" ca="1" si="30"/>
        <v>#VALUE!</v>
      </c>
      <c r="Q191" t="str">
        <f t="shared" si="31"/>
        <v>Jan-00</v>
      </c>
      <c r="R191" t="str">
        <f t="shared" si="32"/>
        <v>Q1</v>
      </c>
      <c r="S191">
        <f t="shared" si="33"/>
        <v>1900</v>
      </c>
      <c r="T191" t="str">
        <f t="shared" si="34"/>
        <v>Retail</v>
      </c>
    </row>
    <row r="192" spans="8:20" x14ac:dyDescent="0.3">
      <c r="H192">
        <f t="shared" si="35"/>
        <v>0</v>
      </c>
      <c r="I192">
        <f t="shared" si="24"/>
        <v>0</v>
      </c>
      <c r="J192">
        <f t="shared" si="25"/>
        <v>0</v>
      </c>
      <c r="K192" t="str">
        <f t="shared" si="26"/>
        <v>January</v>
      </c>
      <c r="L192" t="str">
        <f t="shared" si="27"/>
        <v>Q1</v>
      </c>
      <c r="M192" s="2">
        <f t="shared" si="28"/>
        <v>1900</v>
      </c>
      <c r="N192" t="str">
        <f ca="1">IF(COUNTIFS(A$2:A192,A192,O$2:O192,O192)&gt;1,"Repeat","New")</f>
        <v>New</v>
      </c>
      <c r="O192" s="2" t="e">
        <f t="shared" ca="1" si="29"/>
        <v>#VALUE!</v>
      </c>
      <c r="P192" s="3" t="e">
        <f t="shared" ca="1" si="30"/>
        <v>#VALUE!</v>
      </c>
      <c r="Q192" t="str">
        <f t="shared" si="31"/>
        <v>Jan-00</v>
      </c>
      <c r="R192" t="str">
        <f t="shared" si="32"/>
        <v>Q1</v>
      </c>
      <c r="S192">
        <f t="shared" si="33"/>
        <v>1900</v>
      </c>
      <c r="T192" t="str">
        <f t="shared" si="34"/>
        <v>Retail</v>
      </c>
    </row>
    <row r="193" spans="8:20" x14ac:dyDescent="0.3">
      <c r="H193">
        <f t="shared" si="35"/>
        <v>0</v>
      </c>
      <c r="I193">
        <f t="shared" si="24"/>
        <v>0</v>
      </c>
      <c r="J193">
        <f t="shared" si="25"/>
        <v>0</v>
      </c>
      <c r="K193" t="str">
        <f t="shared" si="26"/>
        <v>January</v>
      </c>
      <c r="L193" t="str">
        <f t="shared" si="27"/>
        <v>Q1</v>
      </c>
      <c r="M193" s="2">
        <f t="shared" si="28"/>
        <v>1900</v>
      </c>
      <c r="N193" t="str">
        <f ca="1">IF(COUNTIFS(A$2:A193,A193,O$2:O193,O193)&gt;1,"Repeat","New")</f>
        <v>New</v>
      </c>
      <c r="O193" s="2" t="e">
        <f t="shared" ca="1" si="29"/>
        <v>#VALUE!</v>
      </c>
      <c r="P193" s="3" t="e">
        <f t="shared" ca="1" si="30"/>
        <v>#VALUE!</v>
      </c>
      <c r="Q193" t="str">
        <f t="shared" si="31"/>
        <v>Jan-00</v>
      </c>
      <c r="R193" t="str">
        <f t="shared" si="32"/>
        <v>Q1</v>
      </c>
      <c r="S193">
        <f t="shared" si="33"/>
        <v>1900</v>
      </c>
      <c r="T193" t="str">
        <f t="shared" si="34"/>
        <v>Retail</v>
      </c>
    </row>
    <row r="194" spans="8:20" x14ac:dyDescent="0.3">
      <c r="H194">
        <f t="shared" si="35"/>
        <v>0</v>
      </c>
      <c r="I194">
        <f t="shared" ref="I194:I257" si="36">H194-(D194*F194)</f>
        <v>0</v>
      </c>
      <c r="J194">
        <f t="shared" ref="J194:J257" si="37">IF(H194&gt;0,I194/H194,0)</f>
        <v>0</v>
      </c>
      <c r="K194" t="str">
        <f t="shared" ref="K194:K257" si="38">TEXT(A194,"mmmm")</f>
        <v>January</v>
      </c>
      <c r="L194" t="str">
        <f t="shared" ref="L194:L257" si="39">"Q"&amp;ROUNDUP(MONTH(A194)/3,0)</f>
        <v>Q1</v>
      </c>
      <c r="M194" s="2">
        <f t="shared" ref="M194:M257" si="40">YEAR(A194)</f>
        <v>1900</v>
      </c>
      <c r="N194" t="str">
        <f ca="1">IF(COUNTIFS(A$2:A194,A194,O$2:O194,O194)&gt;1,"Repeat","New")</f>
        <v>New</v>
      </c>
      <c r="O194" s="2" t="e">
        <f t="shared" ref="O194:O257" ca="1" si="41">M194-N194</f>
        <v>#VALUE!</v>
      </c>
      <c r="P194" s="3" t="e">
        <f t="shared" ref="P194:P257" ca="1" si="42">IF(M194&gt;0,O194/M194,0)</f>
        <v>#VALUE!</v>
      </c>
      <c r="Q194" t="str">
        <f t="shared" ref="Q194:Q257" si="43">TEXT(B194, "mmm-yy")</f>
        <v>Jan-00</v>
      </c>
      <c r="R194" t="str">
        <f t="shared" ref="R194:R257" si="44">"Q"&amp;INT((MONTH(B194)-1)/3)+1</f>
        <v>Q1</v>
      </c>
      <c r="S194">
        <f t="shared" ref="S194:S257" si="45">YEAR(B194)</f>
        <v>1900</v>
      </c>
      <c r="T194" t="str">
        <f t="shared" ref="T194:T257" si="46">IF(M194&gt;5000, "Enterprise", "Retail")</f>
        <v>Retail</v>
      </c>
    </row>
    <row r="195" spans="8:20" x14ac:dyDescent="0.3">
      <c r="H195">
        <f t="shared" ref="H195:H258" si="47">(E195*F195)*(1-G195)</f>
        <v>0</v>
      </c>
      <c r="I195">
        <f t="shared" si="36"/>
        <v>0</v>
      </c>
      <c r="J195">
        <f t="shared" si="37"/>
        <v>0</v>
      </c>
      <c r="K195" t="str">
        <f t="shared" si="38"/>
        <v>January</v>
      </c>
      <c r="L195" t="str">
        <f t="shared" si="39"/>
        <v>Q1</v>
      </c>
      <c r="M195" s="2">
        <f t="shared" si="40"/>
        <v>1900</v>
      </c>
      <c r="N195" t="str">
        <f ca="1">IF(COUNTIFS(A$2:A195,A195,O$2:O195,O195)&gt;1,"Repeat","New")</f>
        <v>New</v>
      </c>
      <c r="O195" s="2" t="e">
        <f t="shared" ca="1" si="41"/>
        <v>#VALUE!</v>
      </c>
      <c r="P195" s="3" t="e">
        <f t="shared" ca="1" si="42"/>
        <v>#VALUE!</v>
      </c>
      <c r="Q195" t="str">
        <f t="shared" si="43"/>
        <v>Jan-00</v>
      </c>
      <c r="R195" t="str">
        <f t="shared" si="44"/>
        <v>Q1</v>
      </c>
      <c r="S195">
        <f t="shared" si="45"/>
        <v>1900</v>
      </c>
      <c r="T195" t="str">
        <f t="shared" si="46"/>
        <v>Retail</v>
      </c>
    </row>
    <row r="196" spans="8:20" x14ac:dyDescent="0.3">
      <c r="H196">
        <f t="shared" si="47"/>
        <v>0</v>
      </c>
      <c r="I196">
        <f t="shared" si="36"/>
        <v>0</v>
      </c>
      <c r="J196">
        <f t="shared" si="37"/>
        <v>0</v>
      </c>
      <c r="K196" t="str">
        <f t="shared" si="38"/>
        <v>January</v>
      </c>
      <c r="L196" t="str">
        <f t="shared" si="39"/>
        <v>Q1</v>
      </c>
      <c r="M196" s="2">
        <f t="shared" si="40"/>
        <v>1900</v>
      </c>
      <c r="N196" t="str">
        <f ca="1">IF(COUNTIFS(A$2:A196,A196,O$2:O196,O196)&gt;1,"Repeat","New")</f>
        <v>New</v>
      </c>
      <c r="O196" s="2" t="e">
        <f t="shared" ca="1" si="41"/>
        <v>#VALUE!</v>
      </c>
      <c r="P196" s="3" t="e">
        <f t="shared" ca="1" si="42"/>
        <v>#VALUE!</v>
      </c>
      <c r="Q196" t="str">
        <f t="shared" si="43"/>
        <v>Jan-00</v>
      </c>
      <c r="R196" t="str">
        <f t="shared" si="44"/>
        <v>Q1</v>
      </c>
      <c r="S196">
        <f t="shared" si="45"/>
        <v>1900</v>
      </c>
      <c r="T196" t="str">
        <f t="shared" si="46"/>
        <v>Retail</v>
      </c>
    </row>
    <row r="197" spans="8:20" x14ac:dyDescent="0.3">
      <c r="H197">
        <f t="shared" si="47"/>
        <v>0</v>
      </c>
      <c r="I197">
        <f t="shared" si="36"/>
        <v>0</v>
      </c>
      <c r="J197">
        <f t="shared" si="37"/>
        <v>0</v>
      </c>
      <c r="K197" t="str">
        <f t="shared" si="38"/>
        <v>January</v>
      </c>
      <c r="L197" t="str">
        <f t="shared" si="39"/>
        <v>Q1</v>
      </c>
      <c r="M197" s="2">
        <f t="shared" si="40"/>
        <v>1900</v>
      </c>
      <c r="N197" t="str">
        <f ca="1">IF(COUNTIFS(A$2:A197,A197,O$2:O197,O197)&gt;1,"Repeat","New")</f>
        <v>New</v>
      </c>
      <c r="O197" s="2" t="e">
        <f t="shared" ca="1" si="41"/>
        <v>#VALUE!</v>
      </c>
      <c r="P197" s="3" t="e">
        <f t="shared" ca="1" si="42"/>
        <v>#VALUE!</v>
      </c>
      <c r="Q197" t="str">
        <f t="shared" si="43"/>
        <v>Jan-00</v>
      </c>
      <c r="R197" t="str">
        <f t="shared" si="44"/>
        <v>Q1</v>
      </c>
      <c r="S197">
        <f t="shared" si="45"/>
        <v>1900</v>
      </c>
      <c r="T197" t="str">
        <f t="shared" si="46"/>
        <v>Retail</v>
      </c>
    </row>
    <row r="198" spans="8:20" x14ac:dyDescent="0.3">
      <c r="H198">
        <f t="shared" si="47"/>
        <v>0</v>
      </c>
      <c r="I198">
        <f t="shared" si="36"/>
        <v>0</v>
      </c>
      <c r="J198">
        <f t="shared" si="37"/>
        <v>0</v>
      </c>
      <c r="K198" t="str">
        <f t="shared" si="38"/>
        <v>January</v>
      </c>
      <c r="L198" t="str">
        <f t="shared" si="39"/>
        <v>Q1</v>
      </c>
      <c r="M198" s="2">
        <f t="shared" si="40"/>
        <v>1900</v>
      </c>
      <c r="N198" t="str">
        <f ca="1">IF(COUNTIFS(A$2:A198,A198,O$2:O198,O198)&gt;1,"Repeat","New")</f>
        <v>New</v>
      </c>
      <c r="O198" s="2" t="e">
        <f t="shared" ca="1" si="41"/>
        <v>#VALUE!</v>
      </c>
      <c r="P198" s="3" t="e">
        <f t="shared" ca="1" si="42"/>
        <v>#VALUE!</v>
      </c>
      <c r="Q198" t="str">
        <f t="shared" si="43"/>
        <v>Jan-00</v>
      </c>
      <c r="R198" t="str">
        <f t="shared" si="44"/>
        <v>Q1</v>
      </c>
      <c r="S198">
        <f t="shared" si="45"/>
        <v>1900</v>
      </c>
      <c r="T198" t="str">
        <f t="shared" si="46"/>
        <v>Retail</v>
      </c>
    </row>
    <row r="199" spans="8:20" x14ac:dyDescent="0.3">
      <c r="H199">
        <f t="shared" si="47"/>
        <v>0</v>
      </c>
      <c r="I199">
        <f t="shared" si="36"/>
        <v>0</v>
      </c>
      <c r="J199">
        <f t="shared" si="37"/>
        <v>0</v>
      </c>
      <c r="K199" t="str">
        <f t="shared" si="38"/>
        <v>January</v>
      </c>
      <c r="L199" t="str">
        <f t="shared" si="39"/>
        <v>Q1</v>
      </c>
      <c r="M199" s="2">
        <f t="shared" si="40"/>
        <v>1900</v>
      </c>
      <c r="N199" t="str">
        <f ca="1">IF(COUNTIFS(A$2:A199,A199,O$2:O199,O199)&gt;1,"Repeat","New")</f>
        <v>New</v>
      </c>
      <c r="O199" s="2" t="e">
        <f t="shared" ca="1" si="41"/>
        <v>#VALUE!</v>
      </c>
      <c r="P199" s="3" t="e">
        <f t="shared" ca="1" si="42"/>
        <v>#VALUE!</v>
      </c>
      <c r="Q199" t="str">
        <f t="shared" si="43"/>
        <v>Jan-00</v>
      </c>
      <c r="R199" t="str">
        <f t="shared" si="44"/>
        <v>Q1</v>
      </c>
      <c r="S199">
        <f t="shared" si="45"/>
        <v>1900</v>
      </c>
      <c r="T199" t="str">
        <f t="shared" si="46"/>
        <v>Retail</v>
      </c>
    </row>
    <row r="200" spans="8:20" x14ac:dyDescent="0.3">
      <c r="H200">
        <f t="shared" si="47"/>
        <v>0</v>
      </c>
      <c r="I200">
        <f t="shared" si="36"/>
        <v>0</v>
      </c>
      <c r="J200">
        <f t="shared" si="37"/>
        <v>0</v>
      </c>
      <c r="K200" t="str">
        <f t="shared" si="38"/>
        <v>January</v>
      </c>
      <c r="L200" t="str">
        <f t="shared" si="39"/>
        <v>Q1</v>
      </c>
      <c r="M200" s="2">
        <f t="shared" si="40"/>
        <v>1900</v>
      </c>
      <c r="N200" t="str">
        <f ca="1">IF(COUNTIFS(A$2:A200,A200,O$2:O200,O200)&gt;1,"Repeat","New")</f>
        <v>New</v>
      </c>
      <c r="O200" s="2" t="e">
        <f t="shared" ca="1" si="41"/>
        <v>#VALUE!</v>
      </c>
      <c r="P200" s="3" t="e">
        <f t="shared" ca="1" si="42"/>
        <v>#VALUE!</v>
      </c>
      <c r="Q200" t="str">
        <f t="shared" si="43"/>
        <v>Jan-00</v>
      </c>
      <c r="R200" t="str">
        <f t="shared" si="44"/>
        <v>Q1</v>
      </c>
      <c r="S200">
        <f t="shared" si="45"/>
        <v>1900</v>
      </c>
      <c r="T200" t="str">
        <f t="shared" si="46"/>
        <v>Retail</v>
      </c>
    </row>
    <row r="201" spans="8:20" x14ac:dyDescent="0.3">
      <c r="H201">
        <f t="shared" si="47"/>
        <v>0</v>
      </c>
      <c r="I201">
        <f t="shared" si="36"/>
        <v>0</v>
      </c>
      <c r="J201">
        <f t="shared" si="37"/>
        <v>0</v>
      </c>
      <c r="K201" t="str">
        <f t="shared" si="38"/>
        <v>January</v>
      </c>
      <c r="L201" t="str">
        <f t="shared" si="39"/>
        <v>Q1</v>
      </c>
      <c r="M201" s="2">
        <f t="shared" si="40"/>
        <v>1900</v>
      </c>
      <c r="N201" t="str">
        <f ca="1">IF(COUNTIFS(A$2:A201,A201,O$2:O201,O201)&gt;1,"Repeat","New")</f>
        <v>New</v>
      </c>
      <c r="O201" s="2" t="e">
        <f t="shared" ca="1" si="41"/>
        <v>#VALUE!</v>
      </c>
      <c r="P201" s="3" t="e">
        <f t="shared" ca="1" si="42"/>
        <v>#VALUE!</v>
      </c>
      <c r="Q201" t="str">
        <f t="shared" si="43"/>
        <v>Jan-00</v>
      </c>
      <c r="R201" t="str">
        <f t="shared" si="44"/>
        <v>Q1</v>
      </c>
      <c r="S201">
        <f t="shared" si="45"/>
        <v>1900</v>
      </c>
      <c r="T201" t="str">
        <f t="shared" si="46"/>
        <v>Retail</v>
      </c>
    </row>
    <row r="202" spans="8:20" x14ac:dyDescent="0.3">
      <c r="H202">
        <f t="shared" si="47"/>
        <v>0</v>
      </c>
      <c r="I202">
        <f t="shared" si="36"/>
        <v>0</v>
      </c>
      <c r="J202">
        <f t="shared" si="37"/>
        <v>0</v>
      </c>
      <c r="K202" t="str">
        <f t="shared" si="38"/>
        <v>January</v>
      </c>
      <c r="L202" t="str">
        <f t="shared" si="39"/>
        <v>Q1</v>
      </c>
      <c r="M202" s="2">
        <f t="shared" si="40"/>
        <v>1900</v>
      </c>
      <c r="N202" t="str">
        <f ca="1">IF(COUNTIFS(A$2:A202,A202,O$2:O202,O202)&gt;1,"Repeat","New")</f>
        <v>New</v>
      </c>
      <c r="O202" s="2" t="e">
        <f t="shared" ca="1" si="41"/>
        <v>#VALUE!</v>
      </c>
      <c r="P202" s="3" t="e">
        <f t="shared" ca="1" si="42"/>
        <v>#VALUE!</v>
      </c>
      <c r="Q202" t="str">
        <f t="shared" si="43"/>
        <v>Jan-00</v>
      </c>
      <c r="R202" t="str">
        <f t="shared" si="44"/>
        <v>Q1</v>
      </c>
      <c r="S202">
        <f t="shared" si="45"/>
        <v>1900</v>
      </c>
      <c r="T202" t="str">
        <f t="shared" si="46"/>
        <v>Retail</v>
      </c>
    </row>
    <row r="203" spans="8:20" x14ac:dyDescent="0.3">
      <c r="H203">
        <f t="shared" si="47"/>
        <v>0</v>
      </c>
      <c r="I203">
        <f t="shared" si="36"/>
        <v>0</v>
      </c>
      <c r="J203">
        <f t="shared" si="37"/>
        <v>0</v>
      </c>
      <c r="K203" t="str">
        <f t="shared" si="38"/>
        <v>January</v>
      </c>
      <c r="L203" t="str">
        <f t="shared" si="39"/>
        <v>Q1</v>
      </c>
      <c r="M203" s="2">
        <f t="shared" si="40"/>
        <v>1900</v>
      </c>
      <c r="N203" t="str">
        <f ca="1">IF(COUNTIFS(A$2:A203,A203,O$2:O203,O203)&gt;1,"Repeat","New")</f>
        <v>New</v>
      </c>
      <c r="O203" s="2" t="e">
        <f t="shared" ca="1" si="41"/>
        <v>#VALUE!</v>
      </c>
      <c r="P203" s="3" t="e">
        <f t="shared" ca="1" si="42"/>
        <v>#VALUE!</v>
      </c>
      <c r="Q203" t="str">
        <f t="shared" si="43"/>
        <v>Jan-00</v>
      </c>
      <c r="R203" t="str">
        <f t="shared" si="44"/>
        <v>Q1</v>
      </c>
      <c r="S203">
        <f t="shared" si="45"/>
        <v>1900</v>
      </c>
      <c r="T203" t="str">
        <f t="shared" si="46"/>
        <v>Retail</v>
      </c>
    </row>
    <row r="204" spans="8:20" x14ac:dyDescent="0.3">
      <c r="H204">
        <f t="shared" si="47"/>
        <v>0</v>
      </c>
      <c r="I204">
        <f t="shared" si="36"/>
        <v>0</v>
      </c>
      <c r="J204">
        <f t="shared" si="37"/>
        <v>0</v>
      </c>
      <c r="K204" t="str">
        <f t="shared" si="38"/>
        <v>January</v>
      </c>
      <c r="L204" t="str">
        <f t="shared" si="39"/>
        <v>Q1</v>
      </c>
      <c r="M204" s="2">
        <f t="shared" si="40"/>
        <v>1900</v>
      </c>
      <c r="N204" t="str">
        <f ca="1">IF(COUNTIFS(A$2:A204,A204,O$2:O204,O204)&gt;1,"Repeat","New")</f>
        <v>New</v>
      </c>
      <c r="O204" s="2" t="e">
        <f t="shared" ca="1" si="41"/>
        <v>#VALUE!</v>
      </c>
      <c r="P204" s="3" t="e">
        <f t="shared" ca="1" si="42"/>
        <v>#VALUE!</v>
      </c>
      <c r="Q204" t="str">
        <f t="shared" si="43"/>
        <v>Jan-00</v>
      </c>
      <c r="R204" t="str">
        <f t="shared" si="44"/>
        <v>Q1</v>
      </c>
      <c r="S204">
        <f t="shared" si="45"/>
        <v>1900</v>
      </c>
      <c r="T204" t="str">
        <f t="shared" si="46"/>
        <v>Retail</v>
      </c>
    </row>
    <row r="205" spans="8:20" x14ac:dyDescent="0.3">
      <c r="H205">
        <f t="shared" si="47"/>
        <v>0</v>
      </c>
      <c r="I205">
        <f t="shared" si="36"/>
        <v>0</v>
      </c>
      <c r="J205">
        <f t="shared" si="37"/>
        <v>0</v>
      </c>
      <c r="K205" t="str">
        <f t="shared" si="38"/>
        <v>January</v>
      </c>
      <c r="L205" t="str">
        <f t="shared" si="39"/>
        <v>Q1</v>
      </c>
      <c r="M205" s="2">
        <f t="shared" si="40"/>
        <v>1900</v>
      </c>
      <c r="N205" t="str">
        <f ca="1">IF(COUNTIFS(A$2:A205,A205,O$2:O205,O205)&gt;1,"Repeat","New")</f>
        <v>New</v>
      </c>
      <c r="O205" s="2" t="e">
        <f t="shared" ca="1" si="41"/>
        <v>#VALUE!</v>
      </c>
      <c r="P205" s="3" t="e">
        <f t="shared" ca="1" si="42"/>
        <v>#VALUE!</v>
      </c>
      <c r="Q205" t="str">
        <f t="shared" si="43"/>
        <v>Jan-00</v>
      </c>
      <c r="R205" t="str">
        <f t="shared" si="44"/>
        <v>Q1</v>
      </c>
      <c r="S205">
        <f t="shared" si="45"/>
        <v>1900</v>
      </c>
      <c r="T205" t="str">
        <f t="shared" si="46"/>
        <v>Retail</v>
      </c>
    </row>
    <row r="206" spans="8:20" x14ac:dyDescent="0.3">
      <c r="H206">
        <f t="shared" si="47"/>
        <v>0</v>
      </c>
      <c r="I206">
        <f t="shared" si="36"/>
        <v>0</v>
      </c>
      <c r="J206">
        <f t="shared" si="37"/>
        <v>0</v>
      </c>
      <c r="K206" t="str">
        <f t="shared" si="38"/>
        <v>January</v>
      </c>
      <c r="L206" t="str">
        <f t="shared" si="39"/>
        <v>Q1</v>
      </c>
      <c r="M206" s="2">
        <f t="shared" si="40"/>
        <v>1900</v>
      </c>
      <c r="N206" t="str">
        <f ca="1">IF(COUNTIFS(A$2:A206,A206,O$2:O206,O206)&gt;1,"Repeat","New")</f>
        <v>New</v>
      </c>
      <c r="O206" s="2" t="e">
        <f t="shared" ca="1" si="41"/>
        <v>#VALUE!</v>
      </c>
      <c r="P206" s="3" t="e">
        <f t="shared" ca="1" si="42"/>
        <v>#VALUE!</v>
      </c>
      <c r="Q206" t="str">
        <f t="shared" si="43"/>
        <v>Jan-00</v>
      </c>
      <c r="R206" t="str">
        <f t="shared" si="44"/>
        <v>Q1</v>
      </c>
      <c r="S206">
        <f t="shared" si="45"/>
        <v>1900</v>
      </c>
      <c r="T206" t="str">
        <f t="shared" si="46"/>
        <v>Retail</v>
      </c>
    </row>
    <row r="207" spans="8:20" x14ac:dyDescent="0.3">
      <c r="H207">
        <f t="shared" si="47"/>
        <v>0</v>
      </c>
      <c r="I207">
        <f t="shared" si="36"/>
        <v>0</v>
      </c>
      <c r="J207">
        <f t="shared" si="37"/>
        <v>0</v>
      </c>
      <c r="K207" t="str">
        <f t="shared" si="38"/>
        <v>January</v>
      </c>
      <c r="L207" t="str">
        <f t="shared" si="39"/>
        <v>Q1</v>
      </c>
      <c r="M207" s="2">
        <f t="shared" si="40"/>
        <v>1900</v>
      </c>
      <c r="N207" t="str">
        <f ca="1">IF(COUNTIFS(A$2:A207,A207,O$2:O207,O207)&gt;1,"Repeat","New")</f>
        <v>New</v>
      </c>
      <c r="O207" s="2" t="e">
        <f t="shared" ca="1" si="41"/>
        <v>#VALUE!</v>
      </c>
      <c r="P207" s="3" t="e">
        <f t="shared" ca="1" si="42"/>
        <v>#VALUE!</v>
      </c>
      <c r="Q207" t="str">
        <f t="shared" si="43"/>
        <v>Jan-00</v>
      </c>
      <c r="R207" t="str">
        <f t="shared" si="44"/>
        <v>Q1</v>
      </c>
      <c r="S207">
        <f t="shared" si="45"/>
        <v>1900</v>
      </c>
      <c r="T207" t="str">
        <f t="shared" si="46"/>
        <v>Retail</v>
      </c>
    </row>
    <row r="208" spans="8:20" x14ac:dyDescent="0.3">
      <c r="H208">
        <f t="shared" si="47"/>
        <v>0</v>
      </c>
      <c r="I208">
        <f t="shared" si="36"/>
        <v>0</v>
      </c>
      <c r="J208">
        <f t="shared" si="37"/>
        <v>0</v>
      </c>
      <c r="K208" t="str">
        <f t="shared" si="38"/>
        <v>January</v>
      </c>
      <c r="L208" t="str">
        <f t="shared" si="39"/>
        <v>Q1</v>
      </c>
      <c r="M208" s="2">
        <f t="shared" si="40"/>
        <v>1900</v>
      </c>
      <c r="N208" t="str">
        <f ca="1">IF(COUNTIFS(A$2:A208,A208,O$2:O208,O208)&gt;1,"Repeat","New")</f>
        <v>New</v>
      </c>
      <c r="O208" s="2" t="e">
        <f t="shared" ca="1" si="41"/>
        <v>#VALUE!</v>
      </c>
      <c r="P208" s="3" t="e">
        <f t="shared" ca="1" si="42"/>
        <v>#VALUE!</v>
      </c>
      <c r="Q208" t="str">
        <f t="shared" si="43"/>
        <v>Jan-00</v>
      </c>
      <c r="R208" t="str">
        <f t="shared" si="44"/>
        <v>Q1</v>
      </c>
      <c r="S208">
        <f t="shared" si="45"/>
        <v>1900</v>
      </c>
      <c r="T208" t="str">
        <f t="shared" si="46"/>
        <v>Retail</v>
      </c>
    </row>
    <row r="209" spans="8:20" x14ac:dyDescent="0.3">
      <c r="H209">
        <f t="shared" si="47"/>
        <v>0</v>
      </c>
      <c r="I209">
        <f t="shared" si="36"/>
        <v>0</v>
      </c>
      <c r="J209">
        <f t="shared" si="37"/>
        <v>0</v>
      </c>
      <c r="K209" t="str">
        <f t="shared" si="38"/>
        <v>January</v>
      </c>
      <c r="L209" t="str">
        <f t="shared" si="39"/>
        <v>Q1</v>
      </c>
      <c r="M209" s="2">
        <f t="shared" si="40"/>
        <v>1900</v>
      </c>
      <c r="N209" t="str">
        <f ca="1">IF(COUNTIFS(A$2:A209,A209,O$2:O209,O209)&gt;1,"Repeat","New")</f>
        <v>New</v>
      </c>
      <c r="O209" s="2" t="e">
        <f t="shared" ca="1" si="41"/>
        <v>#VALUE!</v>
      </c>
      <c r="P209" s="3" t="e">
        <f t="shared" ca="1" si="42"/>
        <v>#VALUE!</v>
      </c>
      <c r="Q209" t="str">
        <f t="shared" si="43"/>
        <v>Jan-00</v>
      </c>
      <c r="R209" t="str">
        <f t="shared" si="44"/>
        <v>Q1</v>
      </c>
      <c r="S209">
        <f t="shared" si="45"/>
        <v>1900</v>
      </c>
      <c r="T209" t="str">
        <f t="shared" si="46"/>
        <v>Retail</v>
      </c>
    </row>
    <row r="210" spans="8:20" x14ac:dyDescent="0.3">
      <c r="H210">
        <f t="shared" si="47"/>
        <v>0</v>
      </c>
      <c r="I210">
        <f t="shared" si="36"/>
        <v>0</v>
      </c>
      <c r="J210">
        <f t="shared" si="37"/>
        <v>0</v>
      </c>
      <c r="K210" t="str">
        <f t="shared" si="38"/>
        <v>January</v>
      </c>
      <c r="L210" t="str">
        <f t="shared" si="39"/>
        <v>Q1</v>
      </c>
      <c r="M210" s="2">
        <f t="shared" si="40"/>
        <v>1900</v>
      </c>
      <c r="N210" t="str">
        <f ca="1">IF(COUNTIFS(A$2:A210,A210,O$2:O210,O210)&gt;1,"Repeat","New")</f>
        <v>New</v>
      </c>
      <c r="O210" s="2" t="e">
        <f t="shared" ca="1" si="41"/>
        <v>#VALUE!</v>
      </c>
      <c r="P210" s="3" t="e">
        <f t="shared" ca="1" si="42"/>
        <v>#VALUE!</v>
      </c>
      <c r="Q210" t="str">
        <f t="shared" si="43"/>
        <v>Jan-00</v>
      </c>
      <c r="R210" t="str">
        <f t="shared" si="44"/>
        <v>Q1</v>
      </c>
      <c r="S210">
        <f t="shared" si="45"/>
        <v>1900</v>
      </c>
      <c r="T210" t="str">
        <f t="shared" si="46"/>
        <v>Retail</v>
      </c>
    </row>
    <row r="211" spans="8:20" x14ac:dyDescent="0.3">
      <c r="H211">
        <f t="shared" si="47"/>
        <v>0</v>
      </c>
      <c r="I211">
        <f t="shared" si="36"/>
        <v>0</v>
      </c>
      <c r="J211">
        <f t="shared" si="37"/>
        <v>0</v>
      </c>
      <c r="K211" t="str">
        <f t="shared" si="38"/>
        <v>January</v>
      </c>
      <c r="L211" t="str">
        <f t="shared" si="39"/>
        <v>Q1</v>
      </c>
      <c r="M211" s="2">
        <f t="shared" si="40"/>
        <v>1900</v>
      </c>
      <c r="N211" t="str">
        <f ca="1">IF(COUNTIFS(A$2:A211,A211,O$2:O211,O211)&gt;1,"Repeat","New")</f>
        <v>New</v>
      </c>
      <c r="O211" s="2" t="e">
        <f t="shared" ca="1" si="41"/>
        <v>#VALUE!</v>
      </c>
      <c r="P211" s="3" t="e">
        <f t="shared" ca="1" si="42"/>
        <v>#VALUE!</v>
      </c>
      <c r="Q211" t="str">
        <f t="shared" si="43"/>
        <v>Jan-00</v>
      </c>
      <c r="R211" t="str">
        <f t="shared" si="44"/>
        <v>Q1</v>
      </c>
      <c r="S211">
        <f t="shared" si="45"/>
        <v>1900</v>
      </c>
      <c r="T211" t="str">
        <f t="shared" si="46"/>
        <v>Retail</v>
      </c>
    </row>
    <row r="212" spans="8:20" x14ac:dyDescent="0.3">
      <c r="H212">
        <f t="shared" si="47"/>
        <v>0</v>
      </c>
      <c r="I212">
        <f t="shared" si="36"/>
        <v>0</v>
      </c>
      <c r="J212">
        <f t="shared" si="37"/>
        <v>0</v>
      </c>
      <c r="K212" t="str">
        <f t="shared" si="38"/>
        <v>January</v>
      </c>
      <c r="L212" t="str">
        <f t="shared" si="39"/>
        <v>Q1</v>
      </c>
      <c r="M212" s="2">
        <f t="shared" si="40"/>
        <v>1900</v>
      </c>
      <c r="N212" t="str">
        <f ca="1">IF(COUNTIFS(A$2:A212,A212,O$2:O212,O212)&gt;1,"Repeat","New")</f>
        <v>New</v>
      </c>
      <c r="O212" s="2" t="e">
        <f t="shared" ca="1" si="41"/>
        <v>#VALUE!</v>
      </c>
      <c r="P212" s="3" t="e">
        <f t="shared" ca="1" si="42"/>
        <v>#VALUE!</v>
      </c>
      <c r="Q212" t="str">
        <f t="shared" si="43"/>
        <v>Jan-00</v>
      </c>
      <c r="R212" t="str">
        <f t="shared" si="44"/>
        <v>Q1</v>
      </c>
      <c r="S212">
        <f t="shared" si="45"/>
        <v>1900</v>
      </c>
      <c r="T212" t="str">
        <f t="shared" si="46"/>
        <v>Retail</v>
      </c>
    </row>
    <row r="213" spans="8:20" x14ac:dyDescent="0.3">
      <c r="H213">
        <f t="shared" si="47"/>
        <v>0</v>
      </c>
      <c r="I213">
        <f t="shared" si="36"/>
        <v>0</v>
      </c>
      <c r="J213">
        <f t="shared" si="37"/>
        <v>0</v>
      </c>
      <c r="K213" t="str">
        <f t="shared" si="38"/>
        <v>January</v>
      </c>
      <c r="L213" t="str">
        <f t="shared" si="39"/>
        <v>Q1</v>
      </c>
      <c r="M213" s="2">
        <f t="shared" si="40"/>
        <v>1900</v>
      </c>
      <c r="N213" t="str">
        <f ca="1">IF(COUNTIFS(A$2:A213,A213,O$2:O213,O213)&gt;1,"Repeat","New")</f>
        <v>New</v>
      </c>
      <c r="O213" s="2" t="e">
        <f t="shared" ca="1" si="41"/>
        <v>#VALUE!</v>
      </c>
      <c r="P213" s="3" t="e">
        <f t="shared" ca="1" si="42"/>
        <v>#VALUE!</v>
      </c>
      <c r="Q213" t="str">
        <f t="shared" si="43"/>
        <v>Jan-00</v>
      </c>
      <c r="R213" t="str">
        <f t="shared" si="44"/>
        <v>Q1</v>
      </c>
      <c r="S213">
        <f t="shared" si="45"/>
        <v>1900</v>
      </c>
      <c r="T213" t="str">
        <f t="shared" si="46"/>
        <v>Retail</v>
      </c>
    </row>
    <row r="214" spans="8:20" x14ac:dyDescent="0.3">
      <c r="H214">
        <f t="shared" si="47"/>
        <v>0</v>
      </c>
      <c r="I214">
        <f t="shared" si="36"/>
        <v>0</v>
      </c>
      <c r="J214">
        <f t="shared" si="37"/>
        <v>0</v>
      </c>
      <c r="K214" t="str">
        <f t="shared" si="38"/>
        <v>January</v>
      </c>
      <c r="L214" t="str">
        <f t="shared" si="39"/>
        <v>Q1</v>
      </c>
      <c r="M214" s="2">
        <f t="shared" si="40"/>
        <v>1900</v>
      </c>
      <c r="N214" t="str">
        <f ca="1">IF(COUNTIFS(A$2:A214,A214,O$2:O214,O214)&gt;1,"Repeat","New")</f>
        <v>New</v>
      </c>
      <c r="O214" s="2" t="e">
        <f t="shared" ca="1" si="41"/>
        <v>#VALUE!</v>
      </c>
      <c r="P214" s="3" t="e">
        <f t="shared" ca="1" si="42"/>
        <v>#VALUE!</v>
      </c>
      <c r="Q214" t="str">
        <f t="shared" si="43"/>
        <v>Jan-00</v>
      </c>
      <c r="R214" t="str">
        <f t="shared" si="44"/>
        <v>Q1</v>
      </c>
      <c r="S214">
        <f t="shared" si="45"/>
        <v>1900</v>
      </c>
      <c r="T214" t="str">
        <f t="shared" si="46"/>
        <v>Retail</v>
      </c>
    </row>
    <row r="215" spans="8:20" x14ac:dyDescent="0.3">
      <c r="H215">
        <f t="shared" si="47"/>
        <v>0</v>
      </c>
      <c r="I215">
        <f t="shared" si="36"/>
        <v>0</v>
      </c>
      <c r="J215">
        <f t="shared" si="37"/>
        <v>0</v>
      </c>
      <c r="K215" t="str">
        <f t="shared" si="38"/>
        <v>January</v>
      </c>
      <c r="L215" t="str">
        <f t="shared" si="39"/>
        <v>Q1</v>
      </c>
      <c r="M215" s="2">
        <f t="shared" si="40"/>
        <v>1900</v>
      </c>
      <c r="N215" t="str">
        <f ca="1">IF(COUNTIFS(A$2:A215,A215,O$2:O215,O215)&gt;1,"Repeat","New")</f>
        <v>New</v>
      </c>
      <c r="O215" s="2" t="e">
        <f t="shared" ca="1" si="41"/>
        <v>#VALUE!</v>
      </c>
      <c r="P215" s="3" t="e">
        <f t="shared" ca="1" si="42"/>
        <v>#VALUE!</v>
      </c>
      <c r="Q215" t="str">
        <f t="shared" si="43"/>
        <v>Jan-00</v>
      </c>
      <c r="R215" t="str">
        <f t="shared" si="44"/>
        <v>Q1</v>
      </c>
      <c r="S215">
        <f t="shared" si="45"/>
        <v>1900</v>
      </c>
      <c r="T215" t="str">
        <f t="shared" si="46"/>
        <v>Retail</v>
      </c>
    </row>
    <row r="216" spans="8:20" x14ac:dyDescent="0.3">
      <c r="H216">
        <f t="shared" si="47"/>
        <v>0</v>
      </c>
      <c r="I216">
        <f t="shared" si="36"/>
        <v>0</v>
      </c>
      <c r="J216">
        <f t="shared" si="37"/>
        <v>0</v>
      </c>
      <c r="K216" t="str">
        <f t="shared" si="38"/>
        <v>January</v>
      </c>
      <c r="L216" t="str">
        <f t="shared" si="39"/>
        <v>Q1</v>
      </c>
      <c r="M216" s="2">
        <f t="shared" si="40"/>
        <v>1900</v>
      </c>
      <c r="N216" t="str">
        <f ca="1">IF(COUNTIFS(A$2:A216,A216,O$2:O216,O216)&gt;1,"Repeat","New")</f>
        <v>New</v>
      </c>
      <c r="O216" s="2" t="e">
        <f t="shared" ca="1" si="41"/>
        <v>#VALUE!</v>
      </c>
      <c r="P216" s="3" t="e">
        <f t="shared" ca="1" si="42"/>
        <v>#VALUE!</v>
      </c>
      <c r="Q216" t="str">
        <f t="shared" si="43"/>
        <v>Jan-00</v>
      </c>
      <c r="R216" t="str">
        <f t="shared" si="44"/>
        <v>Q1</v>
      </c>
      <c r="S216">
        <f t="shared" si="45"/>
        <v>1900</v>
      </c>
      <c r="T216" t="str">
        <f t="shared" si="46"/>
        <v>Retail</v>
      </c>
    </row>
    <row r="217" spans="8:20" x14ac:dyDescent="0.3">
      <c r="H217">
        <f t="shared" si="47"/>
        <v>0</v>
      </c>
      <c r="I217">
        <f t="shared" si="36"/>
        <v>0</v>
      </c>
      <c r="J217">
        <f t="shared" si="37"/>
        <v>0</v>
      </c>
      <c r="K217" t="str">
        <f t="shared" si="38"/>
        <v>January</v>
      </c>
      <c r="L217" t="str">
        <f t="shared" si="39"/>
        <v>Q1</v>
      </c>
      <c r="M217" s="2">
        <f t="shared" si="40"/>
        <v>1900</v>
      </c>
      <c r="N217" t="str">
        <f ca="1">IF(COUNTIFS(A$2:A217,A217,O$2:O217,O217)&gt;1,"Repeat","New")</f>
        <v>New</v>
      </c>
      <c r="O217" s="2" t="e">
        <f t="shared" ca="1" si="41"/>
        <v>#VALUE!</v>
      </c>
      <c r="P217" s="3" t="e">
        <f t="shared" ca="1" si="42"/>
        <v>#VALUE!</v>
      </c>
      <c r="Q217" t="str">
        <f t="shared" si="43"/>
        <v>Jan-00</v>
      </c>
      <c r="R217" t="str">
        <f t="shared" si="44"/>
        <v>Q1</v>
      </c>
      <c r="S217">
        <f t="shared" si="45"/>
        <v>1900</v>
      </c>
      <c r="T217" t="str">
        <f t="shared" si="46"/>
        <v>Retail</v>
      </c>
    </row>
    <row r="218" spans="8:20" x14ac:dyDescent="0.3">
      <c r="H218">
        <f t="shared" si="47"/>
        <v>0</v>
      </c>
      <c r="I218">
        <f t="shared" si="36"/>
        <v>0</v>
      </c>
      <c r="J218">
        <f t="shared" si="37"/>
        <v>0</v>
      </c>
      <c r="K218" t="str">
        <f t="shared" si="38"/>
        <v>January</v>
      </c>
      <c r="L218" t="str">
        <f t="shared" si="39"/>
        <v>Q1</v>
      </c>
      <c r="M218" s="2">
        <f t="shared" si="40"/>
        <v>1900</v>
      </c>
      <c r="N218" t="str">
        <f ca="1">IF(COUNTIFS(A$2:A218,A218,O$2:O218,O218)&gt;1,"Repeat","New")</f>
        <v>New</v>
      </c>
      <c r="O218" s="2" t="e">
        <f t="shared" ca="1" si="41"/>
        <v>#VALUE!</v>
      </c>
      <c r="P218" s="3" t="e">
        <f t="shared" ca="1" si="42"/>
        <v>#VALUE!</v>
      </c>
      <c r="Q218" t="str">
        <f t="shared" si="43"/>
        <v>Jan-00</v>
      </c>
      <c r="R218" t="str">
        <f t="shared" si="44"/>
        <v>Q1</v>
      </c>
      <c r="S218">
        <f t="shared" si="45"/>
        <v>1900</v>
      </c>
      <c r="T218" t="str">
        <f t="shared" si="46"/>
        <v>Retail</v>
      </c>
    </row>
    <row r="219" spans="8:20" x14ac:dyDescent="0.3">
      <c r="H219">
        <f t="shared" si="47"/>
        <v>0</v>
      </c>
      <c r="I219">
        <f t="shared" si="36"/>
        <v>0</v>
      </c>
      <c r="J219">
        <f t="shared" si="37"/>
        <v>0</v>
      </c>
      <c r="K219" t="str">
        <f t="shared" si="38"/>
        <v>January</v>
      </c>
      <c r="L219" t="str">
        <f t="shared" si="39"/>
        <v>Q1</v>
      </c>
      <c r="M219" s="2">
        <f t="shared" si="40"/>
        <v>1900</v>
      </c>
      <c r="N219" t="str">
        <f ca="1">IF(COUNTIFS(A$2:A219,A219,O$2:O219,O219)&gt;1,"Repeat","New")</f>
        <v>New</v>
      </c>
      <c r="O219" s="2" t="e">
        <f t="shared" ca="1" si="41"/>
        <v>#VALUE!</v>
      </c>
      <c r="P219" s="3" t="e">
        <f t="shared" ca="1" si="42"/>
        <v>#VALUE!</v>
      </c>
      <c r="Q219" t="str">
        <f t="shared" si="43"/>
        <v>Jan-00</v>
      </c>
      <c r="R219" t="str">
        <f t="shared" si="44"/>
        <v>Q1</v>
      </c>
      <c r="S219">
        <f t="shared" si="45"/>
        <v>1900</v>
      </c>
      <c r="T219" t="str">
        <f t="shared" si="46"/>
        <v>Retail</v>
      </c>
    </row>
    <row r="220" spans="8:20" x14ac:dyDescent="0.3">
      <c r="H220">
        <f t="shared" si="47"/>
        <v>0</v>
      </c>
      <c r="I220">
        <f t="shared" si="36"/>
        <v>0</v>
      </c>
      <c r="J220">
        <f t="shared" si="37"/>
        <v>0</v>
      </c>
      <c r="K220" t="str">
        <f t="shared" si="38"/>
        <v>January</v>
      </c>
      <c r="L220" t="str">
        <f t="shared" si="39"/>
        <v>Q1</v>
      </c>
      <c r="M220" s="2">
        <f t="shared" si="40"/>
        <v>1900</v>
      </c>
      <c r="N220" t="str">
        <f ca="1">IF(COUNTIFS(A$2:A220,A220,O$2:O220,O220)&gt;1,"Repeat","New")</f>
        <v>New</v>
      </c>
      <c r="O220" s="2" t="e">
        <f t="shared" ca="1" si="41"/>
        <v>#VALUE!</v>
      </c>
      <c r="P220" s="3" t="e">
        <f t="shared" ca="1" si="42"/>
        <v>#VALUE!</v>
      </c>
      <c r="Q220" t="str">
        <f t="shared" si="43"/>
        <v>Jan-00</v>
      </c>
      <c r="R220" t="str">
        <f t="shared" si="44"/>
        <v>Q1</v>
      </c>
      <c r="S220">
        <f t="shared" si="45"/>
        <v>1900</v>
      </c>
      <c r="T220" t="str">
        <f t="shared" si="46"/>
        <v>Retail</v>
      </c>
    </row>
    <row r="221" spans="8:20" x14ac:dyDescent="0.3">
      <c r="H221">
        <f t="shared" si="47"/>
        <v>0</v>
      </c>
      <c r="I221">
        <f t="shared" si="36"/>
        <v>0</v>
      </c>
      <c r="J221">
        <f t="shared" si="37"/>
        <v>0</v>
      </c>
      <c r="K221" t="str">
        <f t="shared" si="38"/>
        <v>January</v>
      </c>
      <c r="L221" t="str">
        <f t="shared" si="39"/>
        <v>Q1</v>
      </c>
      <c r="M221" s="2">
        <f t="shared" si="40"/>
        <v>1900</v>
      </c>
      <c r="N221" t="str">
        <f ca="1">IF(COUNTIFS(A$2:A221,A221,O$2:O221,O221)&gt;1,"Repeat","New")</f>
        <v>New</v>
      </c>
      <c r="O221" s="2" t="e">
        <f t="shared" ca="1" si="41"/>
        <v>#VALUE!</v>
      </c>
      <c r="P221" s="3" t="e">
        <f t="shared" ca="1" si="42"/>
        <v>#VALUE!</v>
      </c>
      <c r="Q221" t="str">
        <f t="shared" si="43"/>
        <v>Jan-00</v>
      </c>
      <c r="R221" t="str">
        <f t="shared" si="44"/>
        <v>Q1</v>
      </c>
      <c r="S221">
        <f t="shared" si="45"/>
        <v>1900</v>
      </c>
      <c r="T221" t="str">
        <f t="shared" si="46"/>
        <v>Retail</v>
      </c>
    </row>
    <row r="222" spans="8:20" x14ac:dyDescent="0.3">
      <c r="H222">
        <f t="shared" si="47"/>
        <v>0</v>
      </c>
      <c r="I222">
        <f t="shared" si="36"/>
        <v>0</v>
      </c>
      <c r="J222">
        <f t="shared" si="37"/>
        <v>0</v>
      </c>
      <c r="K222" t="str">
        <f t="shared" si="38"/>
        <v>January</v>
      </c>
      <c r="L222" t="str">
        <f t="shared" si="39"/>
        <v>Q1</v>
      </c>
      <c r="M222" s="2">
        <f t="shared" si="40"/>
        <v>1900</v>
      </c>
      <c r="N222" t="str">
        <f ca="1">IF(COUNTIFS(A$2:A222,A222,O$2:O222,O222)&gt;1,"Repeat","New")</f>
        <v>New</v>
      </c>
      <c r="O222" s="2" t="e">
        <f t="shared" ca="1" si="41"/>
        <v>#VALUE!</v>
      </c>
      <c r="P222" s="3" t="e">
        <f t="shared" ca="1" si="42"/>
        <v>#VALUE!</v>
      </c>
      <c r="Q222" t="str">
        <f t="shared" si="43"/>
        <v>Jan-00</v>
      </c>
      <c r="R222" t="str">
        <f t="shared" si="44"/>
        <v>Q1</v>
      </c>
      <c r="S222">
        <f t="shared" si="45"/>
        <v>1900</v>
      </c>
      <c r="T222" t="str">
        <f t="shared" si="46"/>
        <v>Retail</v>
      </c>
    </row>
    <row r="223" spans="8:20" x14ac:dyDescent="0.3">
      <c r="H223">
        <f t="shared" si="47"/>
        <v>0</v>
      </c>
      <c r="I223">
        <f t="shared" si="36"/>
        <v>0</v>
      </c>
      <c r="J223">
        <f t="shared" si="37"/>
        <v>0</v>
      </c>
      <c r="K223" t="str">
        <f t="shared" si="38"/>
        <v>January</v>
      </c>
      <c r="L223" t="str">
        <f t="shared" si="39"/>
        <v>Q1</v>
      </c>
      <c r="M223" s="2">
        <f t="shared" si="40"/>
        <v>1900</v>
      </c>
      <c r="N223" t="str">
        <f ca="1">IF(COUNTIFS(A$2:A223,A223,O$2:O223,O223)&gt;1,"Repeat","New")</f>
        <v>New</v>
      </c>
      <c r="O223" s="2" t="e">
        <f t="shared" ca="1" si="41"/>
        <v>#VALUE!</v>
      </c>
      <c r="P223" s="3" t="e">
        <f t="shared" ca="1" si="42"/>
        <v>#VALUE!</v>
      </c>
      <c r="Q223" t="str">
        <f t="shared" si="43"/>
        <v>Jan-00</v>
      </c>
      <c r="R223" t="str">
        <f t="shared" si="44"/>
        <v>Q1</v>
      </c>
      <c r="S223">
        <f t="shared" si="45"/>
        <v>1900</v>
      </c>
      <c r="T223" t="str">
        <f t="shared" si="46"/>
        <v>Retail</v>
      </c>
    </row>
    <row r="224" spans="8:20" x14ac:dyDescent="0.3">
      <c r="H224">
        <f t="shared" si="47"/>
        <v>0</v>
      </c>
      <c r="I224">
        <f t="shared" si="36"/>
        <v>0</v>
      </c>
      <c r="J224">
        <f t="shared" si="37"/>
        <v>0</v>
      </c>
      <c r="K224" t="str">
        <f t="shared" si="38"/>
        <v>January</v>
      </c>
      <c r="L224" t="str">
        <f t="shared" si="39"/>
        <v>Q1</v>
      </c>
      <c r="M224" s="2">
        <f t="shared" si="40"/>
        <v>1900</v>
      </c>
      <c r="N224" t="str">
        <f ca="1">IF(COUNTIFS(A$2:A224,A224,O$2:O224,O224)&gt;1,"Repeat","New")</f>
        <v>New</v>
      </c>
      <c r="O224" s="2" t="e">
        <f t="shared" ca="1" si="41"/>
        <v>#VALUE!</v>
      </c>
      <c r="P224" s="3" t="e">
        <f t="shared" ca="1" si="42"/>
        <v>#VALUE!</v>
      </c>
      <c r="Q224" t="str">
        <f t="shared" si="43"/>
        <v>Jan-00</v>
      </c>
      <c r="R224" t="str">
        <f t="shared" si="44"/>
        <v>Q1</v>
      </c>
      <c r="S224">
        <f t="shared" si="45"/>
        <v>1900</v>
      </c>
      <c r="T224" t="str">
        <f t="shared" si="46"/>
        <v>Retail</v>
      </c>
    </row>
    <row r="225" spans="8:20" x14ac:dyDescent="0.3">
      <c r="H225">
        <f t="shared" si="47"/>
        <v>0</v>
      </c>
      <c r="I225">
        <f t="shared" si="36"/>
        <v>0</v>
      </c>
      <c r="J225">
        <f t="shared" si="37"/>
        <v>0</v>
      </c>
      <c r="K225" t="str">
        <f t="shared" si="38"/>
        <v>January</v>
      </c>
      <c r="L225" t="str">
        <f t="shared" si="39"/>
        <v>Q1</v>
      </c>
      <c r="M225" s="2">
        <f t="shared" si="40"/>
        <v>1900</v>
      </c>
      <c r="N225" t="str">
        <f ca="1">IF(COUNTIFS(A$2:A225,A225,O$2:O225,O225)&gt;1,"Repeat","New")</f>
        <v>New</v>
      </c>
      <c r="O225" s="2" t="e">
        <f t="shared" ca="1" si="41"/>
        <v>#VALUE!</v>
      </c>
      <c r="P225" s="3" t="e">
        <f t="shared" ca="1" si="42"/>
        <v>#VALUE!</v>
      </c>
      <c r="Q225" t="str">
        <f t="shared" si="43"/>
        <v>Jan-00</v>
      </c>
      <c r="R225" t="str">
        <f t="shared" si="44"/>
        <v>Q1</v>
      </c>
      <c r="S225">
        <f t="shared" si="45"/>
        <v>1900</v>
      </c>
      <c r="T225" t="str">
        <f t="shared" si="46"/>
        <v>Retail</v>
      </c>
    </row>
    <row r="226" spans="8:20" x14ac:dyDescent="0.3">
      <c r="H226">
        <f t="shared" si="47"/>
        <v>0</v>
      </c>
      <c r="I226">
        <f t="shared" si="36"/>
        <v>0</v>
      </c>
      <c r="J226">
        <f t="shared" si="37"/>
        <v>0</v>
      </c>
      <c r="K226" t="str">
        <f t="shared" si="38"/>
        <v>January</v>
      </c>
      <c r="L226" t="str">
        <f t="shared" si="39"/>
        <v>Q1</v>
      </c>
      <c r="M226" s="2">
        <f t="shared" si="40"/>
        <v>1900</v>
      </c>
      <c r="N226" t="str">
        <f ca="1">IF(COUNTIFS(A$2:A226,A226,O$2:O226,O226)&gt;1,"Repeat","New")</f>
        <v>New</v>
      </c>
      <c r="O226" s="2" t="e">
        <f t="shared" ca="1" si="41"/>
        <v>#VALUE!</v>
      </c>
      <c r="P226" s="3" t="e">
        <f t="shared" ca="1" si="42"/>
        <v>#VALUE!</v>
      </c>
      <c r="Q226" t="str">
        <f t="shared" si="43"/>
        <v>Jan-00</v>
      </c>
      <c r="R226" t="str">
        <f t="shared" si="44"/>
        <v>Q1</v>
      </c>
      <c r="S226">
        <f t="shared" si="45"/>
        <v>1900</v>
      </c>
      <c r="T226" t="str">
        <f t="shared" si="46"/>
        <v>Retail</v>
      </c>
    </row>
    <row r="227" spans="8:20" x14ac:dyDescent="0.3">
      <c r="H227">
        <f t="shared" si="47"/>
        <v>0</v>
      </c>
      <c r="I227">
        <f t="shared" si="36"/>
        <v>0</v>
      </c>
      <c r="J227">
        <f t="shared" si="37"/>
        <v>0</v>
      </c>
      <c r="K227" t="str">
        <f t="shared" si="38"/>
        <v>January</v>
      </c>
      <c r="L227" t="str">
        <f t="shared" si="39"/>
        <v>Q1</v>
      </c>
      <c r="M227" s="2">
        <f t="shared" si="40"/>
        <v>1900</v>
      </c>
      <c r="N227" t="str">
        <f ca="1">IF(COUNTIFS(A$2:A227,A227,O$2:O227,O227)&gt;1,"Repeat","New")</f>
        <v>New</v>
      </c>
      <c r="O227" s="2" t="e">
        <f t="shared" ca="1" si="41"/>
        <v>#VALUE!</v>
      </c>
      <c r="P227" s="3" t="e">
        <f t="shared" ca="1" si="42"/>
        <v>#VALUE!</v>
      </c>
      <c r="Q227" t="str">
        <f t="shared" si="43"/>
        <v>Jan-00</v>
      </c>
      <c r="R227" t="str">
        <f t="shared" si="44"/>
        <v>Q1</v>
      </c>
      <c r="S227">
        <f t="shared" si="45"/>
        <v>1900</v>
      </c>
      <c r="T227" t="str">
        <f t="shared" si="46"/>
        <v>Retail</v>
      </c>
    </row>
    <row r="228" spans="8:20" x14ac:dyDescent="0.3">
      <c r="H228">
        <f t="shared" si="47"/>
        <v>0</v>
      </c>
      <c r="I228">
        <f t="shared" si="36"/>
        <v>0</v>
      </c>
      <c r="J228">
        <f t="shared" si="37"/>
        <v>0</v>
      </c>
      <c r="K228" t="str">
        <f t="shared" si="38"/>
        <v>January</v>
      </c>
      <c r="L228" t="str">
        <f t="shared" si="39"/>
        <v>Q1</v>
      </c>
      <c r="M228" s="2">
        <f t="shared" si="40"/>
        <v>1900</v>
      </c>
      <c r="N228" t="str">
        <f ca="1">IF(COUNTIFS(A$2:A228,A228,O$2:O228,O228)&gt;1,"Repeat","New")</f>
        <v>New</v>
      </c>
      <c r="O228" s="2" t="e">
        <f t="shared" ca="1" si="41"/>
        <v>#VALUE!</v>
      </c>
      <c r="P228" s="3" t="e">
        <f t="shared" ca="1" si="42"/>
        <v>#VALUE!</v>
      </c>
      <c r="Q228" t="str">
        <f t="shared" si="43"/>
        <v>Jan-00</v>
      </c>
      <c r="R228" t="str">
        <f t="shared" si="44"/>
        <v>Q1</v>
      </c>
      <c r="S228">
        <f t="shared" si="45"/>
        <v>1900</v>
      </c>
      <c r="T228" t="str">
        <f t="shared" si="46"/>
        <v>Retail</v>
      </c>
    </row>
    <row r="229" spans="8:20" x14ac:dyDescent="0.3">
      <c r="H229">
        <f t="shared" si="47"/>
        <v>0</v>
      </c>
      <c r="I229">
        <f t="shared" si="36"/>
        <v>0</v>
      </c>
      <c r="J229">
        <f t="shared" si="37"/>
        <v>0</v>
      </c>
      <c r="K229" t="str">
        <f t="shared" si="38"/>
        <v>January</v>
      </c>
      <c r="L229" t="str">
        <f t="shared" si="39"/>
        <v>Q1</v>
      </c>
      <c r="M229" s="2">
        <f t="shared" si="40"/>
        <v>1900</v>
      </c>
      <c r="N229" t="str">
        <f ca="1">IF(COUNTIFS(A$2:A229,A229,O$2:O229,O229)&gt;1,"Repeat","New")</f>
        <v>New</v>
      </c>
      <c r="O229" s="2" t="e">
        <f t="shared" ca="1" si="41"/>
        <v>#VALUE!</v>
      </c>
      <c r="P229" s="3" t="e">
        <f t="shared" ca="1" si="42"/>
        <v>#VALUE!</v>
      </c>
      <c r="Q229" t="str">
        <f t="shared" si="43"/>
        <v>Jan-00</v>
      </c>
      <c r="R229" t="str">
        <f t="shared" si="44"/>
        <v>Q1</v>
      </c>
      <c r="S229">
        <f t="shared" si="45"/>
        <v>1900</v>
      </c>
      <c r="T229" t="str">
        <f t="shared" si="46"/>
        <v>Retail</v>
      </c>
    </row>
    <row r="230" spans="8:20" x14ac:dyDescent="0.3">
      <c r="H230">
        <f t="shared" si="47"/>
        <v>0</v>
      </c>
      <c r="I230">
        <f t="shared" si="36"/>
        <v>0</v>
      </c>
      <c r="J230">
        <f t="shared" si="37"/>
        <v>0</v>
      </c>
      <c r="K230" t="str">
        <f t="shared" si="38"/>
        <v>January</v>
      </c>
      <c r="L230" t="str">
        <f t="shared" si="39"/>
        <v>Q1</v>
      </c>
      <c r="M230" s="2">
        <f t="shared" si="40"/>
        <v>1900</v>
      </c>
      <c r="N230" t="str">
        <f ca="1">IF(COUNTIFS(A$2:A230,A230,O$2:O230,O230)&gt;1,"Repeat","New")</f>
        <v>New</v>
      </c>
      <c r="O230" s="2" t="e">
        <f t="shared" ca="1" si="41"/>
        <v>#VALUE!</v>
      </c>
      <c r="P230" s="3" t="e">
        <f t="shared" ca="1" si="42"/>
        <v>#VALUE!</v>
      </c>
      <c r="Q230" t="str">
        <f t="shared" si="43"/>
        <v>Jan-00</v>
      </c>
      <c r="R230" t="str">
        <f t="shared" si="44"/>
        <v>Q1</v>
      </c>
      <c r="S230">
        <f t="shared" si="45"/>
        <v>1900</v>
      </c>
      <c r="T230" t="str">
        <f t="shared" si="46"/>
        <v>Retail</v>
      </c>
    </row>
    <row r="231" spans="8:20" x14ac:dyDescent="0.3">
      <c r="H231">
        <f t="shared" si="47"/>
        <v>0</v>
      </c>
      <c r="I231">
        <f t="shared" si="36"/>
        <v>0</v>
      </c>
      <c r="J231">
        <f t="shared" si="37"/>
        <v>0</v>
      </c>
      <c r="K231" t="str">
        <f t="shared" si="38"/>
        <v>January</v>
      </c>
      <c r="L231" t="str">
        <f t="shared" si="39"/>
        <v>Q1</v>
      </c>
      <c r="M231" s="2">
        <f t="shared" si="40"/>
        <v>1900</v>
      </c>
      <c r="N231" t="str">
        <f ca="1">IF(COUNTIFS(A$2:A231,A231,O$2:O231,O231)&gt;1,"Repeat","New")</f>
        <v>New</v>
      </c>
      <c r="O231" s="2" t="e">
        <f t="shared" ca="1" si="41"/>
        <v>#VALUE!</v>
      </c>
      <c r="P231" s="3" t="e">
        <f t="shared" ca="1" si="42"/>
        <v>#VALUE!</v>
      </c>
      <c r="Q231" t="str">
        <f t="shared" si="43"/>
        <v>Jan-00</v>
      </c>
      <c r="R231" t="str">
        <f t="shared" si="44"/>
        <v>Q1</v>
      </c>
      <c r="S231">
        <f t="shared" si="45"/>
        <v>1900</v>
      </c>
      <c r="T231" t="str">
        <f t="shared" si="46"/>
        <v>Retail</v>
      </c>
    </row>
    <row r="232" spans="8:20" x14ac:dyDescent="0.3">
      <c r="H232">
        <f t="shared" si="47"/>
        <v>0</v>
      </c>
      <c r="I232">
        <f t="shared" si="36"/>
        <v>0</v>
      </c>
      <c r="J232">
        <f t="shared" si="37"/>
        <v>0</v>
      </c>
      <c r="K232" t="str">
        <f t="shared" si="38"/>
        <v>January</v>
      </c>
      <c r="L232" t="str">
        <f t="shared" si="39"/>
        <v>Q1</v>
      </c>
      <c r="M232" s="2">
        <f t="shared" si="40"/>
        <v>1900</v>
      </c>
      <c r="N232" t="str">
        <f ca="1">IF(COUNTIFS(A$2:A232,A232,O$2:O232,O232)&gt;1,"Repeat","New")</f>
        <v>New</v>
      </c>
      <c r="O232" s="2" t="e">
        <f t="shared" ca="1" si="41"/>
        <v>#VALUE!</v>
      </c>
      <c r="P232" s="3" t="e">
        <f t="shared" ca="1" si="42"/>
        <v>#VALUE!</v>
      </c>
      <c r="Q232" t="str">
        <f t="shared" si="43"/>
        <v>Jan-00</v>
      </c>
      <c r="R232" t="str">
        <f t="shared" si="44"/>
        <v>Q1</v>
      </c>
      <c r="S232">
        <f t="shared" si="45"/>
        <v>1900</v>
      </c>
      <c r="T232" t="str">
        <f t="shared" si="46"/>
        <v>Retail</v>
      </c>
    </row>
    <row r="233" spans="8:20" x14ac:dyDescent="0.3">
      <c r="H233">
        <f t="shared" si="47"/>
        <v>0</v>
      </c>
      <c r="I233">
        <f t="shared" si="36"/>
        <v>0</v>
      </c>
      <c r="J233">
        <f t="shared" si="37"/>
        <v>0</v>
      </c>
      <c r="K233" t="str">
        <f t="shared" si="38"/>
        <v>January</v>
      </c>
      <c r="L233" t="str">
        <f t="shared" si="39"/>
        <v>Q1</v>
      </c>
      <c r="M233" s="2">
        <f t="shared" si="40"/>
        <v>1900</v>
      </c>
      <c r="N233" t="str">
        <f ca="1">IF(COUNTIFS(A$2:A233,A233,O$2:O233,O233)&gt;1,"Repeat","New")</f>
        <v>New</v>
      </c>
      <c r="O233" s="2" t="e">
        <f t="shared" ca="1" si="41"/>
        <v>#VALUE!</v>
      </c>
      <c r="P233" s="3" t="e">
        <f t="shared" ca="1" si="42"/>
        <v>#VALUE!</v>
      </c>
      <c r="Q233" t="str">
        <f t="shared" si="43"/>
        <v>Jan-00</v>
      </c>
      <c r="R233" t="str">
        <f t="shared" si="44"/>
        <v>Q1</v>
      </c>
      <c r="S233">
        <f t="shared" si="45"/>
        <v>1900</v>
      </c>
      <c r="T233" t="str">
        <f t="shared" si="46"/>
        <v>Retail</v>
      </c>
    </row>
    <row r="234" spans="8:20" x14ac:dyDescent="0.3">
      <c r="H234">
        <f t="shared" si="47"/>
        <v>0</v>
      </c>
      <c r="I234">
        <f t="shared" si="36"/>
        <v>0</v>
      </c>
      <c r="J234">
        <f t="shared" si="37"/>
        <v>0</v>
      </c>
      <c r="K234" t="str">
        <f t="shared" si="38"/>
        <v>January</v>
      </c>
      <c r="L234" t="str">
        <f t="shared" si="39"/>
        <v>Q1</v>
      </c>
      <c r="M234" s="2">
        <f t="shared" si="40"/>
        <v>1900</v>
      </c>
      <c r="N234" t="str">
        <f ca="1">IF(COUNTIFS(A$2:A234,A234,O$2:O234,O234)&gt;1,"Repeat","New")</f>
        <v>New</v>
      </c>
      <c r="O234" s="2" t="e">
        <f t="shared" ca="1" si="41"/>
        <v>#VALUE!</v>
      </c>
      <c r="P234" s="3" t="e">
        <f t="shared" ca="1" si="42"/>
        <v>#VALUE!</v>
      </c>
      <c r="Q234" t="str">
        <f t="shared" si="43"/>
        <v>Jan-00</v>
      </c>
      <c r="R234" t="str">
        <f t="shared" si="44"/>
        <v>Q1</v>
      </c>
      <c r="S234">
        <f t="shared" si="45"/>
        <v>1900</v>
      </c>
      <c r="T234" t="str">
        <f t="shared" si="46"/>
        <v>Retail</v>
      </c>
    </row>
    <row r="235" spans="8:20" x14ac:dyDescent="0.3">
      <c r="H235">
        <f t="shared" si="47"/>
        <v>0</v>
      </c>
      <c r="I235">
        <f t="shared" si="36"/>
        <v>0</v>
      </c>
      <c r="J235">
        <f t="shared" si="37"/>
        <v>0</v>
      </c>
      <c r="K235" t="str">
        <f t="shared" si="38"/>
        <v>January</v>
      </c>
      <c r="L235" t="str">
        <f t="shared" si="39"/>
        <v>Q1</v>
      </c>
      <c r="M235" s="2">
        <f t="shared" si="40"/>
        <v>1900</v>
      </c>
      <c r="N235" t="str">
        <f ca="1">IF(COUNTIFS(A$2:A235,A235,O$2:O235,O235)&gt;1,"Repeat","New")</f>
        <v>New</v>
      </c>
      <c r="O235" s="2" t="e">
        <f t="shared" ca="1" si="41"/>
        <v>#VALUE!</v>
      </c>
      <c r="P235" s="3" t="e">
        <f t="shared" ca="1" si="42"/>
        <v>#VALUE!</v>
      </c>
      <c r="Q235" t="str">
        <f t="shared" si="43"/>
        <v>Jan-00</v>
      </c>
      <c r="R235" t="str">
        <f t="shared" si="44"/>
        <v>Q1</v>
      </c>
      <c r="S235">
        <f t="shared" si="45"/>
        <v>1900</v>
      </c>
      <c r="T235" t="str">
        <f t="shared" si="46"/>
        <v>Retail</v>
      </c>
    </row>
    <row r="236" spans="8:20" x14ac:dyDescent="0.3">
      <c r="H236">
        <f t="shared" si="47"/>
        <v>0</v>
      </c>
      <c r="I236">
        <f t="shared" si="36"/>
        <v>0</v>
      </c>
      <c r="J236">
        <f t="shared" si="37"/>
        <v>0</v>
      </c>
      <c r="K236" t="str">
        <f t="shared" si="38"/>
        <v>January</v>
      </c>
      <c r="L236" t="str">
        <f t="shared" si="39"/>
        <v>Q1</v>
      </c>
      <c r="M236" s="2">
        <f t="shared" si="40"/>
        <v>1900</v>
      </c>
      <c r="N236" t="str">
        <f ca="1">IF(COUNTIFS(A$2:A236,A236,O$2:O236,O236)&gt;1,"Repeat","New")</f>
        <v>New</v>
      </c>
      <c r="O236" s="2" t="e">
        <f t="shared" ca="1" si="41"/>
        <v>#VALUE!</v>
      </c>
      <c r="P236" s="3" t="e">
        <f t="shared" ca="1" si="42"/>
        <v>#VALUE!</v>
      </c>
      <c r="Q236" t="str">
        <f t="shared" si="43"/>
        <v>Jan-00</v>
      </c>
      <c r="R236" t="str">
        <f t="shared" si="44"/>
        <v>Q1</v>
      </c>
      <c r="S236">
        <f t="shared" si="45"/>
        <v>1900</v>
      </c>
      <c r="T236" t="str">
        <f t="shared" si="46"/>
        <v>Retail</v>
      </c>
    </row>
    <row r="237" spans="8:20" x14ac:dyDescent="0.3">
      <c r="H237">
        <f t="shared" si="47"/>
        <v>0</v>
      </c>
      <c r="I237">
        <f t="shared" si="36"/>
        <v>0</v>
      </c>
      <c r="J237">
        <f t="shared" si="37"/>
        <v>0</v>
      </c>
      <c r="K237" t="str">
        <f t="shared" si="38"/>
        <v>January</v>
      </c>
      <c r="L237" t="str">
        <f t="shared" si="39"/>
        <v>Q1</v>
      </c>
      <c r="M237" s="2">
        <f t="shared" si="40"/>
        <v>1900</v>
      </c>
      <c r="N237" t="str">
        <f ca="1">IF(COUNTIFS(A$2:A237,A237,O$2:O237,O237)&gt;1,"Repeat","New")</f>
        <v>New</v>
      </c>
      <c r="O237" s="2" t="e">
        <f t="shared" ca="1" si="41"/>
        <v>#VALUE!</v>
      </c>
      <c r="P237" s="3" t="e">
        <f t="shared" ca="1" si="42"/>
        <v>#VALUE!</v>
      </c>
      <c r="Q237" t="str">
        <f t="shared" si="43"/>
        <v>Jan-00</v>
      </c>
      <c r="R237" t="str">
        <f t="shared" si="44"/>
        <v>Q1</v>
      </c>
      <c r="S237">
        <f t="shared" si="45"/>
        <v>1900</v>
      </c>
      <c r="T237" t="str">
        <f t="shared" si="46"/>
        <v>Retail</v>
      </c>
    </row>
    <row r="238" spans="8:20" x14ac:dyDescent="0.3">
      <c r="H238">
        <f t="shared" si="47"/>
        <v>0</v>
      </c>
      <c r="I238">
        <f t="shared" si="36"/>
        <v>0</v>
      </c>
      <c r="J238">
        <f t="shared" si="37"/>
        <v>0</v>
      </c>
      <c r="K238" t="str">
        <f t="shared" si="38"/>
        <v>January</v>
      </c>
      <c r="L238" t="str">
        <f t="shared" si="39"/>
        <v>Q1</v>
      </c>
      <c r="M238" s="2">
        <f t="shared" si="40"/>
        <v>1900</v>
      </c>
      <c r="N238" t="str">
        <f ca="1">IF(COUNTIFS(A$2:A238,A238,O$2:O238,O238)&gt;1,"Repeat","New")</f>
        <v>New</v>
      </c>
      <c r="O238" s="2" t="e">
        <f t="shared" ca="1" si="41"/>
        <v>#VALUE!</v>
      </c>
      <c r="P238" s="3" t="e">
        <f t="shared" ca="1" si="42"/>
        <v>#VALUE!</v>
      </c>
      <c r="Q238" t="str">
        <f t="shared" si="43"/>
        <v>Jan-00</v>
      </c>
      <c r="R238" t="str">
        <f t="shared" si="44"/>
        <v>Q1</v>
      </c>
      <c r="S238">
        <f t="shared" si="45"/>
        <v>1900</v>
      </c>
      <c r="T238" t="str">
        <f t="shared" si="46"/>
        <v>Retail</v>
      </c>
    </row>
    <row r="239" spans="8:20" x14ac:dyDescent="0.3">
      <c r="H239">
        <f t="shared" si="47"/>
        <v>0</v>
      </c>
      <c r="I239">
        <f t="shared" si="36"/>
        <v>0</v>
      </c>
      <c r="J239">
        <f t="shared" si="37"/>
        <v>0</v>
      </c>
      <c r="K239" t="str">
        <f t="shared" si="38"/>
        <v>January</v>
      </c>
      <c r="L239" t="str">
        <f t="shared" si="39"/>
        <v>Q1</v>
      </c>
      <c r="M239" s="2">
        <f t="shared" si="40"/>
        <v>1900</v>
      </c>
      <c r="N239" t="str">
        <f ca="1">IF(COUNTIFS(A$2:A239,A239,O$2:O239,O239)&gt;1,"Repeat","New")</f>
        <v>New</v>
      </c>
      <c r="O239" s="2" t="e">
        <f t="shared" ca="1" si="41"/>
        <v>#VALUE!</v>
      </c>
      <c r="P239" s="3" t="e">
        <f t="shared" ca="1" si="42"/>
        <v>#VALUE!</v>
      </c>
      <c r="Q239" t="str">
        <f t="shared" si="43"/>
        <v>Jan-00</v>
      </c>
      <c r="R239" t="str">
        <f t="shared" si="44"/>
        <v>Q1</v>
      </c>
      <c r="S239">
        <f t="shared" si="45"/>
        <v>1900</v>
      </c>
      <c r="T239" t="str">
        <f t="shared" si="46"/>
        <v>Retail</v>
      </c>
    </row>
    <row r="240" spans="8:20" x14ac:dyDescent="0.3">
      <c r="H240">
        <f t="shared" si="47"/>
        <v>0</v>
      </c>
      <c r="I240">
        <f t="shared" si="36"/>
        <v>0</v>
      </c>
      <c r="J240">
        <f t="shared" si="37"/>
        <v>0</v>
      </c>
      <c r="K240" t="str">
        <f t="shared" si="38"/>
        <v>January</v>
      </c>
      <c r="L240" t="str">
        <f t="shared" si="39"/>
        <v>Q1</v>
      </c>
      <c r="M240" s="2">
        <f t="shared" si="40"/>
        <v>1900</v>
      </c>
      <c r="N240" t="str">
        <f ca="1">IF(COUNTIFS(A$2:A240,A240,O$2:O240,O240)&gt;1,"Repeat","New")</f>
        <v>New</v>
      </c>
      <c r="O240" s="2" t="e">
        <f t="shared" ca="1" si="41"/>
        <v>#VALUE!</v>
      </c>
      <c r="P240" s="3" t="e">
        <f t="shared" ca="1" si="42"/>
        <v>#VALUE!</v>
      </c>
      <c r="Q240" t="str">
        <f t="shared" si="43"/>
        <v>Jan-00</v>
      </c>
      <c r="R240" t="str">
        <f t="shared" si="44"/>
        <v>Q1</v>
      </c>
      <c r="S240">
        <f t="shared" si="45"/>
        <v>1900</v>
      </c>
      <c r="T240" t="str">
        <f t="shared" si="46"/>
        <v>Retail</v>
      </c>
    </row>
    <row r="241" spans="8:20" x14ac:dyDescent="0.3">
      <c r="H241">
        <f t="shared" si="47"/>
        <v>0</v>
      </c>
      <c r="I241">
        <f t="shared" si="36"/>
        <v>0</v>
      </c>
      <c r="J241">
        <f t="shared" si="37"/>
        <v>0</v>
      </c>
      <c r="K241" t="str">
        <f t="shared" si="38"/>
        <v>January</v>
      </c>
      <c r="L241" t="str">
        <f t="shared" si="39"/>
        <v>Q1</v>
      </c>
      <c r="M241" s="2">
        <f t="shared" si="40"/>
        <v>1900</v>
      </c>
      <c r="N241" t="str">
        <f ca="1">IF(COUNTIFS(A$2:A241,A241,O$2:O241,O241)&gt;1,"Repeat","New")</f>
        <v>New</v>
      </c>
      <c r="O241" s="2" t="e">
        <f t="shared" ca="1" si="41"/>
        <v>#VALUE!</v>
      </c>
      <c r="P241" s="3" t="e">
        <f t="shared" ca="1" si="42"/>
        <v>#VALUE!</v>
      </c>
      <c r="Q241" t="str">
        <f t="shared" si="43"/>
        <v>Jan-00</v>
      </c>
      <c r="R241" t="str">
        <f t="shared" si="44"/>
        <v>Q1</v>
      </c>
      <c r="S241">
        <f t="shared" si="45"/>
        <v>1900</v>
      </c>
      <c r="T241" t="str">
        <f t="shared" si="46"/>
        <v>Retail</v>
      </c>
    </row>
    <row r="242" spans="8:20" x14ac:dyDescent="0.3">
      <c r="H242">
        <f t="shared" si="47"/>
        <v>0</v>
      </c>
      <c r="I242">
        <f t="shared" si="36"/>
        <v>0</v>
      </c>
      <c r="J242">
        <f t="shared" si="37"/>
        <v>0</v>
      </c>
      <c r="K242" t="str">
        <f t="shared" si="38"/>
        <v>January</v>
      </c>
      <c r="L242" t="str">
        <f t="shared" si="39"/>
        <v>Q1</v>
      </c>
      <c r="M242" s="2">
        <f t="shared" si="40"/>
        <v>1900</v>
      </c>
      <c r="N242" t="str">
        <f ca="1">IF(COUNTIFS(A$2:A242,A242,O$2:O242,O242)&gt;1,"Repeat","New")</f>
        <v>New</v>
      </c>
      <c r="O242" s="2" t="e">
        <f t="shared" ca="1" si="41"/>
        <v>#VALUE!</v>
      </c>
      <c r="P242" s="3" t="e">
        <f t="shared" ca="1" si="42"/>
        <v>#VALUE!</v>
      </c>
      <c r="Q242" t="str">
        <f t="shared" si="43"/>
        <v>Jan-00</v>
      </c>
      <c r="R242" t="str">
        <f t="shared" si="44"/>
        <v>Q1</v>
      </c>
      <c r="S242">
        <f t="shared" si="45"/>
        <v>1900</v>
      </c>
      <c r="T242" t="str">
        <f t="shared" si="46"/>
        <v>Retail</v>
      </c>
    </row>
    <row r="243" spans="8:20" x14ac:dyDescent="0.3">
      <c r="H243">
        <f t="shared" si="47"/>
        <v>0</v>
      </c>
      <c r="I243">
        <f t="shared" si="36"/>
        <v>0</v>
      </c>
      <c r="J243">
        <f t="shared" si="37"/>
        <v>0</v>
      </c>
      <c r="K243" t="str">
        <f t="shared" si="38"/>
        <v>January</v>
      </c>
      <c r="L243" t="str">
        <f t="shared" si="39"/>
        <v>Q1</v>
      </c>
      <c r="M243" s="2">
        <f t="shared" si="40"/>
        <v>1900</v>
      </c>
      <c r="N243" t="str">
        <f ca="1">IF(COUNTIFS(A$2:A243,A243,O$2:O243,O243)&gt;1,"Repeat","New")</f>
        <v>New</v>
      </c>
      <c r="O243" s="2" t="e">
        <f t="shared" ca="1" si="41"/>
        <v>#VALUE!</v>
      </c>
      <c r="P243" s="3" t="e">
        <f t="shared" ca="1" si="42"/>
        <v>#VALUE!</v>
      </c>
      <c r="Q243" t="str">
        <f t="shared" si="43"/>
        <v>Jan-00</v>
      </c>
      <c r="R243" t="str">
        <f t="shared" si="44"/>
        <v>Q1</v>
      </c>
      <c r="S243">
        <f t="shared" si="45"/>
        <v>1900</v>
      </c>
      <c r="T243" t="str">
        <f t="shared" si="46"/>
        <v>Retail</v>
      </c>
    </row>
    <row r="244" spans="8:20" x14ac:dyDescent="0.3">
      <c r="H244">
        <f t="shared" si="47"/>
        <v>0</v>
      </c>
      <c r="I244">
        <f t="shared" si="36"/>
        <v>0</v>
      </c>
      <c r="J244">
        <f t="shared" si="37"/>
        <v>0</v>
      </c>
      <c r="K244" t="str">
        <f t="shared" si="38"/>
        <v>January</v>
      </c>
      <c r="L244" t="str">
        <f t="shared" si="39"/>
        <v>Q1</v>
      </c>
      <c r="M244" s="2">
        <f t="shared" si="40"/>
        <v>1900</v>
      </c>
      <c r="N244" t="str">
        <f ca="1">IF(COUNTIFS(A$2:A244,A244,O$2:O244,O244)&gt;1,"Repeat","New")</f>
        <v>New</v>
      </c>
      <c r="O244" s="2" t="e">
        <f t="shared" ca="1" si="41"/>
        <v>#VALUE!</v>
      </c>
      <c r="P244" s="3" t="e">
        <f t="shared" ca="1" si="42"/>
        <v>#VALUE!</v>
      </c>
      <c r="Q244" t="str">
        <f t="shared" si="43"/>
        <v>Jan-00</v>
      </c>
      <c r="R244" t="str">
        <f t="shared" si="44"/>
        <v>Q1</v>
      </c>
      <c r="S244">
        <f t="shared" si="45"/>
        <v>1900</v>
      </c>
      <c r="T244" t="str">
        <f t="shared" si="46"/>
        <v>Retail</v>
      </c>
    </row>
    <row r="245" spans="8:20" x14ac:dyDescent="0.3">
      <c r="H245">
        <f t="shared" si="47"/>
        <v>0</v>
      </c>
      <c r="I245">
        <f t="shared" si="36"/>
        <v>0</v>
      </c>
      <c r="J245">
        <f t="shared" si="37"/>
        <v>0</v>
      </c>
      <c r="K245" t="str">
        <f t="shared" si="38"/>
        <v>January</v>
      </c>
      <c r="L245" t="str">
        <f t="shared" si="39"/>
        <v>Q1</v>
      </c>
      <c r="M245" s="2">
        <f t="shared" si="40"/>
        <v>1900</v>
      </c>
      <c r="N245" t="str">
        <f ca="1">IF(COUNTIFS(A$2:A245,A245,O$2:O245,O245)&gt;1,"Repeat","New")</f>
        <v>New</v>
      </c>
      <c r="O245" s="2" t="e">
        <f t="shared" ca="1" si="41"/>
        <v>#VALUE!</v>
      </c>
      <c r="P245" s="3" t="e">
        <f t="shared" ca="1" si="42"/>
        <v>#VALUE!</v>
      </c>
      <c r="Q245" t="str">
        <f t="shared" si="43"/>
        <v>Jan-00</v>
      </c>
      <c r="R245" t="str">
        <f t="shared" si="44"/>
        <v>Q1</v>
      </c>
      <c r="S245">
        <f t="shared" si="45"/>
        <v>1900</v>
      </c>
      <c r="T245" t="str">
        <f t="shared" si="46"/>
        <v>Retail</v>
      </c>
    </row>
    <row r="246" spans="8:20" x14ac:dyDescent="0.3">
      <c r="H246">
        <f t="shared" si="47"/>
        <v>0</v>
      </c>
      <c r="I246">
        <f t="shared" si="36"/>
        <v>0</v>
      </c>
      <c r="J246">
        <f t="shared" si="37"/>
        <v>0</v>
      </c>
      <c r="K246" t="str">
        <f t="shared" si="38"/>
        <v>January</v>
      </c>
      <c r="L246" t="str">
        <f t="shared" si="39"/>
        <v>Q1</v>
      </c>
      <c r="M246" s="2">
        <f t="shared" si="40"/>
        <v>1900</v>
      </c>
      <c r="N246" t="str">
        <f ca="1">IF(COUNTIFS(A$2:A246,A246,O$2:O246,O246)&gt;1,"Repeat","New")</f>
        <v>New</v>
      </c>
      <c r="O246" s="2" t="e">
        <f t="shared" ca="1" si="41"/>
        <v>#VALUE!</v>
      </c>
      <c r="P246" s="3" t="e">
        <f t="shared" ca="1" si="42"/>
        <v>#VALUE!</v>
      </c>
      <c r="Q246" t="str">
        <f t="shared" si="43"/>
        <v>Jan-00</v>
      </c>
      <c r="R246" t="str">
        <f t="shared" si="44"/>
        <v>Q1</v>
      </c>
      <c r="S246">
        <f t="shared" si="45"/>
        <v>1900</v>
      </c>
      <c r="T246" t="str">
        <f t="shared" si="46"/>
        <v>Retail</v>
      </c>
    </row>
    <row r="247" spans="8:20" x14ac:dyDescent="0.3">
      <c r="H247">
        <f t="shared" si="47"/>
        <v>0</v>
      </c>
      <c r="I247">
        <f t="shared" si="36"/>
        <v>0</v>
      </c>
      <c r="J247">
        <f t="shared" si="37"/>
        <v>0</v>
      </c>
      <c r="K247" t="str">
        <f t="shared" si="38"/>
        <v>January</v>
      </c>
      <c r="L247" t="str">
        <f t="shared" si="39"/>
        <v>Q1</v>
      </c>
      <c r="M247" s="2">
        <f t="shared" si="40"/>
        <v>1900</v>
      </c>
      <c r="N247" t="str">
        <f ca="1">IF(COUNTIFS(A$2:A247,A247,O$2:O247,O247)&gt;1,"Repeat","New")</f>
        <v>New</v>
      </c>
      <c r="O247" s="2" t="e">
        <f t="shared" ca="1" si="41"/>
        <v>#VALUE!</v>
      </c>
      <c r="P247" s="3" t="e">
        <f t="shared" ca="1" si="42"/>
        <v>#VALUE!</v>
      </c>
      <c r="Q247" t="str">
        <f t="shared" si="43"/>
        <v>Jan-00</v>
      </c>
      <c r="R247" t="str">
        <f t="shared" si="44"/>
        <v>Q1</v>
      </c>
      <c r="S247">
        <f t="shared" si="45"/>
        <v>1900</v>
      </c>
      <c r="T247" t="str">
        <f t="shared" si="46"/>
        <v>Retail</v>
      </c>
    </row>
    <row r="248" spans="8:20" x14ac:dyDescent="0.3">
      <c r="H248">
        <f t="shared" si="47"/>
        <v>0</v>
      </c>
      <c r="I248">
        <f t="shared" si="36"/>
        <v>0</v>
      </c>
      <c r="J248">
        <f t="shared" si="37"/>
        <v>0</v>
      </c>
      <c r="K248" t="str">
        <f t="shared" si="38"/>
        <v>January</v>
      </c>
      <c r="L248" t="str">
        <f t="shared" si="39"/>
        <v>Q1</v>
      </c>
      <c r="M248" s="2">
        <f t="shared" si="40"/>
        <v>1900</v>
      </c>
      <c r="N248" t="str">
        <f ca="1">IF(COUNTIFS(A$2:A248,A248,O$2:O248,O248)&gt;1,"Repeat","New")</f>
        <v>New</v>
      </c>
      <c r="O248" s="2" t="e">
        <f t="shared" ca="1" si="41"/>
        <v>#VALUE!</v>
      </c>
      <c r="P248" s="3" t="e">
        <f t="shared" ca="1" si="42"/>
        <v>#VALUE!</v>
      </c>
      <c r="Q248" t="str">
        <f t="shared" si="43"/>
        <v>Jan-00</v>
      </c>
      <c r="R248" t="str">
        <f t="shared" si="44"/>
        <v>Q1</v>
      </c>
      <c r="S248">
        <f t="shared" si="45"/>
        <v>1900</v>
      </c>
      <c r="T248" t="str">
        <f t="shared" si="46"/>
        <v>Retail</v>
      </c>
    </row>
    <row r="249" spans="8:20" x14ac:dyDescent="0.3">
      <c r="H249">
        <f t="shared" si="47"/>
        <v>0</v>
      </c>
      <c r="I249">
        <f t="shared" si="36"/>
        <v>0</v>
      </c>
      <c r="J249">
        <f t="shared" si="37"/>
        <v>0</v>
      </c>
      <c r="K249" t="str">
        <f t="shared" si="38"/>
        <v>January</v>
      </c>
      <c r="L249" t="str">
        <f t="shared" si="39"/>
        <v>Q1</v>
      </c>
      <c r="M249" s="2">
        <f t="shared" si="40"/>
        <v>1900</v>
      </c>
      <c r="N249" t="str">
        <f ca="1">IF(COUNTIFS(A$2:A249,A249,O$2:O249,O249)&gt;1,"Repeat","New")</f>
        <v>New</v>
      </c>
      <c r="O249" s="2" t="e">
        <f t="shared" ca="1" si="41"/>
        <v>#VALUE!</v>
      </c>
      <c r="P249" s="3" t="e">
        <f t="shared" ca="1" si="42"/>
        <v>#VALUE!</v>
      </c>
      <c r="Q249" t="str">
        <f t="shared" si="43"/>
        <v>Jan-00</v>
      </c>
      <c r="R249" t="str">
        <f t="shared" si="44"/>
        <v>Q1</v>
      </c>
      <c r="S249">
        <f t="shared" si="45"/>
        <v>1900</v>
      </c>
      <c r="T249" t="str">
        <f t="shared" si="46"/>
        <v>Retail</v>
      </c>
    </row>
    <row r="250" spans="8:20" x14ac:dyDescent="0.3">
      <c r="H250">
        <f t="shared" si="47"/>
        <v>0</v>
      </c>
      <c r="I250">
        <f t="shared" si="36"/>
        <v>0</v>
      </c>
      <c r="J250">
        <f t="shared" si="37"/>
        <v>0</v>
      </c>
      <c r="K250" t="str">
        <f t="shared" si="38"/>
        <v>January</v>
      </c>
      <c r="L250" t="str">
        <f t="shared" si="39"/>
        <v>Q1</v>
      </c>
      <c r="M250" s="2">
        <f t="shared" si="40"/>
        <v>1900</v>
      </c>
      <c r="N250" t="str">
        <f ca="1">IF(COUNTIFS(A$2:A250,A250,O$2:O250,O250)&gt;1,"Repeat","New")</f>
        <v>New</v>
      </c>
      <c r="O250" s="2" t="e">
        <f t="shared" ca="1" si="41"/>
        <v>#VALUE!</v>
      </c>
      <c r="P250" s="3" t="e">
        <f t="shared" ca="1" si="42"/>
        <v>#VALUE!</v>
      </c>
      <c r="Q250" t="str">
        <f t="shared" si="43"/>
        <v>Jan-00</v>
      </c>
      <c r="R250" t="str">
        <f t="shared" si="44"/>
        <v>Q1</v>
      </c>
      <c r="S250">
        <f t="shared" si="45"/>
        <v>1900</v>
      </c>
      <c r="T250" t="str">
        <f t="shared" si="46"/>
        <v>Retail</v>
      </c>
    </row>
    <row r="251" spans="8:20" x14ac:dyDescent="0.3">
      <c r="H251">
        <f t="shared" si="47"/>
        <v>0</v>
      </c>
      <c r="I251">
        <f t="shared" si="36"/>
        <v>0</v>
      </c>
      <c r="J251">
        <f t="shared" si="37"/>
        <v>0</v>
      </c>
      <c r="K251" t="str">
        <f t="shared" si="38"/>
        <v>January</v>
      </c>
      <c r="L251" t="str">
        <f t="shared" si="39"/>
        <v>Q1</v>
      </c>
      <c r="M251" s="2">
        <f t="shared" si="40"/>
        <v>1900</v>
      </c>
      <c r="N251" t="str">
        <f ca="1">IF(COUNTIFS(A$2:A251,A251,O$2:O251,O251)&gt;1,"Repeat","New")</f>
        <v>New</v>
      </c>
      <c r="O251" s="2" t="e">
        <f t="shared" ca="1" si="41"/>
        <v>#VALUE!</v>
      </c>
      <c r="P251" s="3" t="e">
        <f t="shared" ca="1" si="42"/>
        <v>#VALUE!</v>
      </c>
      <c r="Q251" t="str">
        <f t="shared" si="43"/>
        <v>Jan-00</v>
      </c>
      <c r="R251" t="str">
        <f t="shared" si="44"/>
        <v>Q1</v>
      </c>
      <c r="S251">
        <f t="shared" si="45"/>
        <v>1900</v>
      </c>
      <c r="T251" t="str">
        <f t="shared" si="46"/>
        <v>Retail</v>
      </c>
    </row>
    <row r="252" spans="8:20" x14ac:dyDescent="0.3">
      <c r="H252">
        <f t="shared" si="47"/>
        <v>0</v>
      </c>
      <c r="I252">
        <f t="shared" si="36"/>
        <v>0</v>
      </c>
      <c r="J252">
        <f t="shared" si="37"/>
        <v>0</v>
      </c>
      <c r="K252" t="str">
        <f t="shared" si="38"/>
        <v>January</v>
      </c>
      <c r="L252" t="str">
        <f t="shared" si="39"/>
        <v>Q1</v>
      </c>
      <c r="M252" s="2">
        <f t="shared" si="40"/>
        <v>1900</v>
      </c>
      <c r="N252" t="str">
        <f ca="1">IF(COUNTIFS(A$2:A252,A252,O$2:O252,O252)&gt;1,"Repeat","New")</f>
        <v>New</v>
      </c>
      <c r="O252" s="2" t="e">
        <f t="shared" ca="1" si="41"/>
        <v>#VALUE!</v>
      </c>
      <c r="P252" s="3" t="e">
        <f t="shared" ca="1" si="42"/>
        <v>#VALUE!</v>
      </c>
      <c r="Q252" t="str">
        <f t="shared" si="43"/>
        <v>Jan-00</v>
      </c>
      <c r="R252" t="str">
        <f t="shared" si="44"/>
        <v>Q1</v>
      </c>
      <c r="S252">
        <f t="shared" si="45"/>
        <v>1900</v>
      </c>
      <c r="T252" t="str">
        <f t="shared" si="46"/>
        <v>Retail</v>
      </c>
    </row>
    <row r="253" spans="8:20" x14ac:dyDescent="0.3">
      <c r="H253">
        <f t="shared" si="47"/>
        <v>0</v>
      </c>
      <c r="I253">
        <f t="shared" si="36"/>
        <v>0</v>
      </c>
      <c r="J253">
        <f t="shared" si="37"/>
        <v>0</v>
      </c>
      <c r="K253" t="str">
        <f t="shared" si="38"/>
        <v>January</v>
      </c>
      <c r="L253" t="str">
        <f t="shared" si="39"/>
        <v>Q1</v>
      </c>
      <c r="M253" s="2">
        <f t="shared" si="40"/>
        <v>1900</v>
      </c>
      <c r="N253" t="str">
        <f ca="1">IF(COUNTIFS(A$2:A253,A253,O$2:O253,O253)&gt;1,"Repeat","New")</f>
        <v>New</v>
      </c>
      <c r="O253" s="2" t="e">
        <f t="shared" ca="1" si="41"/>
        <v>#VALUE!</v>
      </c>
      <c r="P253" s="3" t="e">
        <f t="shared" ca="1" si="42"/>
        <v>#VALUE!</v>
      </c>
      <c r="Q253" t="str">
        <f t="shared" si="43"/>
        <v>Jan-00</v>
      </c>
      <c r="R253" t="str">
        <f t="shared" si="44"/>
        <v>Q1</v>
      </c>
      <c r="S253">
        <f t="shared" si="45"/>
        <v>1900</v>
      </c>
      <c r="T253" t="str">
        <f t="shared" si="46"/>
        <v>Retail</v>
      </c>
    </row>
    <row r="254" spans="8:20" x14ac:dyDescent="0.3">
      <c r="H254">
        <f t="shared" si="47"/>
        <v>0</v>
      </c>
      <c r="I254">
        <f t="shared" si="36"/>
        <v>0</v>
      </c>
      <c r="J254">
        <f t="shared" si="37"/>
        <v>0</v>
      </c>
      <c r="K254" t="str">
        <f t="shared" si="38"/>
        <v>January</v>
      </c>
      <c r="L254" t="str">
        <f t="shared" si="39"/>
        <v>Q1</v>
      </c>
      <c r="M254" s="2">
        <f t="shared" si="40"/>
        <v>1900</v>
      </c>
      <c r="N254" t="str">
        <f ca="1">IF(COUNTIFS(A$2:A254,A254,O$2:O254,O254)&gt;1,"Repeat","New")</f>
        <v>New</v>
      </c>
      <c r="O254" s="2" t="e">
        <f t="shared" ca="1" si="41"/>
        <v>#VALUE!</v>
      </c>
      <c r="P254" s="3" t="e">
        <f t="shared" ca="1" si="42"/>
        <v>#VALUE!</v>
      </c>
      <c r="Q254" t="str">
        <f t="shared" si="43"/>
        <v>Jan-00</v>
      </c>
      <c r="R254" t="str">
        <f t="shared" si="44"/>
        <v>Q1</v>
      </c>
      <c r="S254">
        <f t="shared" si="45"/>
        <v>1900</v>
      </c>
      <c r="T254" t="str">
        <f t="shared" si="46"/>
        <v>Retail</v>
      </c>
    </row>
    <row r="255" spans="8:20" x14ac:dyDescent="0.3">
      <c r="H255">
        <f t="shared" si="47"/>
        <v>0</v>
      </c>
      <c r="I255">
        <f t="shared" si="36"/>
        <v>0</v>
      </c>
      <c r="J255">
        <f t="shared" si="37"/>
        <v>0</v>
      </c>
      <c r="K255" t="str">
        <f t="shared" si="38"/>
        <v>January</v>
      </c>
      <c r="L255" t="str">
        <f t="shared" si="39"/>
        <v>Q1</v>
      </c>
      <c r="M255" s="2">
        <f t="shared" si="40"/>
        <v>1900</v>
      </c>
      <c r="N255" t="str">
        <f ca="1">IF(COUNTIFS(A$2:A255,A255,O$2:O255,O255)&gt;1,"Repeat","New")</f>
        <v>New</v>
      </c>
      <c r="O255" s="2" t="e">
        <f t="shared" ca="1" si="41"/>
        <v>#VALUE!</v>
      </c>
      <c r="P255" s="3" t="e">
        <f t="shared" ca="1" si="42"/>
        <v>#VALUE!</v>
      </c>
      <c r="Q255" t="str">
        <f t="shared" si="43"/>
        <v>Jan-00</v>
      </c>
      <c r="R255" t="str">
        <f t="shared" si="44"/>
        <v>Q1</v>
      </c>
      <c r="S255">
        <f t="shared" si="45"/>
        <v>1900</v>
      </c>
      <c r="T255" t="str">
        <f t="shared" si="46"/>
        <v>Retail</v>
      </c>
    </row>
    <row r="256" spans="8:20" x14ac:dyDescent="0.3">
      <c r="H256">
        <f t="shared" si="47"/>
        <v>0</v>
      </c>
      <c r="I256">
        <f t="shared" si="36"/>
        <v>0</v>
      </c>
      <c r="J256">
        <f t="shared" si="37"/>
        <v>0</v>
      </c>
      <c r="K256" t="str">
        <f t="shared" si="38"/>
        <v>January</v>
      </c>
      <c r="L256" t="str">
        <f t="shared" si="39"/>
        <v>Q1</v>
      </c>
      <c r="M256" s="2">
        <f t="shared" si="40"/>
        <v>1900</v>
      </c>
      <c r="N256" t="str">
        <f ca="1">IF(COUNTIFS(A$2:A256,A256,O$2:O256,O256)&gt;1,"Repeat","New")</f>
        <v>New</v>
      </c>
      <c r="O256" s="2" t="e">
        <f t="shared" ca="1" si="41"/>
        <v>#VALUE!</v>
      </c>
      <c r="P256" s="3" t="e">
        <f t="shared" ca="1" si="42"/>
        <v>#VALUE!</v>
      </c>
      <c r="Q256" t="str">
        <f t="shared" si="43"/>
        <v>Jan-00</v>
      </c>
      <c r="R256" t="str">
        <f t="shared" si="44"/>
        <v>Q1</v>
      </c>
      <c r="S256">
        <f t="shared" si="45"/>
        <v>1900</v>
      </c>
      <c r="T256" t="str">
        <f t="shared" si="46"/>
        <v>Retail</v>
      </c>
    </row>
    <row r="257" spans="8:20" x14ac:dyDescent="0.3">
      <c r="H257">
        <f t="shared" si="47"/>
        <v>0</v>
      </c>
      <c r="I257">
        <f t="shared" si="36"/>
        <v>0</v>
      </c>
      <c r="J257">
        <f t="shared" si="37"/>
        <v>0</v>
      </c>
      <c r="K257" t="str">
        <f t="shared" si="38"/>
        <v>January</v>
      </c>
      <c r="L257" t="str">
        <f t="shared" si="39"/>
        <v>Q1</v>
      </c>
      <c r="M257" s="2">
        <f t="shared" si="40"/>
        <v>1900</v>
      </c>
      <c r="N257" t="str">
        <f ca="1">IF(COUNTIFS(A$2:A257,A257,O$2:O257,O257)&gt;1,"Repeat","New")</f>
        <v>New</v>
      </c>
      <c r="O257" s="2" t="e">
        <f t="shared" ca="1" si="41"/>
        <v>#VALUE!</v>
      </c>
      <c r="P257" s="3" t="e">
        <f t="shared" ca="1" si="42"/>
        <v>#VALUE!</v>
      </c>
      <c r="Q257" t="str">
        <f t="shared" si="43"/>
        <v>Jan-00</v>
      </c>
      <c r="R257" t="str">
        <f t="shared" si="44"/>
        <v>Q1</v>
      </c>
      <c r="S257">
        <f t="shared" si="45"/>
        <v>1900</v>
      </c>
      <c r="T257" t="str">
        <f t="shared" si="46"/>
        <v>Retail</v>
      </c>
    </row>
    <row r="258" spans="8:20" x14ac:dyDescent="0.3">
      <c r="H258">
        <f t="shared" si="47"/>
        <v>0</v>
      </c>
      <c r="I258">
        <f t="shared" ref="I258:I321" si="48">H258-(D258*F258)</f>
        <v>0</v>
      </c>
      <c r="J258">
        <f t="shared" ref="J258:J321" si="49">IF(H258&gt;0,I258/H258,0)</f>
        <v>0</v>
      </c>
      <c r="K258" t="str">
        <f t="shared" ref="K258:K321" si="50">TEXT(A258,"mmmm")</f>
        <v>January</v>
      </c>
      <c r="L258" t="str">
        <f t="shared" ref="L258:L321" si="51">"Q"&amp;ROUNDUP(MONTH(A258)/3,0)</f>
        <v>Q1</v>
      </c>
      <c r="M258" s="2">
        <f t="shared" ref="M258:M321" si="52">YEAR(A258)</f>
        <v>1900</v>
      </c>
      <c r="N258" t="str">
        <f ca="1">IF(COUNTIFS(A$2:A258,A258,O$2:O258,O258)&gt;1,"Repeat","New")</f>
        <v>New</v>
      </c>
      <c r="O258" s="2" t="e">
        <f t="shared" ref="O258:O321" ca="1" si="53">M258-N258</f>
        <v>#VALUE!</v>
      </c>
      <c r="P258" s="3" t="e">
        <f t="shared" ref="P258:P321" ca="1" si="54">IF(M258&gt;0,O258/M258,0)</f>
        <v>#VALUE!</v>
      </c>
      <c r="Q258" t="str">
        <f t="shared" ref="Q258:Q321" si="55">TEXT(B258, "mmm-yy")</f>
        <v>Jan-00</v>
      </c>
      <c r="R258" t="str">
        <f t="shared" ref="R258:R321" si="56">"Q"&amp;INT((MONTH(B258)-1)/3)+1</f>
        <v>Q1</v>
      </c>
      <c r="S258">
        <f t="shared" ref="S258:S321" si="57">YEAR(B258)</f>
        <v>1900</v>
      </c>
      <c r="T258" t="str">
        <f t="shared" ref="T258:T321" si="58">IF(M258&gt;5000, "Enterprise", "Retail")</f>
        <v>Retail</v>
      </c>
    </row>
    <row r="259" spans="8:20" x14ac:dyDescent="0.3">
      <c r="H259">
        <f t="shared" ref="H259:H322" si="59">(E259*F259)*(1-G259)</f>
        <v>0</v>
      </c>
      <c r="I259">
        <f t="shared" si="48"/>
        <v>0</v>
      </c>
      <c r="J259">
        <f t="shared" si="49"/>
        <v>0</v>
      </c>
      <c r="K259" t="str">
        <f t="shared" si="50"/>
        <v>January</v>
      </c>
      <c r="L259" t="str">
        <f t="shared" si="51"/>
        <v>Q1</v>
      </c>
      <c r="M259" s="2">
        <f t="shared" si="52"/>
        <v>1900</v>
      </c>
      <c r="N259" t="str">
        <f ca="1">IF(COUNTIFS(A$2:A259,A259,O$2:O259,O259)&gt;1,"Repeat","New")</f>
        <v>New</v>
      </c>
      <c r="O259" s="2" t="e">
        <f t="shared" ca="1" si="53"/>
        <v>#VALUE!</v>
      </c>
      <c r="P259" s="3" t="e">
        <f t="shared" ca="1" si="54"/>
        <v>#VALUE!</v>
      </c>
      <c r="Q259" t="str">
        <f t="shared" si="55"/>
        <v>Jan-00</v>
      </c>
      <c r="R259" t="str">
        <f t="shared" si="56"/>
        <v>Q1</v>
      </c>
      <c r="S259">
        <f t="shared" si="57"/>
        <v>1900</v>
      </c>
      <c r="T259" t="str">
        <f t="shared" si="58"/>
        <v>Retail</v>
      </c>
    </row>
    <row r="260" spans="8:20" x14ac:dyDescent="0.3">
      <c r="H260">
        <f t="shared" si="59"/>
        <v>0</v>
      </c>
      <c r="I260">
        <f t="shared" si="48"/>
        <v>0</v>
      </c>
      <c r="J260">
        <f t="shared" si="49"/>
        <v>0</v>
      </c>
      <c r="K260" t="str">
        <f t="shared" si="50"/>
        <v>January</v>
      </c>
      <c r="L260" t="str">
        <f t="shared" si="51"/>
        <v>Q1</v>
      </c>
      <c r="M260" s="2">
        <f t="shared" si="52"/>
        <v>1900</v>
      </c>
      <c r="N260" t="str">
        <f ca="1">IF(COUNTIFS(A$2:A260,A260,O$2:O260,O260)&gt;1,"Repeat","New")</f>
        <v>New</v>
      </c>
      <c r="O260" s="2" t="e">
        <f t="shared" ca="1" si="53"/>
        <v>#VALUE!</v>
      </c>
      <c r="P260" s="3" t="e">
        <f t="shared" ca="1" si="54"/>
        <v>#VALUE!</v>
      </c>
      <c r="Q260" t="str">
        <f t="shared" si="55"/>
        <v>Jan-00</v>
      </c>
      <c r="R260" t="str">
        <f t="shared" si="56"/>
        <v>Q1</v>
      </c>
      <c r="S260">
        <f t="shared" si="57"/>
        <v>1900</v>
      </c>
      <c r="T260" t="str">
        <f t="shared" si="58"/>
        <v>Retail</v>
      </c>
    </row>
    <row r="261" spans="8:20" x14ac:dyDescent="0.3">
      <c r="H261">
        <f t="shared" si="59"/>
        <v>0</v>
      </c>
      <c r="I261">
        <f t="shared" si="48"/>
        <v>0</v>
      </c>
      <c r="J261">
        <f t="shared" si="49"/>
        <v>0</v>
      </c>
      <c r="K261" t="str">
        <f t="shared" si="50"/>
        <v>January</v>
      </c>
      <c r="L261" t="str">
        <f t="shared" si="51"/>
        <v>Q1</v>
      </c>
      <c r="M261" s="2">
        <f t="shared" si="52"/>
        <v>1900</v>
      </c>
      <c r="N261" t="str">
        <f ca="1">IF(COUNTIFS(A$2:A261,A261,O$2:O261,O261)&gt;1,"Repeat","New")</f>
        <v>New</v>
      </c>
      <c r="O261" s="2" t="e">
        <f t="shared" ca="1" si="53"/>
        <v>#VALUE!</v>
      </c>
      <c r="P261" s="3" t="e">
        <f t="shared" ca="1" si="54"/>
        <v>#VALUE!</v>
      </c>
      <c r="Q261" t="str">
        <f t="shared" si="55"/>
        <v>Jan-00</v>
      </c>
      <c r="R261" t="str">
        <f t="shared" si="56"/>
        <v>Q1</v>
      </c>
      <c r="S261">
        <f t="shared" si="57"/>
        <v>1900</v>
      </c>
      <c r="T261" t="str">
        <f t="shared" si="58"/>
        <v>Retail</v>
      </c>
    </row>
    <row r="262" spans="8:20" x14ac:dyDescent="0.3">
      <c r="H262">
        <f t="shared" si="59"/>
        <v>0</v>
      </c>
      <c r="I262">
        <f t="shared" si="48"/>
        <v>0</v>
      </c>
      <c r="J262">
        <f t="shared" si="49"/>
        <v>0</v>
      </c>
      <c r="K262" t="str">
        <f t="shared" si="50"/>
        <v>January</v>
      </c>
      <c r="L262" t="str">
        <f t="shared" si="51"/>
        <v>Q1</v>
      </c>
      <c r="M262" s="2">
        <f t="shared" si="52"/>
        <v>1900</v>
      </c>
      <c r="N262" t="str">
        <f ca="1">IF(COUNTIFS(A$2:A262,A262,O$2:O262,O262)&gt;1,"Repeat","New")</f>
        <v>New</v>
      </c>
      <c r="O262" s="2" t="e">
        <f t="shared" ca="1" si="53"/>
        <v>#VALUE!</v>
      </c>
      <c r="P262" s="3" t="e">
        <f t="shared" ca="1" si="54"/>
        <v>#VALUE!</v>
      </c>
      <c r="Q262" t="str">
        <f t="shared" si="55"/>
        <v>Jan-00</v>
      </c>
      <c r="R262" t="str">
        <f t="shared" si="56"/>
        <v>Q1</v>
      </c>
      <c r="S262">
        <f t="shared" si="57"/>
        <v>1900</v>
      </c>
      <c r="T262" t="str">
        <f t="shared" si="58"/>
        <v>Retail</v>
      </c>
    </row>
    <row r="263" spans="8:20" x14ac:dyDescent="0.3">
      <c r="H263">
        <f t="shared" si="59"/>
        <v>0</v>
      </c>
      <c r="I263">
        <f t="shared" si="48"/>
        <v>0</v>
      </c>
      <c r="J263">
        <f t="shared" si="49"/>
        <v>0</v>
      </c>
      <c r="K263" t="str">
        <f t="shared" si="50"/>
        <v>January</v>
      </c>
      <c r="L263" t="str">
        <f t="shared" si="51"/>
        <v>Q1</v>
      </c>
      <c r="M263" s="2">
        <f t="shared" si="52"/>
        <v>1900</v>
      </c>
      <c r="N263" t="str">
        <f ca="1">IF(COUNTIFS(A$2:A263,A263,O$2:O263,O263)&gt;1,"Repeat","New")</f>
        <v>New</v>
      </c>
      <c r="O263" s="2" t="e">
        <f t="shared" ca="1" si="53"/>
        <v>#VALUE!</v>
      </c>
      <c r="P263" s="3" t="e">
        <f t="shared" ca="1" si="54"/>
        <v>#VALUE!</v>
      </c>
      <c r="Q263" t="str">
        <f t="shared" si="55"/>
        <v>Jan-00</v>
      </c>
      <c r="R263" t="str">
        <f t="shared" si="56"/>
        <v>Q1</v>
      </c>
      <c r="S263">
        <f t="shared" si="57"/>
        <v>1900</v>
      </c>
      <c r="T263" t="str">
        <f t="shared" si="58"/>
        <v>Retail</v>
      </c>
    </row>
    <row r="264" spans="8:20" x14ac:dyDescent="0.3">
      <c r="H264">
        <f t="shared" si="59"/>
        <v>0</v>
      </c>
      <c r="I264">
        <f t="shared" si="48"/>
        <v>0</v>
      </c>
      <c r="J264">
        <f t="shared" si="49"/>
        <v>0</v>
      </c>
      <c r="K264" t="str">
        <f t="shared" si="50"/>
        <v>January</v>
      </c>
      <c r="L264" t="str">
        <f t="shared" si="51"/>
        <v>Q1</v>
      </c>
      <c r="M264" s="2">
        <f t="shared" si="52"/>
        <v>1900</v>
      </c>
      <c r="N264" t="str">
        <f ca="1">IF(COUNTIFS(A$2:A264,A264,O$2:O264,O264)&gt;1,"Repeat","New")</f>
        <v>New</v>
      </c>
      <c r="O264" s="2" t="e">
        <f t="shared" ca="1" si="53"/>
        <v>#VALUE!</v>
      </c>
      <c r="P264" s="3" t="e">
        <f t="shared" ca="1" si="54"/>
        <v>#VALUE!</v>
      </c>
      <c r="Q264" t="str">
        <f t="shared" si="55"/>
        <v>Jan-00</v>
      </c>
      <c r="R264" t="str">
        <f t="shared" si="56"/>
        <v>Q1</v>
      </c>
      <c r="S264">
        <f t="shared" si="57"/>
        <v>1900</v>
      </c>
      <c r="T264" t="str">
        <f t="shared" si="58"/>
        <v>Retail</v>
      </c>
    </row>
    <row r="265" spans="8:20" x14ac:dyDescent="0.3">
      <c r="H265">
        <f t="shared" si="59"/>
        <v>0</v>
      </c>
      <c r="I265">
        <f t="shared" si="48"/>
        <v>0</v>
      </c>
      <c r="J265">
        <f t="shared" si="49"/>
        <v>0</v>
      </c>
      <c r="K265" t="str">
        <f t="shared" si="50"/>
        <v>January</v>
      </c>
      <c r="L265" t="str">
        <f t="shared" si="51"/>
        <v>Q1</v>
      </c>
      <c r="M265" s="2">
        <f t="shared" si="52"/>
        <v>1900</v>
      </c>
      <c r="N265" t="str">
        <f ca="1">IF(COUNTIFS(A$2:A265,A265,O$2:O265,O265)&gt;1,"Repeat","New")</f>
        <v>New</v>
      </c>
      <c r="O265" s="2" t="e">
        <f t="shared" ca="1" si="53"/>
        <v>#VALUE!</v>
      </c>
      <c r="P265" s="3" t="e">
        <f t="shared" ca="1" si="54"/>
        <v>#VALUE!</v>
      </c>
      <c r="Q265" t="str">
        <f t="shared" si="55"/>
        <v>Jan-00</v>
      </c>
      <c r="R265" t="str">
        <f t="shared" si="56"/>
        <v>Q1</v>
      </c>
      <c r="S265">
        <f t="shared" si="57"/>
        <v>1900</v>
      </c>
      <c r="T265" t="str">
        <f t="shared" si="58"/>
        <v>Retail</v>
      </c>
    </row>
    <row r="266" spans="8:20" x14ac:dyDescent="0.3">
      <c r="H266">
        <f t="shared" si="59"/>
        <v>0</v>
      </c>
      <c r="I266">
        <f t="shared" si="48"/>
        <v>0</v>
      </c>
      <c r="J266">
        <f t="shared" si="49"/>
        <v>0</v>
      </c>
      <c r="K266" t="str">
        <f t="shared" si="50"/>
        <v>January</v>
      </c>
      <c r="L266" t="str">
        <f t="shared" si="51"/>
        <v>Q1</v>
      </c>
      <c r="M266" s="2">
        <f t="shared" si="52"/>
        <v>1900</v>
      </c>
      <c r="N266" t="str">
        <f ca="1">IF(COUNTIFS(A$2:A266,A266,O$2:O266,O266)&gt;1,"Repeat","New")</f>
        <v>New</v>
      </c>
      <c r="O266" s="2" t="e">
        <f t="shared" ca="1" si="53"/>
        <v>#VALUE!</v>
      </c>
      <c r="P266" s="3" t="e">
        <f t="shared" ca="1" si="54"/>
        <v>#VALUE!</v>
      </c>
      <c r="Q266" t="str">
        <f t="shared" si="55"/>
        <v>Jan-00</v>
      </c>
      <c r="R266" t="str">
        <f t="shared" si="56"/>
        <v>Q1</v>
      </c>
      <c r="S266">
        <f t="shared" si="57"/>
        <v>1900</v>
      </c>
      <c r="T266" t="str">
        <f t="shared" si="58"/>
        <v>Retail</v>
      </c>
    </row>
    <row r="267" spans="8:20" x14ac:dyDescent="0.3">
      <c r="H267">
        <f t="shared" si="59"/>
        <v>0</v>
      </c>
      <c r="I267">
        <f t="shared" si="48"/>
        <v>0</v>
      </c>
      <c r="J267">
        <f t="shared" si="49"/>
        <v>0</v>
      </c>
      <c r="K267" t="str">
        <f t="shared" si="50"/>
        <v>January</v>
      </c>
      <c r="L267" t="str">
        <f t="shared" si="51"/>
        <v>Q1</v>
      </c>
      <c r="M267" s="2">
        <f t="shared" si="52"/>
        <v>1900</v>
      </c>
      <c r="N267" t="str">
        <f ca="1">IF(COUNTIFS(A$2:A267,A267,O$2:O267,O267)&gt;1,"Repeat","New")</f>
        <v>New</v>
      </c>
      <c r="O267" s="2" t="e">
        <f t="shared" ca="1" si="53"/>
        <v>#VALUE!</v>
      </c>
      <c r="P267" s="3" t="e">
        <f t="shared" ca="1" si="54"/>
        <v>#VALUE!</v>
      </c>
      <c r="Q267" t="str">
        <f t="shared" si="55"/>
        <v>Jan-00</v>
      </c>
      <c r="R267" t="str">
        <f t="shared" si="56"/>
        <v>Q1</v>
      </c>
      <c r="S267">
        <f t="shared" si="57"/>
        <v>1900</v>
      </c>
      <c r="T267" t="str">
        <f t="shared" si="58"/>
        <v>Retail</v>
      </c>
    </row>
    <row r="268" spans="8:20" x14ac:dyDescent="0.3">
      <c r="H268">
        <f t="shared" si="59"/>
        <v>0</v>
      </c>
      <c r="I268">
        <f t="shared" si="48"/>
        <v>0</v>
      </c>
      <c r="J268">
        <f t="shared" si="49"/>
        <v>0</v>
      </c>
      <c r="K268" t="str">
        <f t="shared" si="50"/>
        <v>January</v>
      </c>
      <c r="L268" t="str">
        <f t="shared" si="51"/>
        <v>Q1</v>
      </c>
      <c r="M268" s="2">
        <f t="shared" si="52"/>
        <v>1900</v>
      </c>
      <c r="N268" t="str">
        <f ca="1">IF(COUNTIFS(A$2:A268,A268,O$2:O268,O268)&gt;1,"Repeat","New")</f>
        <v>New</v>
      </c>
      <c r="O268" s="2" t="e">
        <f t="shared" ca="1" si="53"/>
        <v>#VALUE!</v>
      </c>
      <c r="P268" s="3" t="e">
        <f t="shared" ca="1" si="54"/>
        <v>#VALUE!</v>
      </c>
      <c r="Q268" t="str">
        <f t="shared" si="55"/>
        <v>Jan-00</v>
      </c>
      <c r="R268" t="str">
        <f t="shared" si="56"/>
        <v>Q1</v>
      </c>
      <c r="S268">
        <f t="shared" si="57"/>
        <v>1900</v>
      </c>
      <c r="T268" t="str">
        <f t="shared" si="58"/>
        <v>Retail</v>
      </c>
    </row>
    <row r="269" spans="8:20" x14ac:dyDescent="0.3">
      <c r="H269">
        <f t="shared" si="59"/>
        <v>0</v>
      </c>
      <c r="I269">
        <f t="shared" si="48"/>
        <v>0</v>
      </c>
      <c r="J269">
        <f t="shared" si="49"/>
        <v>0</v>
      </c>
      <c r="K269" t="str">
        <f t="shared" si="50"/>
        <v>January</v>
      </c>
      <c r="L269" t="str">
        <f t="shared" si="51"/>
        <v>Q1</v>
      </c>
      <c r="M269" s="2">
        <f t="shared" si="52"/>
        <v>1900</v>
      </c>
      <c r="N269" t="str">
        <f ca="1">IF(COUNTIFS(A$2:A269,A269,O$2:O269,O269)&gt;1,"Repeat","New")</f>
        <v>New</v>
      </c>
      <c r="O269" s="2" t="e">
        <f t="shared" ca="1" si="53"/>
        <v>#VALUE!</v>
      </c>
      <c r="P269" s="3" t="e">
        <f t="shared" ca="1" si="54"/>
        <v>#VALUE!</v>
      </c>
      <c r="Q269" t="str">
        <f t="shared" si="55"/>
        <v>Jan-00</v>
      </c>
      <c r="R269" t="str">
        <f t="shared" si="56"/>
        <v>Q1</v>
      </c>
      <c r="S269">
        <f t="shared" si="57"/>
        <v>1900</v>
      </c>
      <c r="T269" t="str">
        <f t="shared" si="58"/>
        <v>Retail</v>
      </c>
    </row>
    <row r="270" spans="8:20" x14ac:dyDescent="0.3">
      <c r="H270">
        <f t="shared" si="59"/>
        <v>0</v>
      </c>
      <c r="I270">
        <f t="shared" si="48"/>
        <v>0</v>
      </c>
      <c r="J270">
        <f t="shared" si="49"/>
        <v>0</v>
      </c>
      <c r="K270" t="str">
        <f t="shared" si="50"/>
        <v>January</v>
      </c>
      <c r="L270" t="str">
        <f t="shared" si="51"/>
        <v>Q1</v>
      </c>
      <c r="M270" s="2">
        <f t="shared" si="52"/>
        <v>1900</v>
      </c>
      <c r="N270" t="str">
        <f ca="1">IF(COUNTIFS(A$2:A270,A270,O$2:O270,O270)&gt;1,"Repeat","New")</f>
        <v>New</v>
      </c>
      <c r="O270" s="2" t="e">
        <f t="shared" ca="1" si="53"/>
        <v>#VALUE!</v>
      </c>
      <c r="P270" s="3" t="e">
        <f t="shared" ca="1" si="54"/>
        <v>#VALUE!</v>
      </c>
      <c r="Q270" t="str">
        <f t="shared" si="55"/>
        <v>Jan-00</v>
      </c>
      <c r="R270" t="str">
        <f t="shared" si="56"/>
        <v>Q1</v>
      </c>
      <c r="S270">
        <f t="shared" si="57"/>
        <v>1900</v>
      </c>
      <c r="T270" t="str">
        <f t="shared" si="58"/>
        <v>Retail</v>
      </c>
    </row>
    <row r="271" spans="8:20" x14ac:dyDescent="0.3">
      <c r="H271">
        <f t="shared" si="59"/>
        <v>0</v>
      </c>
      <c r="I271">
        <f t="shared" si="48"/>
        <v>0</v>
      </c>
      <c r="J271">
        <f t="shared" si="49"/>
        <v>0</v>
      </c>
      <c r="K271" t="str">
        <f t="shared" si="50"/>
        <v>January</v>
      </c>
      <c r="L271" t="str">
        <f t="shared" si="51"/>
        <v>Q1</v>
      </c>
      <c r="M271" s="2">
        <f t="shared" si="52"/>
        <v>1900</v>
      </c>
      <c r="N271" t="str">
        <f ca="1">IF(COUNTIFS(A$2:A271,A271,O$2:O271,O271)&gt;1,"Repeat","New")</f>
        <v>New</v>
      </c>
      <c r="O271" s="2" t="e">
        <f t="shared" ca="1" si="53"/>
        <v>#VALUE!</v>
      </c>
      <c r="P271" s="3" t="e">
        <f t="shared" ca="1" si="54"/>
        <v>#VALUE!</v>
      </c>
      <c r="Q271" t="str">
        <f t="shared" si="55"/>
        <v>Jan-00</v>
      </c>
      <c r="R271" t="str">
        <f t="shared" si="56"/>
        <v>Q1</v>
      </c>
      <c r="S271">
        <f t="shared" si="57"/>
        <v>1900</v>
      </c>
      <c r="T271" t="str">
        <f t="shared" si="58"/>
        <v>Retail</v>
      </c>
    </row>
    <row r="272" spans="8:20" x14ac:dyDescent="0.3">
      <c r="H272">
        <f t="shared" si="59"/>
        <v>0</v>
      </c>
      <c r="I272">
        <f t="shared" si="48"/>
        <v>0</v>
      </c>
      <c r="J272">
        <f t="shared" si="49"/>
        <v>0</v>
      </c>
      <c r="K272" t="str">
        <f t="shared" si="50"/>
        <v>January</v>
      </c>
      <c r="L272" t="str">
        <f t="shared" si="51"/>
        <v>Q1</v>
      </c>
      <c r="M272" s="2">
        <f t="shared" si="52"/>
        <v>1900</v>
      </c>
      <c r="N272" t="str">
        <f ca="1">IF(COUNTIFS(A$2:A272,A272,O$2:O272,O272)&gt;1,"Repeat","New")</f>
        <v>New</v>
      </c>
      <c r="O272" s="2" t="e">
        <f t="shared" ca="1" si="53"/>
        <v>#VALUE!</v>
      </c>
      <c r="P272" s="3" t="e">
        <f t="shared" ca="1" si="54"/>
        <v>#VALUE!</v>
      </c>
      <c r="Q272" t="str">
        <f t="shared" si="55"/>
        <v>Jan-00</v>
      </c>
      <c r="R272" t="str">
        <f t="shared" si="56"/>
        <v>Q1</v>
      </c>
      <c r="S272">
        <f t="shared" si="57"/>
        <v>1900</v>
      </c>
      <c r="T272" t="str">
        <f t="shared" si="58"/>
        <v>Retail</v>
      </c>
    </row>
    <row r="273" spans="8:20" x14ac:dyDescent="0.3">
      <c r="H273">
        <f t="shared" si="59"/>
        <v>0</v>
      </c>
      <c r="I273">
        <f t="shared" si="48"/>
        <v>0</v>
      </c>
      <c r="J273">
        <f t="shared" si="49"/>
        <v>0</v>
      </c>
      <c r="K273" t="str">
        <f t="shared" si="50"/>
        <v>January</v>
      </c>
      <c r="L273" t="str">
        <f t="shared" si="51"/>
        <v>Q1</v>
      </c>
      <c r="M273" s="2">
        <f t="shared" si="52"/>
        <v>1900</v>
      </c>
      <c r="N273" t="str">
        <f ca="1">IF(COUNTIFS(A$2:A273,A273,O$2:O273,O273)&gt;1,"Repeat","New")</f>
        <v>New</v>
      </c>
      <c r="O273" s="2" t="e">
        <f t="shared" ca="1" si="53"/>
        <v>#VALUE!</v>
      </c>
      <c r="P273" s="3" t="e">
        <f t="shared" ca="1" si="54"/>
        <v>#VALUE!</v>
      </c>
      <c r="Q273" t="str">
        <f t="shared" si="55"/>
        <v>Jan-00</v>
      </c>
      <c r="R273" t="str">
        <f t="shared" si="56"/>
        <v>Q1</v>
      </c>
      <c r="S273">
        <f t="shared" si="57"/>
        <v>1900</v>
      </c>
      <c r="T273" t="str">
        <f t="shared" si="58"/>
        <v>Retail</v>
      </c>
    </row>
    <row r="274" spans="8:20" x14ac:dyDescent="0.3">
      <c r="H274">
        <f t="shared" si="59"/>
        <v>0</v>
      </c>
      <c r="I274">
        <f t="shared" si="48"/>
        <v>0</v>
      </c>
      <c r="J274">
        <f t="shared" si="49"/>
        <v>0</v>
      </c>
      <c r="K274" t="str">
        <f t="shared" si="50"/>
        <v>January</v>
      </c>
      <c r="L274" t="str">
        <f t="shared" si="51"/>
        <v>Q1</v>
      </c>
      <c r="M274" s="2">
        <f t="shared" si="52"/>
        <v>1900</v>
      </c>
      <c r="N274" t="str">
        <f ca="1">IF(COUNTIFS(A$2:A274,A274,O$2:O274,O274)&gt;1,"Repeat","New")</f>
        <v>New</v>
      </c>
      <c r="O274" s="2" t="e">
        <f t="shared" ca="1" si="53"/>
        <v>#VALUE!</v>
      </c>
      <c r="P274" s="3" t="e">
        <f t="shared" ca="1" si="54"/>
        <v>#VALUE!</v>
      </c>
      <c r="Q274" t="str">
        <f t="shared" si="55"/>
        <v>Jan-00</v>
      </c>
      <c r="R274" t="str">
        <f t="shared" si="56"/>
        <v>Q1</v>
      </c>
      <c r="S274">
        <f t="shared" si="57"/>
        <v>1900</v>
      </c>
      <c r="T274" t="str">
        <f t="shared" si="58"/>
        <v>Retail</v>
      </c>
    </row>
    <row r="275" spans="8:20" x14ac:dyDescent="0.3">
      <c r="H275">
        <f t="shared" si="59"/>
        <v>0</v>
      </c>
      <c r="I275">
        <f t="shared" si="48"/>
        <v>0</v>
      </c>
      <c r="J275">
        <f t="shared" si="49"/>
        <v>0</v>
      </c>
      <c r="K275" t="str">
        <f t="shared" si="50"/>
        <v>January</v>
      </c>
      <c r="L275" t="str">
        <f t="shared" si="51"/>
        <v>Q1</v>
      </c>
      <c r="M275" s="2">
        <f t="shared" si="52"/>
        <v>1900</v>
      </c>
      <c r="N275" t="str">
        <f ca="1">IF(COUNTIFS(A$2:A275,A275,O$2:O275,O275)&gt;1,"Repeat","New")</f>
        <v>New</v>
      </c>
      <c r="O275" s="2" t="e">
        <f t="shared" ca="1" si="53"/>
        <v>#VALUE!</v>
      </c>
      <c r="P275" s="3" t="e">
        <f t="shared" ca="1" si="54"/>
        <v>#VALUE!</v>
      </c>
      <c r="Q275" t="str">
        <f t="shared" si="55"/>
        <v>Jan-00</v>
      </c>
      <c r="R275" t="str">
        <f t="shared" si="56"/>
        <v>Q1</v>
      </c>
      <c r="S275">
        <f t="shared" si="57"/>
        <v>1900</v>
      </c>
      <c r="T275" t="str">
        <f t="shared" si="58"/>
        <v>Retail</v>
      </c>
    </row>
    <row r="276" spans="8:20" x14ac:dyDescent="0.3">
      <c r="H276">
        <f t="shared" si="59"/>
        <v>0</v>
      </c>
      <c r="I276">
        <f t="shared" si="48"/>
        <v>0</v>
      </c>
      <c r="J276">
        <f t="shared" si="49"/>
        <v>0</v>
      </c>
      <c r="K276" t="str">
        <f t="shared" si="50"/>
        <v>January</v>
      </c>
      <c r="L276" t="str">
        <f t="shared" si="51"/>
        <v>Q1</v>
      </c>
      <c r="M276" s="2">
        <f t="shared" si="52"/>
        <v>1900</v>
      </c>
      <c r="N276" t="str">
        <f ca="1">IF(COUNTIFS(A$2:A276,A276,O$2:O276,O276)&gt;1,"Repeat","New")</f>
        <v>New</v>
      </c>
      <c r="O276" s="2" t="e">
        <f t="shared" ca="1" si="53"/>
        <v>#VALUE!</v>
      </c>
      <c r="P276" s="3" t="e">
        <f t="shared" ca="1" si="54"/>
        <v>#VALUE!</v>
      </c>
      <c r="Q276" t="str">
        <f t="shared" si="55"/>
        <v>Jan-00</v>
      </c>
      <c r="R276" t="str">
        <f t="shared" si="56"/>
        <v>Q1</v>
      </c>
      <c r="S276">
        <f t="shared" si="57"/>
        <v>1900</v>
      </c>
      <c r="T276" t="str">
        <f t="shared" si="58"/>
        <v>Retail</v>
      </c>
    </row>
    <row r="277" spans="8:20" x14ac:dyDescent="0.3">
      <c r="H277">
        <f t="shared" si="59"/>
        <v>0</v>
      </c>
      <c r="I277">
        <f t="shared" si="48"/>
        <v>0</v>
      </c>
      <c r="J277">
        <f t="shared" si="49"/>
        <v>0</v>
      </c>
      <c r="K277" t="str">
        <f t="shared" si="50"/>
        <v>January</v>
      </c>
      <c r="L277" t="str">
        <f t="shared" si="51"/>
        <v>Q1</v>
      </c>
      <c r="M277" s="2">
        <f t="shared" si="52"/>
        <v>1900</v>
      </c>
      <c r="N277" t="str">
        <f ca="1">IF(COUNTIFS(A$2:A277,A277,O$2:O277,O277)&gt;1,"Repeat","New")</f>
        <v>New</v>
      </c>
      <c r="O277" s="2" t="e">
        <f t="shared" ca="1" si="53"/>
        <v>#VALUE!</v>
      </c>
      <c r="P277" s="3" t="e">
        <f t="shared" ca="1" si="54"/>
        <v>#VALUE!</v>
      </c>
      <c r="Q277" t="str">
        <f t="shared" si="55"/>
        <v>Jan-00</v>
      </c>
      <c r="R277" t="str">
        <f t="shared" si="56"/>
        <v>Q1</v>
      </c>
      <c r="S277">
        <f t="shared" si="57"/>
        <v>1900</v>
      </c>
      <c r="T277" t="str">
        <f t="shared" si="58"/>
        <v>Retail</v>
      </c>
    </row>
    <row r="278" spans="8:20" x14ac:dyDescent="0.3">
      <c r="H278">
        <f t="shared" si="59"/>
        <v>0</v>
      </c>
      <c r="I278">
        <f t="shared" si="48"/>
        <v>0</v>
      </c>
      <c r="J278">
        <f t="shared" si="49"/>
        <v>0</v>
      </c>
      <c r="K278" t="str">
        <f t="shared" si="50"/>
        <v>January</v>
      </c>
      <c r="L278" t="str">
        <f t="shared" si="51"/>
        <v>Q1</v>
      </c>
      <c r="M278" s="2">
        <f t="shared" si="52"/>
        <v>1900</v>
      </c>
      <c r="N278" t="str">
        <f ca="1">IF(COUNTIFS(A$2:A278,A278,O$2:O278,O278)&gt;1,"Repeat","New")</f>
        <v>New</v>
      </c>
      <c r="O278" s="2" t="e">
        <f t="shared" ca="1" si="53"/>
        <v>#VALUE!</v>
      </c>
      <c r="P278" s="3" t="e">
        <f t="shared" ca="1" si="54"/>
        <v>#VALUE!</v>
      </c>
      <c r="Q278" t="str">
        <f t="shared" si="55"/>
        <v>Jan-00</v>
      </c>
      <c r="R278" t="str">
        <f t="shared" si="56"/>
        <v>Q1</v>
      </c>
      <c r="S278">
        <f t="shared" si="57"/>
        <v>1900</v>
      </c>
      <c r="T278" t="str">
        <f t="shared" si="58"/>
        <v>Retail</v>
      </c>
    </row>
    <row r="279" spans="8:20" x14ac:dyDescent="0.3">
      <c r="H279">
        <f t="shared" si="59"/>
        <v>0</v>
      </c>
      <c r="I279">
        <f t="shared" si="48"/>
        <v>0</v>
      </c>
      <c r="J279">
        <f t="shared" si="49"/>
        <v>0</v>
      </c>
      <c r="K279" t="str">
        <f t="shared" si="50"/>
        <v>January</v>
      </c>
      <c r="L279" t="str">
        <f t="shared" si="51"/>
        <v>Q1</v>
      </c>
      <c r="M279" s="2">
        <f t="shared" si="52"/>
        <v>1900</v>
      </c>
      <c r="N279" t="str">
        <f ca="1">IF(COUNTIFS(A$2:A279,A279,O$2:O279,O279)&gt;1,"Repeat","New")</f>
        <v>New</v>
      </c>
      <c r="O279" s="2" t="e">
        <f t="shared" ca="1" si="53"/>
        <v>#VALUE!</v>
      </c>
      <c r="P279" s="3" t="e">
        <f t="shared" ca="1" si="54"/>
        <v>#VALUE!</v>
      </c>
      <c r="Q279" t="str">
        <f t="shared" si="55"/>
        <v>Jan-00</v>
      </c>
      <c r="R279" t="str">
        <f t="shared" si="56"/>
        <v>Q1</v>
      </c>
      <c r="S279">
        <f t="shared" si="57"/>
        <v>1900</v>
      </c>
      <c r="T279" t="str">
        <f t="shared" si="58"/>
        <v>Retail</v>
      </c>
    </row>
    <row r="280" spans="8:20" x14ac:dyDescent="0.3">
      <c r="H280">
        <f t="shared" si="59"/>
        <v>0</v>
      </c>
      <c r="I280">
        <f t="shared" si="48"/>
        <v>0</v>
      </c>
      <c r="J280">
        <f t="shared" si="49"/>
        <v>0</v>
      </c>
      <c r="K280" t="str">
        <f t="shared" si="50"/>
        <v>January</v>
      </c>
      <c r="L280" t="str">
        <f t="shared" si="51"/>
        <v>Q1</v>
      </c>
      <c r="M280" s="2">
        <f t="shared" si="52"/>
        <v>1900</v>
      </c>
      <c r="N280" t="str">
        <f ca="1">IF(COUNTIFS(A$2:A280,A280,O$2:O280,O280)&gt;1,"Repeat","New")</f>
        <v>New</v>
      </c>
      <c r="O280" s="2" t="e">
        <f t="shared" ca="1" si="53"/>
        <v>#VALUE!</v>
      </c>
      <c r="P280" s="3" t="e">
        <f t="shared" ca="1" si="54"/>
        <v>#VALUE!</v>
      </c>
      <c r="Q280" t="str">
        <f t="shared" si="55"/>
        <v>Jan-00</v>
      </c>
      <c r="R280" t="str">
        <f t="shared" si="56"/>
        <v>Q1</v>
      </c>
      <c r="S280">
        <f t="shared" si="57"/>
        <v>1900</v>
      </c>
      <c r="T280" t="str">
        <f t="shared" si="58"/>
        <v>Retail</v>
      </c>
    </row>
    <row r="281" spans="8:20" x14ac:dyDescent="0.3">
      <c r="H281">
        <f t="shared" si="59"/>
        <v>0</v>
      </c>
      <c r="I281">
        <f t="shared" si="48"/>
        <v>0</v>
      </c>
      <c r="J281">
        <f t="shared" si="49"/>
        <v>0</v>
      </c>
      <c r="K281" t="str">
        <f t="shared" si="50"/>
        <v>January</v>
      </c>
      <c r="L281" t="str">
        <f t="shared" si="51"/>
        <v>Q1</v>
      </c>
      <c r="M281" s="2">
        <f t="shared" si="52"/>
        <v>1900</v>
      </c>
      <c r="N281" t="str">
        <f ca="1">IF(COUNTIFS(A$2:A281,A281,O$2:O281,O281)&gt;1,"Repeat","New")</f>
        <v>New</v>
      </c>
      <c r="O281" s="2" t="e">
        <f t="shared" ca="1" si="53"/>
        <v>#VALUE!</v>
      </c>
      <c r="P281" s="3" t="e">
        <f t="shared" ca="1" si="54"/>
        <v>#VALUE!</v>
      </c>
      <c r="Q281" t="str">
        <f t="shared" si="55"/>
        <v>Jan-00</v>
      </c>
      <c r="R281" t="str">
        <f t="shared" si="56"/>
        <v>Q1</v>
      </c>
      <c r="S281">
        <f t="shared" si="57"/>
        <v>1900</v>
      </c>
      <c r="T281" t="str">
        <f t="shared" si="58"/>
        <v>Retail</v>
      </c>
    </row>
    <row r="282" spans="8:20" x14ac:dyDescent="0.3">
      <c r="H282">
        <f t="shared" si="59"/>
        <v>0</v>
      </c>
      <c r="I282">
        <f t="shared" si="48"/>
        <v>0</v>
      </c>
      <c r="J282">
        <f t="shared" si="49"/>
        <v>0</v>
      </c>
      <c r="K282" t="str">
        <f t="shared" si="50"/>
        <v>January</v>
      </c>
      <c r="L282" t="str">
        <f t="shared" si="51"/>
        <v>Q1</v>
      </c>
      <c r="M282" s="2">
        <f t="shared" si="52"/>
        <v>1900</v>
      </c>
      <c r="N282" t="str">
        <f ca="1">IF(COUNTIFS(A$2:A282,A282,O$2:O282,O282)&gt;1,"Repeat","New")</f>
        <v>New</v>
      </c>
      <c r="O282" s="2" t="e">
        <f t="shared" ca="1" si="53"/>
        <v>#VALUE!</v>
      </c>
      <c r="P282" s="3" t="e">
        <f t="shared" ca="1" si="54"/>
        <v>#VALUE!</v>
      </c>
      <c r="Q282" t="str">
        <f t="shared" si="55"/>
        <v>Jan-00</v>
      </c>
      <c r="R282" t="str">
        <f t="shared" si="56"/>
        <v>Q1</v>
      </c>
      <c r="S282">
        <f t="shared" si="57"/>
        <v>1900</v>
      </c>
      <c r="T282" t="str">
        <f t="shared" si="58"/>
        <v>Retail</v>
      </c>
    </row>
    <row r="283" spans="8:20" x14ac:dyDescent="0.3">
      <c r="H283">
        <f t="shared" si="59"/>
        <v>0</v>
      </c>
      <c r="I283">
        <f t="shared" si="48"/>
        <v>0</v>
      </c>
      <c r="J283">
        <f t="shared" si="49"/>
        <v>0</v>
      </c>
      <c r="K283" t="str">
        <f t="shared" si="50"/>
        <v>January</v>
      </c>
      <c r="L283" t="str">
        <f t="shared" si="51"/>
        <v>Q1</v>
      </c>
      <c r="M283" s="2">
        <f t="shared" si="52"/>
        <v>1900</v>
      </c>
      <c r="N283" t="str">
        <f ca="1">IF(COUNTIFS(A$2:A283,A283,O$2:O283,O283)&gt;1,"Repeat","New")</f>
        <v>New</v>
      </c>
      <c r="O283" s="2" t="e">
        <f t="shared" ca="1" si="53"/>
        <v>#VALUE!</v>
      </c>
      <c r="P283" s="3" t="e">
        <f t="shared" ca="1" si="54"/>
        <v>#VALUE!</v>
      </c>
      <c r="Q283" t="str">
        <f t="shared" si="55"/>
        <v>Jan-00</v>
      </c>
      <c r="R283" t="str">
        <f t="shared" si="56"/>
        <v>Q1</v>
      </c>
      <c r="S283">
        <f t="shared" si="57"/>
        <v>1900</v>
      </c>
      <c r="T283" t="str">
        <f t="shared" si="58"/>
        <v>Retail</v>
      </c>
    </row>
    <row r="284" spans="8:20" x14ac:dyDescent="0.3">
      <c r="H284">
        <f t="shared" si="59"/>
        <v>0</v>
      </c>
      <c r="I284">
        <f t="shared" si="48"/>
        <v>0</v>
      </c>
      <c r="J284">
        <f t="shared" si="49"/>
        <v>0</v>
      </c>
      <c r="K284" t="str">
        <f t="shared" si="50"/>
        <v>January</v>
      </c>
      <c r="L284" t="str">
        <f t="shared" si="51"/>
        <v>Q1</v>
      </c>
      <c r="M284" s="2">
        <f t="shared" si="52"/>
        <v>1900</v>
      </c>
      <c r="N284" t="str">
        <f ca="1">IF(COUNTIFS(A$2:A284,A284,O$2:O284,O284)&gt;1,"Repeat","New")</f>
        <v>New</v>
      </c>
      <c r="O284" s="2" t="e">
        <f t="shared" ca="1" si="53"/>
        <v>#VALUE!</v>
      </c>
      <c r="P284" s="3" t="e">
        <f t="shared" ca="1" si="54"/>
        <v>#VALUE!</v>
      </c>
      <c r="Q284" t="str">
        <f t="shared" si="55"/>
        <v>Jan-00</v>
      </c>
      <c r="R284" t="str">
        <f t="shared" si="56"/>
        <v>Q1</v>
      </c>
      <c r="S284">
        <f t="shared" si="57"/>
        <v>1900</v>
      </c>
      <c r="T284" t="str">
        <f t="shared" si="58"/>
        <v>Retail</v>
      </c>
    </row>
    <row r="285" spans="8:20" x14ac:dyDescent="0.3">
      <c r="H285">
        <f t="shared" si="59"/>
        <v>0</v>
      </c>
      <c r="I285">
        <f t="shared" si="48"/>
        <v>0</v>
      </c>
      <c r="J285">
        <f t="shared" si="49"/>
        <v>0</v>
      </c>
      <c r="K285" t="str">
        <f t="shared" si="50"/>
        <v>January</v>
      </c>
      <c r="L285" t="str">
        <f t="shared" si="51"/>
        <v>Q1</v>
      </c>
      <c r="M285" s="2">
        <f t="shared" si="52"/>
        <v>1900</v>
      </c>
      <c r="N285" t="str">
        <f ca="1">IF(COUNTIFS(A$2:A285,A285,O$2:O285,O285)&gt;1,"Repeat","New")</f>
        <v>New</v>
      </c>
      <c r="O285" s="2" t="e">
        <f t="shared" ca="1" si="53"/>
        <v>#VALUE!</v>
      </c>
      <c r="P285" s="3" t="e">
        <f t="shared" ca="1" si="54"/>
        <v>#VALUE!</v>
      </c>
      <c r="Q285" t="str">
        <f t="shared" si="55"/>
        <v>Jan-00</v>
      </c>
      <c r="R285" t="str">
        <f t="shared" si="56"/>
        <v>Q1</v>
      </c>
      <c r="S285">
        <f t="shared" si="57"/>
        <v>1900</v>
      </c>
      <c r="T285" t="str">
        <f t="shared" si="58"/>
        <v>Retail</v>
      </c>
    </row>
    <row r="286" spans="8:20" x14ac:dyDescent="0.3">
      <c r="H286">
        <f t="shared" si="59"/>
        <v>0</v>
      </c>
      <c r="I286">
        <f t="shared" si="48"/>
        <v>0</v>
      </c>
      <c r="J286">
        <f t="shared" si="49"/>
        <v>0</v>
      </c>
      <c r="K286" t="str">
        <f t="shared" si="50"/>
        <v>January</v>
      </c>
      <c r="L286" t="str">
        <f t="shared" si="51"/>
        <v>Q1</v>
      </c>
      <c r="M286" s="2">
        <f t="shared" si="52"/>
        <v>1900</v>
      </c>
      <c r="N286" t="str">
        <f ca="1">IF(COUNTIFS(A$2:A286,A286,O$2:O286,O286)&gt;1,"Repeat","New")</f>
        <v>New</v>
      </c>
      <c r="O286" s="2" t="e">
        <f t="shared" ca="1" si="53"/>
        <v>#VALUE!</v>
      </c>
      <c r="P286" s="3" t="e">
        <f t="shared" ca="1" si="54"/>
        <v>#VALUE!</v>
      </c>
      <c r="Q286" t="str">
        <f t="shared" si="55"/>
        <v>Jan-00</v>
      </c>
      <c r="R286" t="str">
        <f t="shared" si="56"/>
        <v>Q1</v>
      </c>
      <c r="S286">
        <f t="shared" si="57"/>
        <v>1900</v>
      </c>
      <c r="T286" t="str">
        <f t="shared" si="58"/>
        <v>Retail</v>
      </c>
    </row>
    <row r="287" spans="8:20" x14ac:dyDescent="0.3">
      <c r="H287">
        <f t="shared" si="59"/>
        <v>0</v>
      </c>
      <c r="I287">
        <f t="shared" si="48"/>
        <v>0</v>
      </c>
      <c r="J287">
        <f t="shared" si="49"/>
        <v>0</v>
      </c>
      <c r="K287" t="str">
        <f t="shared" si="50"/>
        <v>January</v>
      </c>
      <c r="L287" t="str">
        <f t="shared" si="51"/>
        <v>Q1</v>
      </c>
      <c r="M287" s="2">
        <f t="shared" si="52"/>
        <v>1900</v>
      </c>
      <c r="N287" t="str">
        <f ca="1">IF(COUNTIFS(A$2:A287,A287,O$2:O287,O287)&gt;1,"Repeat","New")</f>
        <v>New</v>
      </c>
      <c r="O287" s="2" t="e">
        <f t="shared" ca="1" si="53"/>
        <v>#VALUE!</v>
      </c>
      <c r="P287" s="3" t="e">
        <f t="shared" ca="1" si="54"/>
        <v>#VALUE!</v>
      </c>
      <c r="Q287" t="str">
        <f t="shared" si="55"/>
        <v>Jan-00</v>
      </c>
      <c r="R287" t="str">
        <f t="shared" si="56"/>
        <v>Q1</v>
      </c>
      <c r="S287">
        <f t="shared" si="57"/>
        <v>1900</v>
      </c>
      <c r="T287" t="str">
        <f t="shared" si="58"/>
        <v>Retail</v>
      </c>
    </row>
    <row r="288" spans="8:20" x14ac:dyDescent="0.3">
      <c r="H288">
        <f t="shared" si="59"/>
        <v>0</v>
      </c>
      <c r="I288">
        <f t="shared" si="48"/>
        <v>0</v>
      </c>
      <c r="J288">
        <f t="shared" si="49"/>
        <v>0</v>
      </c>
      <c r="K288" t="str">
        <f t="shared" si="50"/>
        <v>January</v>
      </c>
      <c r="L288" t="str">
        <f t="shared" si="51"/>
        <v>Q1</v>
      </c>
      <c r="M288" s="2">
        <f t="shared" si="52"/>
        <v>1900</v>
      </c>
      <c r="N288" t="str">
        <f ca="1">IF(COUNTIFS(A$2:A288,A288,O$2:O288,O288)&gt;1,"Repeat","New")</f>
        <v>New</v>
      </c>
      <c r="O288" s="2" t="e">
        <f t="shared" ca="1" si="53"/>
        <v>#VALUE!</v>
      </c>
      <c r="P288" s="3" t="e">
        <f t="shared" ca="1" si="54"/>
        <v>#VALUE!</v>
      </c>
      <c r="Q288" t="str">
        <f t="shared" si="55"/>
        <v>Jan-00</v>
      </c>
      <c r="R288" t="str">
        <f t="shared" si="56"/>
        <v>Q1</v>
      </c>
      <c r="S288">
        <f t="shared" si="57"/>
        <v>1900</v>
      </c>
      <c r="T288" t="str">
        <f t="shared" si="58"/>
        <v>Retail</v>
      </c>
    </row>
    <row r="289" spans="8:20" x14ac:dyDescent="0.3">
      <c r="H289">
        <f t="shared" si="59"/>
        <v>0</v>
      </c>
      <c r="I289">
        <f t="shared" si="48"/>
        <v>0</v>
      </c>
      <c r="J289">
        <f t="shared" si="49"/>
        <v>0</v>
      </c>
      <c r="K289" t="str">
        <f t="shared" si="50"/>
        <v>January</v>
      </c>
      <c r="L289" t="str">
        <f t="shared" si="51"/>
        <v>Q1</v>
      </c>
      <c r="M289" s="2">
        <f t="shared" si="52"/>
        <v>1900</v>
      </c>
      <c r="N289" t="str">
        <f ca="1">IF(COUNTIFS(A$2:A289,A289,O$2:O289,O289)&gt;1,"Repeat","New")</f>
        <v>New</v>
      </c>
      <c r="O289" s="2" t="e">
        <f t="shared" ca="1" si="53"/>
        <v>#VALUE!</v>
      </c>
      <c r="P289" s="3" t="e">
        <f t="shared" ca="1" si="54"/>
        <v>#VALUE!</v>
      </c>
      <c r="Q289" t="str">
        <f t="shared" si="55"/>
        <v>Jan-00</v>
      </c>
      <c r="R289" t="str">
        <f t="shared" si="56"/>
        <v>Q1</v>
      </c>
      <c r="S289">
        <f t="shared" si="57"/>
        <v>1900</v>
      </c>
      <c r="T289" t="str">
        <f t="shared" si="58"/>
        <v>Retail</v>
      </c>
    </row>
    <row r="290" spans="8:20" x14ac:dyDescent="0.3">
      <c r="H290">
        <f t="shared" si="59"/>
        <v>0</v>
      </c>
      <c r="I290">
        <f t="shared" si="48"/>
        <v>0</v>
      </c>
      <c r="J290">
        <f t="shared" si="49"/>
        <v>0</v>
      </c>
      <c r="K290" t="str">
        <f t="shared" si="50"/>
        <v>January</v>
      </c>
      <c r="L290" t="str">
        <f t="shared" si="51"/>
        <v>Q1</v>
      </c>
      <c r="M290" s="2">
        <f t="shared" si="52"/>
        <v>1900</v>
      </c>
      <c r="N290" t="str">
        <f ca="1">IF(COUNTIFS(A$2:A290,A290,O$2:O290,O290)&gt;1,"Repeat","New")</f>
        <v>New</v>
      </c>
      <c r="O290" s="2" t="e">
        <f t="shared" ca="1" si="53"/>
        <v>#VALUE!</v>
      </c>
      <c r="P290" s="3" t="e">
        <f t="shared" ca="1" si="54"/>
        <v>#VALUE!</v>
      </c>
      <c r="Q290" t="str">
        <f t="shared" si="55"/>
        <v>Jan-00</v>
      </c>
      <c r="R290" t="str">
        <f t="shared" si="56"/>
        <v>Q1</v>
      </c>
      <c r="S290">
        <f t="shared" si="57"/>
        <v>1900</v>
      </c>
      <c r="T290" t="str">
        <f t="shared" si="58"/>
        <v>Retail</v>
      </c>
    </row>
    <row r="291" spans="8:20" x14ac:dyDescent="0.3">
      <c r="H291">
        <f t="shared" si="59"/>
        <v>0</v>
      </c>
      <c r="I291">
        <f t="shared" si="48"/>
        <v>0</v>
      </c>
      <c r="J291">
        <f t="shared" si="49"/>
        <v>0</v>
      </c>
      <c r="K291" t="str">
        <f t="shared" si="50"/>
        <v>January</v>
      </c>
      <c r="L291" t="str">
        <f t="shared" si="51"/>
        <v>Q1</v>
      </c>
      <c r="M291" s="2">
        <f t="shared" si="52"/>
        <v>1900</v>
      </c>
      <c r="N291" t="str">
        <f ca="1">IF(COUNTIFS(A$2:A291,A291,O$2:O291,O291)&gt;1,"Repeat","New")</f>
        <v>New</v>
      </c>
      <c r="O291" s="2" t="e">
        <f t="shared" ca="1" si="53"/>
        <v>#VALUE!</v>
      </c>
      <c r="P291" s="3" t="e">
        <f t="shared" ca="1" si="54"/>
        <v>#VALUE!</v>
      </c>
      <c r="Q291" t="str">
        <f t="shared" si="55"/>
        <v>Jan-00</v>
      </c>
      <c r="R291" t="str">
        <f t="shared" si="56"/>
        <v>Q1</v>
      </c>
      <c r="S291">
        <f t="shared" si="57"/>
        <v>1900</v>
      </c>
      <c r="T291" t="str">
        <f t="shared" si="58"/>
        <v>Retail</v>
      </c>
    </row>
    <row r="292" spans="8:20" x14ac:dyDescent="0.3">
      <c r="H292">
        <f t="shared" si="59"/>
        <v>0</v>
      </c>
      <c r="I292">
        <f t="shared" si="48"/>
        <v>0</v>
      </c>
      <c r="J292">
        <f t="shared" si="49"/>
        <v>0</v>
      </c>
      <c r="K292" t="str">
        <f t="shared" si="50"/>
        <v>January</v>
      </c>
      <c r="L292" t="str">
        <f t="shared" si="51"/>
        <v>Q1</v>
      </c>
      <c r="M292" s="2">
        <f t="shared" si="52"/>
        <v>1900</v>
      </c>
      <c r="N292" t="str">
        <f ca="1">IF(COUNTIFS(A$2:A292,A292,O$2:O292,O292)&gt;1,"Repeat","New")</f>
        <v>New</v>
      </c>
      <c r="O292" s="2" t="e">
        <f t="shared" ca="1" si="53"/>
        <v>#VALUE!</v>
      </c>
      <c r="P292" s="3" t="e">
        <f t="shared" ca="1" si="54"/>
        <v>#VALUE!</v>
      </c>
      <c r="Q292" t="str">
        <f t="shared" si="55"/>
        <v>Jan-00</v>
      </c>
      <c r="R292" t="str">
        <f t="shared" si="56"/>
        <v>Q1</v>
      </c>
      <c r="S292">
        <f t="shared" si="57"/>
        <v>1900</v>
      </c>
      <c r="T292" t="str">
        <f t="shared" si="58"/>
        <v>Retail</v>
      </c>
    </row>
    <row r="293" spans="8:20" x14ac:dyDescent="0.3">
      <c r="H293">
        <f t="shared" si="59"/>
        <v>0</v>
      </c>
      <c r="I293">
        <f t="shared" si="48"/>
        <v>0</v>
      </c>
      <c r="J293">
        <f t="shared" si="49"/>
        <v>0</v>
      </c>
      <c r="K293" t="str">
        <f t="shared" si="50"/>
        <v>January</v>
      </c>
      <c r="L293" t="str">
        <f t="shared" si="51"/>
        <v>Q1</v>
      </c>
      <c r="M293" s="2">
        <f t="shared" si="52"/>
        <v>1900</v>
      </c>
      <c r="N293" t="str">
        <f ca="1">IF(COUNTIFS(A$2:A293,A293,O$2:O293,O293)&gt;1,"Repeat","New")</f>
        <v>New</v>
      </c>
      <c r="O293" s="2" t="e">
        <f t="shared" ca="1" si="53"/>
        <v>#VALUE!</v>
      </c>
      <c r="P293" s="3" t="e">
        <f t="shared" ca="1" si="54"/>
        <v>#VALUE!</v>
      </c>
      <c r="Q293" t="str">
        <f t="shared" si="55"/>
        <v>Jan-00</v>
      </c>
      <c r="R293" t="str">
        <f t="shared" si="56"/>
        <v>Q1</v>
      </c>
      <c r="S293">
        <f t="shared" si="57"/>
        <v>1900</v>
      </c>
      <c r="T293" t="str">
        <f t="shared" si="58"/>
        <v>Retail</v>
      </c>
    </row>
    <row r="294" spans="8:20" x14ac:dyDescent="0.3">
      <c r="H294">
        <f t="shared" si="59"/>
        <v>0</v>
      </c>
      <c r="I294">
        <f t="shared" si="48"/>
        <v>0</v>
      </c>
      <c r="J294">
        <f t="shared" si="49"/>
        <v>0</v>
      </c>
      <c r="K294" t="str">
        <f t="shared" si="50"/>
        <v>January</v>
      </c>
      <c r="L294" t="str">
        <f t="shared" si="51"/>
        <v>Q1</v>
      </c>
      <c r="M294" s="2">
        <f t="shared" si="52"/>
        <v>1900</v>
      </c>
      <c r="N294" t="str">
        <f ca="1">IF(COUNTIFS(A$2:A294,A294,O$2:O294,O294)&gt;1,"Repeat","New")</f>
        <v>New</v>
      </c>
      <c r="O294" s="2" t="e">
        <f t="shared" ca="1" si="53"/>
        <v>#VALUE!</v>
      </c>
      <c r="P294" s="3" t="e">
        <f t="shared" ca="1" si="54"/>
        <v>#VALUE!</v>
      </c>
      <c r="Q294" t="str">
        <f t="shared" si="55"/>
        <v>Jan-00</v>
      </c>
      <c r="R294" t="str">
        <f t="shared" si="56"/>
        <v>Q1</v>
      </c>
      <c r="S294">
        <f t="shared" si="57"/>
        <v>1900</v>
      </c>
      <c r="T294" t="str">
        <f t="shared" si="58"/>
        <v>Retail</v>
      </c>
    </row>
    <row r="295" spans="8:20" x14ac:dyDescent="0.3">
      <c r="H295">
        <f t="shared" si="59"/>
        <v>0</v>
      </c>
      <c r="I295">
        <f t="shared" si="48"/>
        <v>0</v>
      </c>
      <c r="J295">
        <f t="shared" si="49"/>
        <v>0</v>
      </c>
      <c r="K295" t="str">
        <f t="shared" si="50"/>
        <v>January</v>
      </c>
      <c r="L295" t="str">
        <f t="shared" si="51"/>
        <v>Q1</v>
      </c>
      <c r="M295" s="2">
        <f t="shared" si="52"/>
        <v>1900</v>
      </c>
      <c r="N295" t="str">
        <f ca="1">IF(COUNTIFS(A$2:A295,A295,O$2:O295,O295)&gt;1,"Repeat","New")</f>
        <v>New</v>
      </c>
      <c r="O295" s="2" t="e">
        <f t="shared" ca="1" si="53"/>
        <v>#VALUE!</v>
      </c>
      <c r="P295" s="3" t="e">
        <f t="shared" ca="1" si="54"/>
        <v>#VALUE!</v>
      </c>
      <c r="Q295" t="str">
        <f t="shared" si="55"/>
        <v>Jan-00</v>
      </c>
      <c r="R295" t="str">
        <f t="shared" si="56"/>
        <v>Q1</v>
      </c>
      <c r="S295">
        <f t="shared" si="57"/>
        <v>1900</v>
      </c>
      <c r="T295" t="str">
        <f t="shared" si="58"/>
        <v>Retail</v>
      </c>
    </row>
    <row r="296" spans="8:20" x14ac:dyDescent="0.3">
      <c r="H296">
        <f t="shared" si="59"/>
        <v>0</v>
      </c>
      <c r="I296">
        <f t="shared" si="48"/>
        <v>0</v>
      </c>
      <c r="J296">
        <f t="shared" si="49"/>
        <v>0</v>
      </c>
      <c r="K296" t="str">
        <f t="shared" si="50"/>
        <v>January</v>
      </c>
      <c r="L296" t="str">
        <f t="shared" si="51"/>
        <v>Q1</v>
      </c>
      <c r="M296" s="2">
        <f t="shared" si="52"/>
        <v>1900</v>
      </c>
      <c r="N296" t="str">
        <f ca="1">IF(COUNTIFS(A$2:A296,A296,O$2:O296,O296)&gt;1,"Repeat","New")</f>
        <v>New</v>
      </c>
      <c r="O296" s="2" t="e">
        <f t="shared" ca="1" si="53"/>
        <v>#VALUE!</v>
      </c>
      <c r="P296" s="3" t="e">
        <f t="shared" ca="1" si="54"/>
        <v>#VALUE!</v>
      </c>
      <c r="Q296" t="str">
        <f t="shared" si="55"/>
        <v>Jan-00</v>
      </c>
      <c r="R296" t="str">
        <f t="shared" si="56"/>
        <v>Q1</v>
      </c>
      <c r="S296">
        <f t="shared" si="57"/>
        <v>1900</v>
      </c>
      <c r="T296" t="str">
        <f t="shared" si="58"/>
        <v>Retail</v>
      </c>
    </row>
    <row r="297" spans="8:20" x14ac:dyDescent="0.3">
      <c r="H297">
        <f t="shared" si="59"/>
        <v>0</v>
      </c>
      <c r="I297">
        <f t="shared" si="48"/>
        <v>0</v>
      </c>
      <c r="J297">
        <f t="shared" si="49"/>
        <v>0</v>
      </c>
      <c r="K297" t="str">
        <f t="shared" si="50"/>
        <v>January</v>
      </c>
      <c r="L297" t="str">
        <f t="shared" si="51"/>
        <v>Q1</v>
      </c>
      <c r="M297" s="2">
        <f t="shared" si="52"/>
        <v>1900</v>
      </c>
      <c r="N297" t="str">
        <f ca="1">IF(COUNTIFS(A$2:A297,A297,O$2:O297,O297)&gt;1,"Repeat","New")</f>
        <v>New</v>
      </c>
      <c r="O297" s="2" t="e">
        <f t="shared" ca="1" si="53"/>
        <v>#VALUE!</v>
      </c>
      <c r="P297" s="3" t="e">
        <f t="shared" ca="1" si="54"/>
        <v>#VALUE!</v>
      </c>
      <c r="Q297" t="str">
        <f t="shared" si="55"/>
        <v>Jan-00</v>
      </c>
      <c r="R297" t="str">
        <f t="shared" si="56"/>
        <v>Q1</v>
      </c>
      <c r="S297">
        <f t="shared" si="57"/>
        <v>1900</v>
      </c>
      <c r="T297" t="str">
        <f t="shared" si="58"/>
        <v>Retail</v>
      </c>
    </row>
    <row r="298" spans="8:20" x14ac:dyDescent="0.3">
      <c r="H298">
        <f t="shared" si="59"/>
        <v>0</v>
      </c>
      <c r="I298">
        <f t="shared" si="48"/>
        <v>0</v>
      </c>
      <c r="J298">
        <f t="shared" si="49"/>
        <v>0</v>
      </c>
      <c r="K298" t="str">
        <f t="shared" si="50"/>
        <v>January</v>
      </c>
      <c r="L298" t="str">
        <f t="shared" si="51"/>
        <v>Q1</v>
      </c>
      <c r="M298" s="2">
        <f t="shared" si="52"/>
        <v>1900</v>
      </c>
      <c r="N298" t="str">
        <f ca="1">IF(COUNTIFS(A$2:A298,A298,O$2:O298,O298)&gt;1,"Repeat","New")</f>
        <v>New</v>
      </c>
      <c r="O298" s="2" t="e">
        <f t="shared" ca="1" si="53"/>
        <v>#VALUE!</v>
      </c>
      <c r="P298" s="3" t="e">
        <f t="shared" ca="1" si="54"/>
        <v>#VALUE!</v>
      </c>
      <c r="Q298" t="str">
        <f t="shared" si="55"/>
        <v>Jan-00</v>
      </c>
      <c r="R298" t="str">
        <f t="shared" si="56"/>
        <v>Q1</v>
      </c>
      <c r="S298">
        <f t="shared" si="57"/>
        <v>1900</v>
      </c>
      <c r="T298" t="str">
        <f t="shared" si="58"/>
        <v>Retail</v>
      </c>
    </row>
    <row r="299" spans="8:20" x14ac:dyDescent="0.3">
      <c r="H299">
        <f t="shared" si="59"/>
        <v>0</v>
      </c>
      <c r="I299">
        <f t="shared" si="48"/>
        <v>0</v>
      </c>
      <c r="J299">
        <f t="shared" si="49"/>
        <v>0</v>
      </c>
      <c r="K299" t="str">
        <f t="shared" si="50"/>
        <v>January</v>
      </c>
      <c r="L299" t="str">
        <f t="shared" si="51"/>
        <v>Q1</v>
      </c>
      <c r="M299" s="2">
        <f t="shared" si="52"/>
        <v>1900</v>
      </c>
      <c r="N299" t="str">
        <f ca="1">IF(COUNTIFS(A$2:A299,A299,O$2:O299,O299)&gt;1,"Repeat","New")</f>
        <v>New</v>
      </c>
      <c r="O299" s="2" t="e">
        <f t="shared" ca="1" si="53"/>
        <v>#VALUE!</v>
      </c>
      <c r="P299" s="3" t="e">
        <f t="shared" ca="1" si="54"/>
        <v>#VALUE!</v>
      </c>
      <c r="Q299" t="str">
        <f t="shared" si="55"/>
        <v>Jan-00</v>
      </c>
      <c r="R299" t="str">
        <f t="shared" si="56"/>
        <v>Q1</v>
      </c>
      <c r="S299">
        <f t="shared" si="57"/>
        <v>1900</v>
      </c>
      <c r="T299" t="str">
        <f t="shared" si="58"/>
        <v>Retail</v>
      </c>
    </row>
    <row r="300" spans="8:20" x14ac:dyDescent="0.3">
      <c r="H300">
        <f t="shared" si="59"/>
        <v>0</v>
      </c>
      <c r="I300">
        <f t="shared" si="48"/>
        <v>0</v>
      </c>
      <c r="J300">
        <f t="shared" si="49"/>
        <v>0</v>
      </c>
      <c r="K300" t="str">
        <f t="shared" si="50"/>
        <v>January</v>
      </c>
      <c r="L300" t="str">
        <f t="shared" si="51"/>
        <v>Q1</v>
      </c>
      <c r="M300" s="2">
        <f t="shared" si="52"/>
        <v>1900</v>
      </c>
      <c r="N300" t="str">
        <f ca="1">IF(COUNTIFS(A$2:A300,A300,O$2:O300,O300)&gt;1,"Repeat","New")</f>
        <v>New</v>
      </c>
      <c r="O300" s="2" t="e">
        <f t="shared" ca="1" si="53"/>
        <v>#VALUE!</v>
      </c>
      <c r="P300" s="3" t="e">
        <f t="shared" ca="1" si="54"/>
        <v>#VALUE!</v>
      </c>
      <c r="Q300" t="str">
        <f t="shared" si="55"/>
        <v>Jan-00</v>
      </c>
      <c r="R300" t="str">
        <f t="shared" si="56"/>
        <v>Q1</v>
      </c>
      <c r="S300">
        <f t="shared" si="57"/>
        <v>1900</v>
      </c>
      <c r="T300" t="str">
        <f t="shared" si="58"/>
        <v>Retail</v>
      </c>
    </row>
    <row r="301" spans="8:20" x14ac:dyDescent="0.3">
      <c r="H301">
        <f t="shared" si="59"/>
        <v>0</v>
      </c>
      <c r="I301">
        <f t="shared" si="48"/>
        <v>0</v>
      </c>
      <c r="J301">
        <f t="shared" si="49"/>
        <v>0</v>
      </c>
      <c r="K301" t="str">
        <f t="shared" si="50"/>
        <v>January</v>
      </c>
      <c r="L301" t="str">
        <f t="shared" si="51"/>
        <v>Q1</v>
      </c>
      <c r="M301" s="2">
        <f t="shared" si="52"/>
        <v>1900</v>
      </c>
      <c r="N301" t="str">
        <f ca="1">IF(COUNTIFS(A$2:A301,A301,O$2:O301,O301)&gt;1,"Repeat","New")</f>
        <v>New</v>
      </c>
      <c r="O301" s="2" t="e">
        <f t="shared" ca="1" si="53"/>
        <v>#VALUE!</v>
      </c>
      <c r="P301" s="3" t="e">
        <f t="shared" ca="1" si="54"/>
        <v>#VALUE!</v>
      </c>
      <c r="Q301" t="str">
        <f t="shared" si="55"/>
        <v>Jan-00</v>
      </c>
      <c r="R301" t="str">
        <f t="shared" si="56"/>
        <v>Q1</v>
      </c>
      <c r="S301">
        <f t="shared" si="57"/>
        <v>1900</v>
      </c>
      <c r="T301" t="str">
        <f t="shared" si="58"/>
        <v>Retail</v>
      </c>
    </row>
    <row r="302" spans="8:20" x14ac:dyDescent="0.3">
      <c r="H302">
        <f t="shared" si="59"/>
        <v>0</v>
      </c>
      <c r="I302">
        <f t="shared" si="48"/>
        <v>0</v>
      </c>
      <c r="J302">
        <f t="shared" si="49"/>
        <v>0</v>
      </c>
      <c r="K302" t="str">
        <f t="shared" si="50"/>
        <v>January</v>
      </c>
      <c r="L302" t="str">
        <f t="shared" si="51"/>
        <v>Q1</v>
      </c>
      <c r="M302" s="2">
        <f t="shared" si="52"/>
        <v>1900</v>
      </c>
      <c r="N302" t="str">
        <f ca="1">IF(COUNTIFS(A$2:A302,A302,O$2:O302,O302)&gt;1,"Repeat","New")</f>
        <v>New</v>
      </c>
      <c r="O302" s="2" t="e">
        <f t="shared" ca="1" si="53"/>
        <v>#VALUE!</v>
      </c>
      <c r="P302" s="3" t="e">
        <f t="shared" ca="1" si="54"/>
        <v>#VALUE!</v>
      </c>
      <c r="Q302" t="str">
        <f t="shared" si="55"/>
        <v>Jan-00</v>
      </c>
      <c r="R302" t="str">
        <f t="shared" si="56"/>
        <v>Q1</v>
      </c>
      <c r="S302">
        <f t="shared" si="57"/>
        <v>1900</v>
      </c>
      <c r="T302" t="str">
        <f t="shared" si="58"/>
        <v>Retail</v>
      </c>
    </row>
    <row r="303" spans="8:20" x14ac:dyDescent="0.3">
      <c r="H303">
        <f t="shared" si="59"/>
        <v>0</v>
      </c>
      <c r="I303">
        <f t="shared" si="48"/>
        <v>0</v>
      </c>
      <c r="J303">
        <f t="shared" si="49"/>
        <v>0</v>
      </c>
      <c r="K303" t="str">
        <f t="shared" si="50"/>
        <v>January</v>
      </c>
      <c r="L303" t="str">
        <f t="shared" si="51"/>
        <v>Q1</v>
      </c>
      <c r="M303" s="2">
        <f t="shared" si="52"/>
        <v>1900</v>
      </c>
      <c r="N303" t="str">
        <f ca="1">IF(COUNTIFS(A$2:A303,A303,O$2:O303,O303)&gt;1,"Repeat","New")</f>
        <v>New</v>
      </c>
      <c r="O303" s="2" t="e">
        <f t="shared" ca="1" si="53"/>
        <v>#VALUE!</v>
      </c>
      <c r="P303" s="3" t="e">
        <f t="shared" ca="1" si="54"/>
        <v>#VALUE!</v>
      </c>
      <c r="Q303" t="str">
        <f t="shared" si="55"/>
        <v>Jan-00</v>
      </c>
      <c r="R303" t="str">
        <f t="shared" si="56"/>
        <v>Q1</v>
      </c>
      <c r="S303">
        <f t="shared" si="57"/>
        <v>1900</v>
      </c>
      <c r="T303" t="str">
        <f t="shared" si="58"/>
        <v>Retail</v>
      </c>
    </row>
    <row r="304" spans="8:20" x14ac:dyDescent="0.3">
      <c r="H304">
        <f t="shared" si="59"/>
        <v>0</v>
      </c>
      <c r="I304">
        <f t="shared" si="48"/>
        <v>0</v>
      </c>
      <c r="J304">
        <f t="shared" si="49"/>
        <v>0</v>
      </c>
      <c r="K304" t="str">
        <f t="shared" si="50"/>
        <v>January</v>
      </c>
      <c r="L304" t="str">
        <f t="shared" si="51"/>
        <v>Q1</v>
      </c>
      <c r="M304" s="2">
        <f t="shared" si="52"/>
        <v>1900</v>
      </c>
      <c r="N304" t="str">
        <f ca="1">IF(COUNTIFS(A$2:A304,A304,O$2:O304,O304)&gt;1,"Repeat","New")</f>
        <v>New</v>
      </c>
      <c r="O304" s="2" t="e">
        <f t="shared" ca="1" si="53"/>
        <v>#VALUE!</v>
      </c>
      <c r="P304" s="3" t="e">
        <f t="shared" ca="1" si="54"/>
        <v>#VALUE!</v>
      </c>
      <c r="Q304" t="str">
        <f t="shared" si="55"/>
        <v>Jan-00</v>
      </c>
      <c r="R304" t="str">
        <f t="shared" si="56"/>
        <v>Q1</v>
      </c>
      <c r="S304">
        <f t="shared" si="57"/>
        <v>1900</v>
      </c>
      <c r="T304" t="str">
        <f t="shared" si="58"/>
        <v>Retail</v>
      </c>
    </row>
    <row r="305" spans="8:20" x14ac:dyDescent="0.3">
      <c r="H305">
        <f t="shared" si="59"/>
        <v>0</v>
      </c>
      <c r="I305">
        <f t="shared" si="48"/>
        <v>0</v>
      </c>
      <c r="J305">
        <f t="shared" si="49"/>
        <v>0</v>
      </c>
      <c r="K305" t="str">
        <f t="shared" si="50"/>
        <v>January</v>
      </c>
      <c r="L305" t="str">
        <f t="shared" si="51"/>
        <v>Q1</v>
      </c>
      <c r="M305" s="2">
        <f t="shared" si="52"/>
        <v>1900</v>
      </c>
      <c r="N305" t="str">
        <f ca="1">IF(COUNTIFS(A$2:A305,A305,O$2:O305,O305)&gt;1,"Repeat","New")</f>
        <v>New</v>
      </c>
      <c r="O305" s="2" t="e">
        <f t="shared" ca="1" si="53"/>
        <v>#VALUE!</v>
      </c>
      <c r="P305" s="3" t="e">
        <f t="shared" ca="1" si="54"/>
        <v>#VALUE!</v>
      </c>
      <c r="Q305" t="str">
        <f t="shared" si="55"/>
        <v>Jan-00</v>
      </c>
      <c r="R305" t="str">
        <f t="shared" si="56"/>
        <v>Q1</v>
      </c>
      <c r="S305">
        <f t="shared" si="57"/>
        <v>1900</v>
      </c>
      <c r="T305" t="str">
        <f t="shared" si="58"/>
        <v>Retail</v>
      </c>
    </row>
    <row r="306" spans="8:20" x14ac:dyDescent="0.3">
      <c r="H306">
        <f t="shared" si="59"/>
        <v>0</v>
      </c>
      <c r="I306">
        <f t="shared" si="48"/>
        <v>0</v>
      </c>
      <c r="J306">
        <f t="shared" si="49"/>
        <v>0</v>
      </c>
      <c r="K306" t="str">
        <f t="shared" si="50"/>
        <v>January</v>
      </c>
      <c r="L306" t="str">
        <f t="shared" si="51"/>
        <v>Q1</v>
      </c>
      <c r="M306" s="2">
        <f t="shared" si="52"/>
        <v>1900</v>
      </c>
      <c r="N306" t="str">
        <f ca="1">IF(COUNTIFS(A$2:A306,A306,O$2:O306,O306)&gt;1,"Repeat","New")</f>
        <v>New</v>
      </c>
      <c r="O306" s="2" t="e">
        <f t="shared" ca="1" si="53"/>
        <v>#VALUE!</v>
      </c>
      <c r="P306" s="3" t="e">
        <f t="shared" ca="1" si="54"/>
        <v>#VALUE!</v>
      </c>
      <c r="Q306" t="str">
        <f t="shared" si="55"/>
        <v>Jan-00</v>
      </c>
      <c r="R306" t="str">
        <f t="shared" si="56"/>
        <v>Q1</v>
      </c>
      <c r="S306">
        <f t="shared" si="57"/>
        <v>1900</v>
      </c>
      <c r="T306" t="str">
        <f t="shared" si="58"/>
        <v>Retail</v>
      </c>
    </row>
    <row r="307" spans="8:20" x14ac:dyDescent="0.3">
      <c r="H307">
        <f t="shared" si="59"/>
        <v>0</v>
      </c>
      <c r="I307">
        <f t="shared" si="48"/>
        <v>0</v>
      </c>
      <c r="J307">
        <f t="shared" si="49"/>
        <v>0</v>
      </c>
      <c r="K307" t="str">
        <f t="shared" si="50"/>
        <v>January</v>
      </c>
      <c r="L307" t="str">
        <f t="shared" si="51"/>
        <v>Q1</v>
      </c>
      <c r="M307" s="2">
        <f t="shared" si="52"/>
        <v>1900</v>
      </c>
      <c r="N307" t="str">
        <f ca="1">IF(COUNTIFS(A$2:A307,A307,O$2:O307,O307)&gt;1,"Repeat","New")</f>
        <v>New</v>
      </c>
      <c r="O307" s="2" t="e">
        <f t="shared" ca="1" si="53"/>
        <v>#VALUE!</v>
      </c>
      <c r="P307" s="3" t="e">
        <f t="shared" ca="1" si="54"/>
        <v>#VALUE!</v>
      </c>
      <c r="Q307" t="str">
        <f t="shared" si="55"/>
        <v>Jan-00</v>
      </c>
      <c r="R307" t="str">
        <f t="shared" si="56"/>
        <v>Q1</v>
      </c>
      <c r="S307">
        <f t="shared" si="57"/>
        <v>1900</v>
      </c>
      <c r="T307" t="str">
        <f t="shared" si="58"/>
        <v>Retail</v>
      </c>
    </row>
    <row r="308" spans="8:20" x14ac:dyDescent="0.3">
      <c r="H308">
        <f t="shared" si="59"/>
        <v>0</v>
      </c>
      <c r="I308">
        <f t="shared" si="48"/>
        <v>0</v>
      </c>
      <c r="J308">
        <f t="shared" si="49"/>
        <v>0</v>
      </c>
      <c r="K308" t="str">
        <f t="shared" si="50"/>
        <v>January</v>
      </c>
      <c r="L308" t="str">
        <f t="shared" si="51"/>
        <v>Q1</v>
      </c>
      <c r="M308" s="2">
        <f t="shared" si="52"/>
        <v>1900</v>
      </c>
      <c r="N308" t="str">
        <f ca="1">IF(COUNTIFS(A$2:A308,A308,O$2:O308,O308)&gt;1,"Repeat","New")</f>
        <v>New</v>
      </c>
      <c r="O308" s="2" t="e">
        <f t="shared" ca="1" si="53"/>
        <v>#VALUE!</v>
      </c>
      <c r="P308" s="3" t="e">
        <f t="shared" ca="1" si="54"/>
        <v>#VALUE!</v>
      </c>
      <c r="Q308" t="str">
        <f t="shared" si="55"/>
        <v>Jan-00</v>
      </c>
      <c r="R308" t="str">
        <f t="shared" si="56"/>
        <v>Q1</v>
      </c>
      <c r="S308">
        <f t="shared" si="57"/>
        <v>1900</v>
      </c>
      <c r="T308" t="str">
        <f t="shared" si="58"/>
        <v>Retail</v>
      </c>
    </row>
    <row r="309" spans="8:20" x14ac:dyDescent="0.3">
      <c r="H309">
        <f t="shared" si="59"/>
        <v>0</v>
      </c>
      <c r="I309">
        <f t="shared" si="48"/>
        <v>0</v>
      </c>
      <c r="J309">
        <f t="shared" si="49"/>
        <v>0</v>
      </c>
      <c r="K309" t="str">
        <f t="shared" si="50"/>
        <v>January</v>
      </c>
      <c r="L309" t="str">
        <f t="shared" si="51"/>
        <v>Q1</v>
      </c>
      <c r="M309" s="2">
        <f t="shared" si="52"/>
        <v>1900</v>
      </c>
      <c r="N309" t="str">
        <f ca="1">IF(COUNTIFS(A$2:A309,A309,O$2:O309,O309)&gt;1,"Repeat","New")</f>
        <v>New</v>
      </c>
      <c r="O309" s="2" t="e">
        <f t="shared" ca="1" si="53"/>
        <v>#VALUE!</v>
      </c>
      <c r="P309" s="3" t="e">
        <f t="shared" ca="1" si="54"/>
        <v>#VALUE!</v>
      </c>
      <c r="Q309" t="str">
        <f t="shared" si="55"/>
        <v>Jan-00</v>
      </c>
      <c r="R309" t="str">
        <f t="shared" si="56"/>
        <v>Q1</v>
      </c>
      <c r="S309">
        <f t="shared" si="57"/>
        <v>1900</v>
      </c>
      <c r="T309" t="str">
        <f t="shared" si="58"/>
        <v>Retail</v>
      </c>
    </row>
    <row r="310" spans="8:20" x14ac:dyDescent="0.3">
      <c r="H310">
        <f t="shared" si="59"/>
        <v>0</v>
      </c>
      <c r="I310">
        <f t="shared" si="48"/>
        <v>0</v>
      </c>
      <c r="J310">
        <f t="shared" si="49"/>
        <v>0</v>
      </c>
      <c r="K310" t="str">
        <f t="shared" si="50"/>
        <v>January</v>
      </c>
      <c r="L310" t="str">
        <f t="shared" si="51"/>
        <v>Q1</v>
      </c>
      <c r="M310" s="2">
        <f t="shared" si="52"/>
        <v>1900</v>
      </c>
      <c r="N310" t="str">
        <f ca="1">IF(COUNTIFS(A$2:A310,A310,O$2:O310,O310)&gt;1,"Repeat","New")</f>
        <v>New</v>
      </c>
      <c r="O310" s="2" t="e">
        <f t="shared" ca="1" si="53"/>
        <v>#VALUE!</v>
      </c>
      <c r="P310" s="3" t="e">
        <f t="shared" ca="1" si="54"/>
        <v>#VALUE!</v>
      </c>
      <c r="Q310" t="str">
        <f t="shared" si="55"/>
        <v>Jan-00</v>
      </c>
      <c r="R310" t="str">
        <f t="shared" si="56"/>
        <v>Q1</v>
      </c>
      <c r="S310">
        <f t="shared" si="57"/>
        <v>1900</v>
      </c>
      <c r="T310" t="str">
        <f t="shared" si="58"/>
        <v>Retail</v>
      </c>
    </row>
    <row r="311" spans="8:20" x14ac:dyDescent="0.3">
      <c r="H311">
        <f t="shared" si="59"/>
        <v>0</v>
      </c>
      <c r="I311">
        <f t="shared" si="48"/>
        <v>0</v>
      </c>
      <c r="J311">
        <f t="shared" si="49"/>
        <v>0</v>
      </c>
      <c r="K311" t="str">
        <f t="shared" si="50"/>
        <v>January</v>
      </c>
      <c r="L311" t="str">
        <f t="shared" si="51"/>
        <v>Q1</v>
      </c>
      <c r="M311" s="2">
        <f t="shared" si="52"/>
        <v>1900</v>
      </c>
      <c r="N311" t="str">
        <f ca="1">IF(COUNTIFS(A$2:A311,A311,O$2:O311,O311)&gt;1,"Repeat","New")</f>
        <v>New</v>
      </c>
      <c r="O311" s="2" t="e">
        <f t="shared" ca="1" si="53"/>
        <v>#VALUE!</v>
      </c>
      <c r="P311" s="3" t="e">
        <f t="shared" ca="1" si="54"/>
        <v>#VALUE!</v>
      </c>
      <c r="Q311" t="str">
        <f t="shared" si="55"/>
        <v>Jan-00</v>
      </c>
      <c r="R311" t="str">
        <f t="shared" si="56"/>
        <v>Q1</v>
      </c>
      <c r="S311">
        <f t="shared" si="57"/>
        <v>1900</v>
      </c>
      <c r="T311" t="str">
        <f t="shared" si="58"/>
        <v>Retail</v>
      </c>
    </row>
    <row r="312" spans="8:20" x14ac:dyDescent="0.3">
      <c r="H312">
        <f t="shared" si="59"/>
        <v>0</v>
      </c>
      <c r="I312">
        <f t="shared" si="48"/>
        <v>0</v>
      </c>
      <c r="J312">
        <f t="shared" si="49"/>
        <v>0</v>
      </c>
      <c r="K312" t="str">
        <f t="shared" si="50"/>
        <v>January</v>
      </c>
      <c r="L312" t="str">
        <f t="shared" si="51"/>
        <v>Q1</v>
      </c>
      <c r="M312" s="2">
        <f t="shared" si="52"/>
        <v>1900</v>
      </c>
      <c r="N312" t="str">
        <f ca="1">IF(COUNTIFS(A$2:A312,A312,O$2:O312,O312)&gt;1,"Repeat","New")</f>
        <v>New</v>
      </c>
      <c r="O312" s="2" t="e">
        <f t="shared" ca="1" si="53"/>
        <v>#VALUE!</v>
      </c>
      <c r="P312" s="3" t="e">
        <f t="shared" ca="1" si="54"/>
        <v>#VALUE!</v>
      </c>
      <c r="Q312" t="str">
        <f t="shared" si="55"/>
        <v>Jan-00</v>
      </c>
      <c r="R312" t="str">
        <f t="shared" si="56"/>
        <v>Q1</v>
      </c>
      <c r="S312">
        <f t="shared" si="57"/>
        <v>1900</v>
      </c>
      <c r="T312" t="str">
        <f t="shared" si="58"/>
        <v>Retail</v>
      </c>
    </row>
    <row r="313" spans="8:20" x14ac:dyDescent="0.3">
      <c r="H313">
        <f t="shared" si="59"/>
        <v>0</v>
      </c>
      <c r="I313">
        <f t="shared" si="48"/>
        <v>0</v>
      </c>
      <c r="J313">
        <f t="shared" si="49"/>
        <v>0</v>
      </c>
      <c r="K313" t="str">
        <f t="shared" si="50"/>
        <v>January</v>
      </c>
      <c r="L313" t="str">
        <f t="shared" si="51"/>
        <v>Q1</v>
      </c>
      <c r="M313" s="2">
        <f t="shared" si="52"/>
        <v>1900</v>
      </c>
      <c r="N313" t="str">
        <f ca="1">IF(COUNTIFS(A$2:A313,A313,O$2:O313,O313)&gt;1,"Repeat","New")</f>
        <v>New</v>
      </c>
      <c r="O313" s="2" t="e">
        <f t="shared" ca="1" si="53"/>
        <v>#VALUE!</v>
      </c>
      <c r="P313" s="3" t="e">
        <f t="shared" ca="1" si="54"/>
        <v>#VALUE!</v>
      </c>
      <c r="Q313" t="str">
        <f t="shared" si="55"/>
        <v>Jan-00</v>
      </c>
      <c r="R313" t="str">
        <f t="shared" si="56"/>
        <v>Q1</v>
      </c>
      <c r="S313">
        <f t="shared" si="57"/>
        <v>1900</v>
      </c>
      <c r="T313" t="str">
        <f t="shared" si="58"/>
        <v>Retail</v>
      </c>
    </row>
    <row r="314" spans="8:20" x14ac:dyDescent="0.3">
      <c r="H314">
        <f t="shared" si="59"/>
        <v>0</v>
      </c>
      <c r="I314">
        <f t="shared" si="48"/>
        <v>0</v>
      </c>
      <c r="J314">
        <f t="shared" si="49"/>
        <v>0</v>
      </c>
      <c r="K314" t="str">
        <f t="shared" si="50"/>
        <v>January</v>
      </c>
      <c r="L314" t="str">
        <f t="shared" si="51"/>
        <v>Q1</v>
      </c>
      <c r="M314" s="2">
        <f t="shared" si="52"/>
        <v>1900</v>
      </c>
      <c r="N314" t="str">
        <f ca="1">IF(COUNTIFS(A$2:A314,A314,O$2:O314,O314)&gt;1,"Repeat","New")</f>
        <v>New</v>
      </c>
      <c r="O314" s="2" t="e">
        <f t="shared" ca="1" si="53"/>
        <v>#VALUE!</v>
      </c>
      <c r="P314" s="3" t="e">
        <f t="shared" ca="1" si="54"/>
        <v>#VALUE!</v>
      </c>
      <c r="Q314" t="str">
        <f t="shared" si="55"/>
        <v>Jan-00</v>
      </c>
      <c r="R314" t="str">
        <f t="shared" si="56"/>
        <v>Q1</v>
      </c>
      <c r="S314">
        <f t="shared" si="57"/>
        <v>1900</v>
      </c>
      <c r="T314" t="str">
        <f t="shared" si="58"/>
        <v>Retail</v>
      </c>
    </row>
    <row r="315" spans="8:20" x14ac:dyDescent="0.3">
      <c r="H315">
        <f t="shared" si="59"/>
        <v>0</v>
      </c>
      <c r="I315">
        <f t="shared" si="48"/>
        <v>0</v>
      </c>
      <c r="J315">
        <f t="shared" si="49"/>
        <v>0</v>
      </c>
      <c r="K315" t="str">
        <f t="shared" si="50"/>
        <v>January</v>
      </c>
      <c r="L315" t="str">
        <f t="shared" si="51"/>
        <v>Q1</v>
      </c>
      <c r="M315" s="2">
        <f t="shared" si="52"/>
        <v>1900</v>
      </c>
      <c r="N315" t="str">
        <f ca="1">IF(COUNTIFS(A$2:A315,A315,O$2:O315,O315)&gt;1,"Repeat","New")</f>
        <v>New</v>
      </c>
      <c r="O315" s="2" t="e">
        <f t="shared" ca="1" si="53"/>
        <v>#VALUE!</v>
      </c>
      <c r="P315" s="3" t="e">
        <f t="shared" ca="1" si="54"/>
        <v>#VALUE!</v>
      </c>
      <c r="Q315" t="str">
        <f t="shared" si="55"/>
        <v>Jan-00</v>
      </c>
      <c r="R315" t="str">
        <f t="shared" si="56"/>
        <v>Q1</v>
      </c>
      <c r="S315">
        <f t="shared" si="57"/>
        <v>1900</v>
      </c>
      <c r="T315" t="str">
        <f t="shared" si="58"/>
        <v>Retail</v>
      </c>
    </row>
    <row r="316" spans="8:20" x14ac:dyDescent="0.3">
      <c r="H316">
        <f t="shared" si="59"/>
        <v>0</v>
      </c>
      <c r="I316">
        <f t="shared" si="48"/>
        <v>0</v>
      </c>
      <c r="J316">
        <f t="shared" si="49"/>
        <v>0</v>
      </c>
      <c r="K316" t="str">
        <f t="shared" si="50"/>
        <v>January</v>
      </c>
      <c r="L316" t="str">
        <f t="shared" si="51"/>
        <v>Q1</v>
      </c>
      <c r="M316" s="2">
        <f t="shared" si="52"/>
        <v>1900</v>
      </c>
      <c r="N316" t="str">
        <f ca="1">IF(COUNTIFS(A$2:A316,A316,O$2:O316,O316)&gt;1,"Repeat","New")</f>
        <v>New</v>
      </c>
      <c r="O316" s="2" t="e">
        <f t="shared" ca="1" si="53"/>
        <v>#VALUE!</v>
      </c>
      <c r="P316" s="3" t="e">
        <f t="shared" ca="1" si="54"/>
        <v>#VALUE!</v>
      </c>
      <c r="Q316" t="str">
        <f t="shared" si="55"/>
        <v>Jan-00</v>
      </c>
      <c r="R316" t="str">
        <f t="shared" si="56"/>
        <v>Q1</v>
      </c>
      <c r="S316">
        <f t="shared" si="57"/>
        <v>1900</v>
      </c>
      <c r="T316" t="str">
        <f t="shared" si="58"/>
        <v>Retail</v>
      </c>
    </row>
    <row r="317" spans="8:20" x14ac:dyDescent="0.3">
      <c r="H317">
        <f t="shared" si="59"/>
        <v>0</v>
      </c>
      <c r="I317">
        <f t="shared" si="48"/>
        <v>0</v>
      </c>
      <c r="J317">
        <f t="shared" si="49"/>
        <v>0</v>
      </c>
      <c r="K317" t="str">
        <f t="shared" si="50"/>
        <v>January</v>
      </c>
      <c r="L317" t="str">
        <f t="shared" si="51"/>
        <v>Q1</v>
      </c>
      <c r="M317" s="2">
        <f t="shared" si="52"/>
        <v>1900</v>
      </c>
      <c r="N317" t="str">
        <f ca="1">IF(COUNTIFS(A$2:A317,A317,O$2:O317,O317)&gt;1,"Repeat","New")</f>
        <v>New</v>
      </c>
      <c r="O317" s="2" t="e">
        <f t="shared" ca="1" si="53"/>
        <v>#VALUE!</v>
      </c>
      <c r="P317" s="3" t="e">
        <f t="shared" ca="1" si="54"/>
        <v>#VALUE!</v>
      </c>
      <c r="Q317" t="str">
        <f t="shared" si="55"/>
        <v>Jan-00</v>
      </c>
      <c r="R317" t="str">
        <f t="shared" si="56"/>
        <v>Q1</v>
      </c>
      <c r="S317">
        <f t="shared" si="57"/>
        <v>1900</v>
      </c>
      <c r="T317" t="str">
        <f t="shared" si="58"/>
        <v>Retail</v>
      </c>
    </row>
    <row r="318" spans="8:20" x14ac:dyDescent="0.3">
      <c r="H318">
        <f t="shared" si="59"/>
        <v>0</v>
      </c>
      <c r="I318">
        <f t="shared" si="48"/>
        <v>0</v>
      </c>
      <c r="J318">
        <f t="shared" si="49"/>
        <v>0</v>
      </c>
      <c r="K318" t="str">
        <f t="shared" si="50"/>
        <v>January</v>
      </c>
      <c r="L318" t="str">
        <f t="shared" si="51"/>
        <v>Q1</v>
      </c>
      <c r="M318" s="2">
        <f t="shared" si="52"/>
        <v>1900</v>
      </c>
      <c r="N318" t="str">
        <f ca="1">IF(COUNTIFS(A$2:A318,A318,O$2:O318,O318)&gt;1,"Repeat","New")</f>
        <v>New</v>
      </c>
      <c r="O318" s="2" t="e">
        <f t="shared" ca="1" si="53"/>
        <v>#VALUE!</v>
      </c>
      <c r="P318" s="3" t="e">
        <f t="shared" ca="1" si="54"/>
        <v>#VALUE!</v>
      </c>
      <c r="Q318" t="str">
        <f t="shared" si="55"/>
        <v>Jan-00</v>
      </c>
      <c r="R318" t="str">
        <f t="shared" si="56"/>
        <v>Q1</v>
      </c>
      <c r="S318">
        <f t="shared" si="57"/>
        <v>1900</v>
      </c>
      <c r="T318" t="str">
        <f t="shared" si="58"/>
        <v>Retail</v>
      </c>
    </row>
    <row r="319" spans="8:20" x14ac:dyDescent="0.3">
      <c r="H319">
        <f t="shared" si="59"/>
        <v>0</v>
      </c>
      <c r="I319">
        <f t="shared" si="48"/>
        <v>0</v>
      </c>
      <c r="J319">
        <f t="shared" si="49"/>
        <v>0</v>
      </c>
      <c r="K319" t="str">
        <f t="shared" si="50"/>
        <v>January</v>
      </c>
      <c r="L319" t="str">
        <f t="shared" si="51"/>
        <v>Q1</v>
      </c>
      <c r="M319" s="2">
        <f t="shared" si="52"/>
        <v>1900</v>
      </c>
      <c r="N319" t="str">
        <f ca="1">IF(COUNTIFS(A$2:A319,A319,O$2:O319,O319)&gt;1,"Repeat","New")</f>
        <v>New</v>
      </c>
      <c r="O319" s="2" t="e">
        <f t="shared" ca="1" si="53"/>
        <v>#VALUE!</v>
      </c>
      <c r="P319" s="3" t="e">
        <f t="shared" ca="1" si="54"/>
        <v>#VALUE!</v>
      </c>
      <c r="Q319" t="str">
        <f t="shared" si="55"/>
        <v>Jan-00</v>
      </c>
      <c r="R319" t="str">
        <f t="shared" si="56"/>
        <v>Q1</v>
      </c>
      <c r="S319">
        <f t="shared" si="57"/>
        <v>1900</v>
      </c>
      <c r="T319" t="str">
        <f t="shared" si="58"/>
        <v>Retail</v>
      </c>
    </row>
    <row r="320" spans="8:20" x14ac:dyDescent="0.3">
      <c r="H320">
        <f t="shared" si="59"/>
        <v>0</v>
      </c>
      <c r="I320">
        <f t="shared" si="48"/>
        <v>0</v>
      </c>
      <c r="J320">
        <f t="shared" si="49"/>
        <v>0</v>
      </c>
      <c r="K320" t="str">
        <f t="shared" si="50"/>
        <v>January</v>
      </c>
      <c r="L320" t="str">
        <f t="shared" si="51"/>
        <v>Q1</v>
      </c>
      <c r="M320" s="2">
        <f t="shared" si="52"/>
        <v>1900</v>
      </c>
      <c r="N320" t="str">
        <f ca="1">IF(COUNTIFS(A$2:A320,A320,O$2:O320,O320)&gt;1,"Repeat","New")</f>
        <v>New</v>
      </c>
      <c r="O320" s="2" t="e">
        <f t="shared" ca="1" si="53"/>
        <v>#VALUE!</v>
      </c>
      <c r="P320" s="3" t="e">
        <f t="shared" ca="1" si="54"/>
        <v>#VALUE!</v>
      </c>
      <c r="Q320" t="str">
        <f t="shared" si="55"/>
        <v>Jan-00</v>
      </c>
      <c r="R320" t="str">
        <f t="shared" si="56"/>
        <v>Q1</v>
      </c>
      <c r="S320">
        <f t="shared" si="57"/>
        <v>1900</v>
      </c>
      <c r="T320" t="str">
        <f t="shared" si="58"/>
        <v>Retail</v>
      </c>
    </row>
    <row r="321" spans="8:20" x14ac:dyDescent="0.3">
      <c r="H321">
        <f t="shared" si="59"/>
        <v>0</v>
      </c>
      <c r="I321">
        <f t="shared" si="48"/>
        <v>0</v>
      </c>
      <c r="J321">
        <f t="shared" si="49"/>
        <v>0</v>
      </c>
      <c r="K321" t="str">
        <f t="shared" si="50"/>
        <v>January</v>
      </c>
      <c r="L321" t="str">
        <f t="shared" si="51"/>
        <v>Q1</v>
      </c>
      <c r="M321" s="2">
        <f t="shared" si="52"/>
        <v>1900</v>
      </c>
      <c r="N321" t="str">
        <f ca="1">IF(COUNTIFS(A$2:A321,A321,O$2:O321,O321)&gt;1,"Repeat","New")</f>
        <v>New</v>
      </c>
      <c r="O321" s="2" t="e">
        <f t="shared" ca="1" si="53"/>
        <v>#VALUE!</v>
      </c>
      <c r="P321" s="3" t="e">
        <f t="shared" ca="1" si="54"/>
        <v>#VALUE!</v>
      </c>
      <c r="Q321" t="str">
        <f t="shared" si="55"/>
        <v>Jan-00</v>
      </c>
      <c r="R321" t="str">
        <f t="shared" si="56"/>
        <v>Q1</v>
      </c>
      <c r="S321">
        <f t="shared" si="57"/>
        <v>1900</v>
      </c>
      <c r="T321" t="str">
        <f t="shared" si="58"/>
        <v>Retail</v>
      </c>
    </row>
    <row r="322" spans="8:20" x14ac:dyDescent="0.3">
      <c r="H322">
        <f t="shared" si="59"/>
        <v>0</v>
      </c>
      <c r="I322">
        <f t="shared" ref="I322:I385" si="60">H322-(D322*F322)</f>
        <v>0</v>
      </c>
      <c r="J322">
        <f t="shared" ref="J322:J385" si="61">IF(H322&gt;0,I322/H322,0)</f>
        <v>0</v>
      </c>
      <c r="K322" t="str">
        <f t="shared" ref="K322:K385" si="62">TEXT(A322,"mmmm")</f>
        <v>January</v>
      </c>
      <c r="L322" t="str">
        <f t="shared" ref="L322:L385" si="63">"Q"&amp;ROUNDUP(MONTH(A322)/3,0)</f>
        <v>Q1</v>
      </c>
      <c r="M322" s="2">
        <f t="shared" ref="M322:M385" si="64">YEAR(A322)</f>
        <v>1900</v>
      </c>
      <c r="N322" t="str">
        <f ca="1">IF(COUNTIFS(A$2:A322,A322,O$2:O322,O322)&gt;1,"Repeat","New")</f>
        <v>New</v>
      </c>
      <c r="O322" s="2" t="e">
        <f t="shared" ref="O322:O385" ca="1" si="65">M322-N322</f>
        <v>#VALUE!</v>
      </c>
      <c r="P322" s="3" t="e">
        <f t="shared" ref="P322:P385" ca="1" si="66">IF(M322&gt;0,O322/M322,0)</f>
        <v>#VALUE!</v>
      </c>
      <c r="Q322" t="str">
        <f t="shared" ref="Q322:Q385" si="67">TEXT(B322, "mmm-yy")</f>
        <v>Jan-00</v>
      </c>
      <c r="R322" t="str">
        <f t="shared" ref="R322:R385" si="68">"Q"&amp;INT((MONTH(B322)-1)/3)+1</f>
        <v>Q1</v>
      </c>
      <c r="S322">
        <f t="shared" ref="S322:S385" si="69">YEAR(B322)</f>
        <v>1900</v>
      </c>
      <c r="T322" t="str">
        <f t="shared" ref="T322:T385" si="70">IF(M322&gt;5000, "Enterprise", "Retail")</f>
        <v>Retail</v>
      </c>
    </row>
    <row r="323" spans="8:20" x14ac:dyDescent="0.3">
      <c r="H323">
        <f t="shared" ref="H323:H386" si="71">(E323*F323)*(1-G323)</f>
        <v>0</v>
      </c>
      <c r="I323">
        <f t="shared" si="60"/>
        <v>0</v>
      </c>
      <c r="J323">
        <f t="shared" si="61"/>
        <v>0</v>
      </c>
      <c r="K323" t="str">
        <f t="shared" si="62"/>
        <v>January</v>
      </c>
      <c r="L323" t="str">
        <f t="shared" si="63"/>
        <v>Q1</v>
      </c>
      <c r="M323" s="2">
        <f t="shared" si="64"/>
        <v>1900</v>
      </c>
      <c r="N323" t="str">
        <f ca="1">IF(COUNTIFS(A$2:A323,A323,O$2:O323,O323)&gt;1,"Repeat","New")</f>
        <v>New</v>
      </c>
      <c r="O323" s="2" t="e">
        <f t="shared" ca="1" si="65"/>
        <v>#VALUE!</v>
      </c>
      <c r="P323" s="3" t="e">
        <f t="shared" ca="1" si="66"/>
        <v>#VALUE!</v>
      </c>
      <c r="Q323" t="str">
        <f t="shared" si="67"/>
        <v>Jan-00</v>
      </c>
      <c r="R323" t="str">
        <f t="shared" si="68"/>
        <v>Q1</v>
      </c>
      <c r="S323">
        <f t="shared" si="69"/>
        <v>1900</v>
      </c>
      <c r="T323" t="str">
        <f t="shared" si="70"/>
        <v>Retail</v>
      </c>
    </row>
    <row r="324" spans="8:20" x14ac:dyDescent="0.3">
      <c r="H324">
        <f t="shared" si="71"/>
        <v>0</v>
      </c>
      <c r="I324">
        <f t="shared" si="60"/>
        <v>0</v>
      </c>
      <c r="J324">
        <f t="shared" si="61"/>
        <v>0</v>
      </c>
      <c r="K324" t="str">
        <f t="shared" si="62"/>
        <v>January</v>
      </c>
      <c r="L324" t="str">
        <f t="shared" si="63"/>
        <v>Q1</v>
      </c>
      <c r="M324" s="2">
        <f t="shared" si="64"/>
        <v>1900</v>
      </c>
      <c r="N324" t="str">
        <f ca="1">IF(COUNTIFS(A$2:A324,A324,O$2:O324,O324)&gt;1,"Repeat","New")</f>
        <v>New</v>
      </c>
      <c r="O324" s="2" t="e">
        <f t="shared" ca="1" si="65"/>
        <v>#VALUE!</v>
      </c>
      <c r="P324" s="3" t="e">
        <f t="shared" ca="1" si="66"/>
        <v>#VALUE!</v>
      </c>
      <c r="Q324" t="str">
        <f t="shared" si="67"/>
        <v>Jan-00</v>
      </c>
      <c r="R324" t="str">
        <f t="shared" si="68"/>
        <v>Q1</v>
      </c>
      <c r="S324">
        <f t="shared" si="69"/>
        <v>1900</v>
      </c>
      <c r="T324" t="str">
        <f t="shared" si="70"/>
        <v>Retail</v>
      </c>
    </row>
    <row r="325" spans="8:20" x14ac:dyDescent="0.3">
      <c r="H325">
        <f t="shared" si="71"/>
        <v>0</v>
      </c>
      <c r="I325">
        <f t="shared" si="60"/>
        <v>0</v>
      </c>
      <c r="J325">
        <f t="shared" si="61"/>
        <v>0</v>
      </c>
      <c r="K325" t="str">
        <f t="shared" si="62"/>
        <v>January</v>
      </c>
      <c r="L325" t="str">
        <f t="shared" si="63"/>
        <v>Q1</v>
      </c>
      <c r="M325" s="2">
        <f t="shared" si="64"/>
        <v>1900</v>
      </c>
      <c r="N325" t="str">
        <f ca="1">IF(COUNTIFS(A$2:A325,A325,O$2:O325,O325)&gt;1,"Repeat","New")</f>
        <v>New</v>
      </c>
      <c r="O325" s="2" t="e">
        <f t="shared" ca="1" si="65"/>
        <v>#VALUE!</v>
      </c>
      <c r="P325" s="3" t="e">
        <f t="shared" ca="1" si="66"/>
        <v>#VALUE!</v>
      </c>
      <c r="Q325" t="str">
        <f t="shared" si="67"/>
        <v>Jan-00</v>
      </c>
      <c r="R325" t="str">
        <f t="shared" si="68"/>
        <v>Q1</v>
      </c>
      <c r="S325">
        <f t="shared" si="69"/>
        <v>1900</v>
      </c>
      <c r="T325" t="str">
        <f t="shared" si="70"/>
        <v>Retail</v>
      </c>
    </row>
    <row r="326" spans="8:20" x14ac:dyDescent="0.3">
      <c r="H326">
        <f t="shared" si="71"/>
        <v>0</v>
      </c>
      <c r="I326">
        <f t="shared" si="60"/>
        <v>0</v>
      </c>
      <c r="J326">
        <f t="shared" si="61"/>
        <v>0</v>
      </c>
      <c r="K326" t="str">
        <f t="shared" si="62"/>
        <v>January</v>
      </c>
      <c r="L326" t="str">
        <f t="shared" si="63"/>
        <v>Q1</v>
      </c>
      <c r="M326" s="2">
        <f t="shared" si="64"/>
        <v>1900</v>
      </c>
      <c r="N326" t="str">
        <f ca="1">IF(COUNTIFS(A$2:A326,A326,O$2:O326,O326)&gt;1,"Repeat","New")</f>
        <v>New</v>
      </c>
      <c r="O326" s="2" t="e">
        <f t="shared" ca="1" si="65"/>
        <v>#VALUE!</v>
      </c>
      <c r="P326" s="3" t="e">
        <f t="shared" ca="1" si="66"/>
        <v>#VALUE!</v>
      </c>
      <c r="Q326" t="str">
        <f t="shared" si="67"/>
        <v>Jan-00</v>
      </c>
      <c r="R326" t="str">
        <f t="shared" si="68"/>
        <v>Q1</v>
      </c>
      <c r="S326">
        <f t="shared" si="69"/>
        <v>1900</v>
      </c>
      <c r="T326" t="str">
        <f t="shared" si="70"/>
        <v>Retail</v>
      </c>
    </row>
    <row r="327" spans="8:20" x14ac:dyDescent="0.3">
      <c r="H327">
        <f t="shared" si="71"/>
        <v>0</v>
      </c>
      <c r="I327">
        <f t="shared" si="60"/>
        <v>0</v>
      </c>
      <c r="J327">
        <f t="shared" si="61"/>
        <v>0</v>
      </c>
      <c r="K327" t="str">
        <f t="shared" si="62"/>
        <v>January</v>
      </c>
      <c r="L327" t="str">
        <f t="shared" si="63"/>
        <v>Q1</v>
      </c>
      <c r="M327" s="2">
        <f t="shared" si="64"/>
        <v>1900</v>
      </c>
      <c r="N327" t="str">
        <f ca="1">IF(COUNTIFS(A$2:A327,A327,O$2:O327,O327)&gt;1,"Repeat","New")</f>
        <v>New</v>
      </c>
      <c r="O327" s="2" t="e">
        <f t="shared" ca="1" si="65"/>
        <v>#VALUE!</v>
      </c>
      <c r="P327" s="3" t="e">
        <f t="shared" ca="1" si="66"/>
        <v>#VALUE!</v>
      </c>
      <c r="Q327" t="str">
        <f t="shared" si="67"/>
        <v>Jan-00</v>
      </c>
      <c r="R327" t="str">
        <f t="shared" si="68"/>
        <v>Q1</v>
      </c>
      <c r="S327">
        <f t="shared" si="69"/>
        <v>1900</v>
      </c>
      <c r="T327" t="str">
        <f t="shared" si="70"/>
        <v>Retail</v>
      </c>
    </row>
    <row r="328" spans="8:20" x14ac:dyDescent="0.3">
      <c r="H328">
        <f t="shared" si="71"/>
        <v>0</v>
      </c>
      <c r="I328">
        <f t="shared" si="60"/>
        <v>0</v>
      </c>
      <c r="J328">
        <f t="shared" si="61"/>
        <v>0</v>
      </c>
      <c r="K328" t="str">
        <f t="shared" si="62"/>
        <v>January</v>
      </c>
      <c r="L328" t="str">
        <f t="shared" si="63"/>
        <v>Q1</v>
      </c>
      <c r="M328" s="2">
        <f t="shared" si="64"/>
        <v>1900</v>
      </c>
      <c r="N328" t="str">
        <f ca="1">IF(COUNTIFS(A$2:A328,A328,O$2:O328,O328)&gt;1,"Repeat","New")</f>
        <v>New</v>
      </c>
      <c r="O328" s="2" t="e">
        <f t="shared" ca="1" si="65"/>
        <v>#VALUE!</v>
      </c>
      <c r="P328" s="3" t="e">
        <f t="shared" ca="1" si="66"/>
        <v>#VALUE!</v>
      </c>
      <c r="Q328" t="str">
        <f t="shared" si="67"/>
        <v>Jan-00</v>
      </c>
      <c r="R328" t="str">
        <f t="shared" si="68"/>
        <v>Q1</v>
      </c>
      <c r="S328">
        <f t="shared" si="69"/>
        <v>1900</v>
      </c>
      <c r="T328" t="str">
        <f t="shared" si="70"/>
        <v>Retail</v>
      </c>
    </row>
    <row r="329" spans="8:20" x14ac:dyDescent="0.3">
      <c r="H329">
        <f t="shared" si="71"/>
        <v>0</v>
      </c>
      <c r="I329">
        <f t="shared" si="60"/>
        <v>0</v>
      </c>
      <c r="J329">
        <f t="shared" si="61"/>
        <v>0</v>
      </c>
      <c r="K329" t="str">
        <f t="shared" si="62"/>
        <v>January</v>
      </c>
      <c r="L329" t="str">
        <f t="shared" si="63"/>
        <v>Q1</v>
      </c>
      <c r="M329" s="2">
        <f t="shared" si="64"/>
        <v>1900</v>
      </c>
      <c r="N329" t="str">
        <f ca="1">IF(COUNTIFS(A$2:A329,A329,O$2:O329,O329)&gt;1,"Repeat","New")</f>
        <v>New</v>
      </c>
      <c r="O329" s="2" t="e">
        <f t="shared" ca="1" si="65"/>
        <v>#VALUE!</v>
      </c>
      <c r="P329" s="3" t="e">
        <f t="shared" ca="1" si="66"/>
        <v>#VALUE!</v>
      </c>
      <c r="Q329" t="str">
        <f t="shared" si="67"/>
        <v>Jan-00</v>
      </c>
      <c r="R329" t="str">
        <f t="shared" si="68"/>
        <v>Q1</v>
      </c>
      <c r="S329">
        <f t="shared" si="69"/>
        <v>1900</v>
      </c>
      <c r="T329" t="str">
        <f t="shared" si="70"/>
        <v>Retail</v>
      </c>
    </row>
    <row r="330" spans="8:20" x14ac:dyDescent="0.3">
      <c r="H330">
        <f t="shared" si="71"/>
        <v>0</v>
      </c>
      <c r="I330">
        <f t="shared" si="60"/>
        <v>0</v>
      </c>
      <c r="J330">
        <f t="shared" si="61"/>
        <v>0</v>
      </c>
      <c r="K330" t="str">
        <f t="shared" si="62"/>
        <v>January</v>
      </c>
      <c r="L330" t="str">
        <f t="shared" si="63"/>
        <v>Q1</v>
      </c>
      <c r="M330" s="2">
        <f t="shared" si="64"/>
        <v>1900</v>
      </c>
      <c r="N330" t="str">
        <f ca="1">IF(COUNTIFS(A$2:A330,A330,O$2:O330,O330)&gt;1,"Repeat","New")</f>
        <v>New</v>
      </c>
      <c r="O330" s="2" t="e">
        <f t="shared" ca="1" si="65"/>
        <v>#VALUE!</v>
      </c>
      <c r="P330" s="3" t="e">
        <f t="shared" ca="1" si="66"/>
        <v>#VALUE!</v>
      </c>
      <c r="Q330" t="str">
        <f t="shared" si="67"/>
        <v>Jan-00</v>
      </c>
      <c r="R330" t="str">
        <f t="shared" si="68"/>
        <v>Q1</v>
      </c>
      <c r="S330">
        <f t="shared" si="69"/>
        <v>1900</v>
      </c>
      <c r="T330" t="str">
        <f t="shared" si="70"/>
        <v>Retail</v>
      </c>
    </row>
    <row r="331" spans="8:20" x14ac:dyDescent="0.3">
      <c r="H331">
        <f t="shared" si="71"/>
        <v>0</v>
      </c>
      <c r="I331">
        <f t="shared" si="60"/>
        <v>0</v>
      </c>
      <c r="J331">
        <f t="shared" si="61"/>
        <v>0</v>
      </c>
      <c r="K331" t="str">
        <f t="shared" si="62"/>
        <v>January</v>
      </c>
      <c r="L331" t="str">
        <f t="shared" si="63"/>
        <v>Q1</v>
      </c>
      <c r="M331" s="2">
        <f t="shared" si="64"/>
        <v>1900</v>
      </c>
      <c r="N331" t="str">
        <f ca="1">IF(COUNTIFS(A$2:A331,A331,O$2:O331,O331)&gt;1,"Repeat","New")</f>
        <v>New</v>
      </c>
      <c r="O331" s="2" t="e">
        <f t="shared" ca="1" si="65"/>
        <v>#VALUE!</v>
      </c>
      <c r="P331" s="3" t="e">
        <f t="shared" ca="1" si="66"/>
        <v>#VALUE!</v>
      </c>
      <c r="Q331" t="str">
        <f t="shared" si="67"/>
        <v>Jan-00</v>
      </c>
      <c r="R331" t="str">
        <f t="shared" si="68"/>
        <v>Q1</v>
      </c>
      <c r="S331">
        <f t="shared" si="69"/>
        <v>1900</v>
      </c>
      <c r="T331" t="str">
        <f t="shared" si="70"/>
        <v>Retail</v>
      </c>
    </row>
    <row r="332" spans="8:20" x14ac:dyDescent="0.3">
      <c r="H332">
        <f t="shared" si="71"/>
        <v>0</v>
      </c>
      <c r="I332">
        <f t="shared" si="60"/>
        <v>0</v>
      </c>
      <c r="J332">
        <f t="shared" si="61"/>
        <v>0</v>
      </c>
      <c r="K332" t="str">
        <f t="shared" si="62"/>
        <v>January</v>
      </c>
      <c r="L332" t="str">
        <f t="shared" si="63"/>
        <v>Q1</v>
      </c>
      <c r="M332" s="2">
        <f t="shared" si="64"/>
        <v>1900</v>
      </c>
      <c r="N332" t="str">
        <f ca="1">IF(COUNTIFS(A$2:A332,A332,O$2:O332,O332)&gt;1,"Repeat","New")</f>
        <v>New</v>
      </c>
      <c r="O332" s="2" t="e">
        <f t="shared" ca="1" si="65"/>
        <v>#VALUE!</v>
      </c>
      <c r="P332" s="3" t="e">
        <f t="shared" ca="1" si="66"/>
        <v>#VALUE!</v>
      </c>
      <c r="Q332" t="str">
        <f t="shared" si="67"/>
        <v>Jan-00</v>
      </c>
      <c r="R332" t="str">
        <f t="shared" si="68"/>
        <v>Q1</v>
      </c>
      <c r="S332">
        <f t="shared" si="69"/>
        <v>1900</v>
      </c>
      <c r="T332" t="str">
        <f t="shared" si="70"/>
        <v>Retail</v>
      </c>
    </row>
    <row r="333" spans="8:20" x14ac:dyDescent="0.3">
      <c r="H333">
        <f t="shared" si="71"/>
        <v>0</v>
      </c>
      <c r="I333">
        <f t="shared" si="60"/>
        <v>0</v>
      </c>
      <c r="J333">
        <f t="shared" si="61"/>
        <v>0</v>
      </c>
      <c r="K333" t="str">
        <f t="shared" si="62"/>
        <v>January</v>
      </c>
      <c r="L333" t="str">
        <f t="shared" si="63"/>
        <v>Q1</v>
      </c>
      <c r="M333" s="2">
        <f t="shared" si="64"/>
        <v>1900</v>
      </c>
      <c r="N333" t="str">
        <f ca="1">IF(COUNTIFS(A$2:A333,A333,O$2:O333,O333)&gt;1,"Repeat","New")</f>
        <v>New</v>
      </c>
      <c r="O333" s="2" t="e">
        <f t="shared" ca="1" si="65"/>
        <v>#VALUE!</v>
      </c>
      <c r="P333" s="3" t="e">
        <f t="shared" ca="1" si="66"/>
        <v>#VALUE!</v>
      </c>
      <c r="Q333" t="str">
        <f t="shared" si="67"/>
        <v>Jan-00</v>
      </c>
      <c r="R333" t="str">
        <f t="shared" si="68"/>
        <v>Q1</v>
      </c>
      <c r="S333">
        <f t="shared" si="69"/>
        <v>1900</v>
      </c>
      <c r="T333" t="str">
        <f t="shared" si="70"/>
        <v>Retail</v>
      </c>
    </row>
    <row r="334" spans="8:20" x14ac:dyDescent="0.3">
      <c r="H334">
        <f t="shared" si="71"/>
        <v>0</v>
      </c>
      <c r="I334">
        <f t="shared" si="60"/>
        <v>0</v>
      </c>
      <c r="J334">
        <f t="shared" si="61"/>
        <v>0</v>
      </c>
      <c r="K334" t="str">
        <f t="shared" si="62"/>
        <v>January</v>
      </c>
      <c r="L334" t="str">
        <f t="shared" si="63"/>
        <v>Q1</v>
      </c>
      <c r="M334" s="2">
        <f t="shared" si="64"/>
        <v>1900</v>
      </c>
      <c r="N334" t="str">
        <f ca="1">IF(COUNTIFS(A$2:A334,A334,O$2:O334,O334)&gt;1,"Repeat","New")</f>
        <v>New</v>
      </c>
      <c r="O334" s="2" t="e">
        <f t="shared" ca="1" si="65"/>
        <v>#VALUE!</v>
      </c>
      <c r="P334" s="3" t="e">
        <f t="shared" ca="1" si="66"/>
        <v>#VALUE!</v>
      </c>
      <c r="Q334" t="str">
        <f t="shared" si="67"/>
        <v>Jan-00</v>
      </c>
      <c r="R334" t="str">
        <f t="shared" si="68"/>
        <v>Q1</v>
      </c>
      <c r="S334">
        <f t="shared" si="69"/>
        <v>1900</v>
      </c>
      <c r="T334" t="str">
        <f t="shared" si="70"/>
        <v>Retail</v>
      </c>
    </row>
    <row r="335" spans="8:20" x14ac:dyDescent="0.3">
      <c r="H335">
        <f t="shared" si="71"/>
        <v>0</v>
      </c>
      <c r="I335">
        <f t="shared" si="60"/>
        <v>0</v>
      </c>
      <c r="J335">
        <f t="shared" si="61"/>
        <v>0</v>
      </c>
      <c r="K335" t="str">
        <f t="shared" si="62"/>
        <v>January</v>
      </c>
      <c r="L335" t="str">
        <f t="shared" si="63"/>
        <v>Q1</v>
      </c>
      <c r="M335" s="2">
        <f t="shared" si="64"/>
        <v>1900</v>
      </c>
      <c r="N335" t="str">
        <f ca="1">IF(COUNTIFS(A$2:A335,A335,O$2:O335,O335)&gt;1,"Repeat","New")</f>
        <v>New</v>
      </c>
      <c r="O335" s="2" t="e">
        <f t="shared" ca="1" si="65"/>
        <v>#VALUE!</v>
      </c>
      <c r="P335" s="3" t="e">
        <f t="shared" ca="1" si="66"/>
        <v>#VALUE!</v>
      </c>
      <c r="Q335" t="str">
        <f t="shared" si="67"/>
        <v>Jan-00</v>
      </c>
      <c r="R335" t="str">
        <f t="shared" si="68"/>
        <v>Q1</v>
      </c>
      <c r="S335">
        <f t="shared" si="69"/>
        <v>1900</v>
      </c>
      <c r="T335" t="str">
        <f t="shared" si="70"/>
        <v>Retail</v>
      </c>
    </row>
    <row r="336" spans="8:20" x14ac:dyDescent="0.3">
      <c r="H336">
        <f t="shared" si="71"/>
        <v>0</v>
      </c>
      <c r="I336">
        <f t="shared" si="60"/>
        <v>0</v>
      </c>
      <c r="J336">
        <f t="shared" si="61"/>
        <v>0</v>
      </c>
      <c r="K336" t="str">
        <f t="shared" si="62"/>
        <v>January</v>
      </c>
      <c r="L336" t="str">
        <f t="shared" si="63"/>
        <v>Q1</v>
      </c>
      <c r="M336" s="2">
        <f t="shared" si="64"/>
        <v>1900</v>
      </c>
      <c r="N336" t="str">
        <f ca="1">IF(COUNTIFS(A$2:A336,A336,O$2:O336,O336)&gt;1,"Repeat","New")</f>
        <v>New</v>
      </c>
      <c r="O336" s="2" t="e">
        <f t="shared" ca="1" si="65"/>
        <v>#VALUE!</v>
      </c>
      <c r="P336" s="3" t="e">
        <f t="shared" ca="1" si="66"/>
        <v>#VALUE!</v>
      </c>
      <c r="Q336" t="str">
        <f t="shared" si="67"/>
        <v>Jan-00</v>
      </c>
      <c r="R336" t="str">
        <f t="shared" si="68"/>
        <v>Q1</v>
      </c>
      <c r="S336">
        <f t="shared" si="69"/>
        <v>1900</v>
      </c>
      <c r="T336" t="str">
        <f t="shared" si="70"/>
        <v>Retail</v>
      </c>
    </row>
    <row r="337" spans="8:20" x14ac:dyDescent="0.3">
      <c r="H337">
        <f t="shared" si="71"/>
        <v>0</v>
      </c>
      <c r="I337">
        <f t="shared" si="60"/>
        <v>0</v>
      </c>
      <c r="J337">
        <f t="shared" si="61"/>
        <v>0</v>
      </c>
      <c r="K337" t="str">
        <f t="shared" si="62"/>
        <v>January</v>
      </c>
      <c r="L337" t="str">
        <f t="shared" si="63"/>
        <v>Q1</v>
      </c>
      <c r="M337" s="2">
        <f t="shared" si="64"/>
        <v>1900</v>
      </c>
      <c r="N337" t="str">
        <f ca="1">IF(COUNTIFS(A$2:A337,A337,O$2:O337,O337)&gt;1,"Repeat","New")</f>
        <v>New</v>
      </c>
      <c r="O337" s="2" t="e">
        <f t="shared" ca="1" si="65"/>
        <v>#VALUE!</v>
      </c>
      <c r="P337" s="3" t="e">
        <f t="shared" ca="1" si="66"/>
        <v>#VALUE!</v>
      </c>
      <c r="Q337" t="str">
        <f t="shared" si="67"/>
        <v>Jan-00</v>
      </c>
      <c r="R337" t="str">
        <f t="shared" si="68"/>
        <v>Q1</v>
      </c>
      <c r="S337">
        <f t="shared" si="69"/>
        <v>1900</v>
      </c>
      <c r="T337" t="str">
        <f t="shared" si="70"/>
        <v>Retail</v>
      </c>
    </row>
    <row r="338" spans="8:20" x14ac:dyDescent="0.3">
      <c r="H338">
        <f t="shared" si="71"/>
        <v>0</v>
      </c>
      <c r="I338">
        <f t="shared" si="60"/>
        <v>0</v>
      </c>
      <c r="J338">
        <f t="shared" si="61"/>
        <v>0</v>
      </c>
      <c r="K338" t="str">
        <f t="shared" si="62"/>
        <v>January</v>
      </c>
      <c r="L338" t="str">
        <f t="shared" si="63"/>
        <v>Q1</v>
      </c>
      <c r="M338" s="2">
        <f t="shared" si="64"/>
        <v>1900</v>
      </c>
      <c r="N338" t="str">
        <f ca="1">IF(COUNTIFS(A$2:A338,A338,O$2:O338,O338)&gt;1,"Repeat","New")</f>
        <v>New</v>
      </c>
      <c r="O338" s="2" t="e">
        <f t="shared" ca="1" si="65"/>
        <v>#VALUE!</v>
      </c>
      <c r="P338" s="3" t="e">
        <f t="shared" ca="1" si="66"/>
        <v>#VALUE!</v>
      </c>
      <c r="Q338" t="str">
        <f t="shared" si="67"/>
        <v>Jan-00</v>
      </c>
      <c r="R338" t="str">
        <f t="shared" si="68"/>
        <v>Q1</v>
      </c>
      <c r="S338">
        <f t="shared" si="69"/>
        <v>1900</v>
      </c>
      <c r="T338" t="str">
        <f t="shared" si="70"/>
        <v>Retail</v>
      </c>
    </row>
    <row r="339" spans="8:20" x14ac:dyDescent="0.3">
      <c r="H339">
        <f t="shared" si="71"/>
        <v>0</v>
      </c>
      <c r="I339">
        <f t="shared" si="60"/>
        <v>0</v>
      </c>
      <c r="J339">
        <f t="shared" si="61"/>
        <v>0</v>
      </c>
      <c r="K339" t="str">
        <f t="shared" si="62"/>
        <v>January</v>
      </c>
      <c r="L339" t="str">
        <f t="shared" si="63"/>
        <v>Q1</v>
      </c>
      <c r="M339" s="2">
        <f t="shared" si="64"/>
        <v>1900</v>
      </c>
      <c r="N339" t="str">
        <f ca="1">IF(COUNTIFS(A$2:A339,A339,O$2:O339,O339)&gt;1,"Repeat","New")</f>
        <v>New</v>
      </c>
      <c r="O339" s="2" t="e">
        <f t="shared" ca="1" si="65"/>
        <v>#VALUE!</v>
      </c>
      <c r="P339" s="3" t="e">
        <f t="shared" ca="1" si="66"/>
        <v>#VALUE!</v>
      </c>
      <c r="Q339" t="str">
        <f t="shared" si="67"/>
        <v>Jan-00</v>
      </c>
      <c r="R339" t="str">
        <f t="shared" si="68"/>
        <v>Q1</v>
      </c>
      <c r="S339">
        <f t="shared" si="69"/>
        <v>1900</v>
      </c>
      <c r="T339" t="str">
        <f t="shared" si="70"/>
        <v>Retail</v>
      </c>
    </row>
    <row r="340" spans="8:20" x14ac:dyDescent="0.3">
      <c r="H340">
        <f t="shared" si="71"/>
        <v>0</v>
      </c>
      <c r="I340">
        <f t="shared" si="60"/>
        <v>0</v>
      </c>
      <c r="J340">
        <f t="shared" si="61"/>
        <v>0</v>
      </c>
      <c r="K340" t="str">
        <f t="shared" si="62"/>
        <v>January</v>
      </c>
      <c r="L340" t="str">
        <f t="shared" si="63"/>
        <v>Q1</v>
      </c>
      <c r="M340" s="2">
        <f t="shared" si="64"/>
        <v>1900</v>
      </c>
      <c r="N340" t="str">
        <f ca="1">IF(COUNTIFS(A$2:A340,A340,O$2:O340,O340)&gt;1,"Repeat","New")</f>
        <v>New</v>
      </c>
      <c r="O340" s="2" t="e">
        <f t="shared" ca="1" si="65"/>
        <v>#VALUE!</v>
      </c>
      <c r="P340" s="3" t="e">
        <f t="shared" ca="1" si="66"/>
        <v>#VALUE!</v>
      </c>
      <c r="Q340" t="str">
        <f t="shared" si="67"/>
        <v>Jan-00</v>
      </c>
      <c r="R340" t="str">
        <f t="shared" si="68"/>
        <v>Q1</v>
      </c>
      <c r="S340">
        <f t="shared" si="69"/>
        <v>1900</v>
      </c>
      <c r="T340" t="str">
        <f t="shared" si="70"/>
        <v>Retail</v>
      </c>
    </row>
    <row r="341" spans="8:20" x14ac:dyDescent="0.3">
      <c r="H341">
        <f t="shared" si="71"/>
        <v>0</v>
      </c>
      <c r="I341">
        <f t="shared" si="60"/>
        <v>0</v>
      </c>
      <c r="J341">
        <f t="shared" si="61"/>
        <v>0</v>
      </c>
      <c r="K341" t="str">
        <f t="shared" si="62"/>
        <v>January</v>
      </c>
      <c r="L341" t="str">
        <f t="shared" si="63"/>
        <v>Q1</v>
      </c>
      <c r="M341" s="2">
        <f t="shared" si="64"/>
        <v>1900</v>
      </c>
      <c r="N341" t="str">
        <f ca="1">IF(COUNTIFS(A$2:A341,A341,O$2:O341,O341)&gt;1,"Repeat","New")</f>
        <v>New</v>
      </c>
      <c r="O341" s="2" t="e">
        <f t="shared" ca="1" si="65"/>
        <v>#VALUE!</v>
      </c>
      <c r="P341" s="3" t="e">
        <f t="shared" ca="1" si="66"/>
        <v>#VALUE!</v>
      </c>
      <c r="Q341" t="str">
        <f t="shared" si="67"/>
        <v>Jan-00</v>
      </c>
      <c r="R341" t="str">
        <f t="shared" si="68"/>
        <v>Q1</v>
      </c>
      <c r="S341">
        <f t="shared" si="69"/>
        <v>1900</v>
      </c>
      <c r="T341" t="str">
        <f t="shared" si="70"/>
        <v>Retail</v>
      </c>
    </row>
    <row r="342" spans="8:20" x14ac:dyDescent="0.3">
      <c r="H342">
        <f t="shared" si="71"/>
        <v>0</v>
      </c>
      <c r="I342">
        <f t="shared" si="60"/>
        <v>0</v>
      </c>
      <c r="J342">
        <f t="shared" si="61"/>
        <v>0</v>
      </c>
      <c r="K342" t="str">
        <f t="shared" si="62"/>
        <v>January</v>
      </c>
      <c r="L342" t="str">
        <f t="shared" si="63"/>
        <v>Q1</v>
      </c>
      <c r="M342" s="2">
        <f t="shared" si="64"/>
        <v>1900</v>
      </c>
      <c r="N342" t="str">
        <f ca="1">IF(COUNTIFS(A$2:A342,A342,O$2:O342,O342)&gt;1,"Repeat","New")</f>
        <v>New</v>
      </c>
      <c r="O342" s="2" t="e">
        <f t="shared" ca="1" si="65"/>
        <v>#VALUE!</v>
      </c>
      <c r="P342" s="3" t="e">
        <f t="shared" ca="1" si="66"/>
        <v>#VALUE!</v>
      </c>
      <c r="Q342" t="str">
        <f t="shared" si="67"/>
        <v>Jan-00</v>
      </c>
      <c r="R342" t="str">
        <f t="shared" si="68"/>
        <v>Q1</v>
      </c>
      <c r="S342">
        <f t="shared" si="69"/>
        <v>1900</v>
      </c>
      <c r="T342" t="str">
        <f t="shared" si="70"/>
        <v>Retail</v>
      </c>
    </row>
    <row r="343" spans="8:20" x14ac:dyDescent="0.3">
      <c r="H343">
        <f t="shared" si="71"/>
        <v>0</v>
      </c>
      <c r="I343">
        <f t="shared" si="60"/>
        <v>0</v>
      </c>
      <c r="J343">
        <f t="shared" si="61"/>
        <v>0</v>
      </c>
      <c r="K343" t="str">
        <f t="shared" si="62"/>
        <v>January</v>
      </c>
      <c r="L343" t="str">
        <f t="shared" si="63"/>
        <v>Q1</v>
      </c>
      <c r="M343" s="2">
        <f t="shared" si="64"/>
        <v>1900</v>
      </c>
      <c r="N343" t="str">
        <f ca="1">IF(COUNTIFS(A$2:A343,A343,O$2:O343,O343)&gt;1,"Repeat","New")</f>
        <v>New</v>
      </c>
      <c r="O343" s="2" t="e">
        <f t="shared" ca="1" si="65"/>
        <v>#VALUE!</v>
      </c>
      <c r="P343" s="3" t="e">
        <f t="shared" ca="1" si="66"/>
        <v>#VALUE!</v>
      </c>
      <c r="Q343" t="str">
        <f t="shared" si="67"/>
        <v>Jan-00</v>
      </c>
      <c r="R343" t="str">
        <f t="shared" si="68"/>
        <v>Q1</v>
      </c>
      <c r="S343">
        <f t="shared" si="69"/>
        <v>1900</v>
      </c>
      <c r="T343" t="str">
        <f t="shared" si="70"/>
        <v>Retail</v>
      </c>
    </row>
    <row r="344" spans="8:20" x14ac:dyDescent="0.3">
      <c r="H344">
        <f t="shared" si="71"/>
        <v>0</v>
      </c>
      <c r="I344">
        <f t="shared" si="60"/>
        <v>0</v>
      </c>
      <c r="J344">
        <f t="shared" si="61"/>
        <v>0</v>
      </c>
      <c r="K344" t="str">
        <f t="shared" si="62"/>
        <v>January</v>
      </c>
      <c r="L344" t="str">
        <f t="shared" si="63"/>
        <v>Q1</v>
      </c>
      <c r="M344" s="2">
        <f t="shared" si="64"/>
        <v>1900</v>
      </c>
      <c r="N344" t="str">
        <f ca="1">IF(COUNTIFS(A$2:A344,A344,O$2:O344,O344)&gt;1,"Repeat","New")</f>
        <v>New</v>
      </c>
      <c r="O344" s="2" t="e">
        <f t="shared" ca="1" si="65"/>
        <v>#VALUE!</v>
      </c>
      <c r="P344" s="3" t="e">
        <f t="shared" ca="1" si="66"/>
        <v>#VALUE!</v>
      </c>
      <c r="Q344" t="str">
        <f t="shared" si="67"/>
        <v>Jan-00</v>
      </c>
      <c r="R344" t="str">
        <f t="shared" si="68"/>
        <v>Q1</v>
      </c>
      <c r="S344">
        <f t="shared" si="69"/>
        <v>1900</v>
      </c>
      <c r="T344" t="str">
        <f t="shared" si="70"/>
        <v>Retail</v>
      </c>
    </row>
    <row r="345" spans="8:20" x14ac:dyDescent="0.3">
      <c r="H345">
        <f t="shared" si="71"/>
        <v>0</v>
      </c>
      <c r="I345">
        <f t="shared" si="60"/>
        <v>0</v>
      </c>
      <c r="J345">
        <f t="shared" si="61"/>
        <v>0</v>
      </c>
      <c r="K345" t="str">
        <f t="shared" si="62"/>
        <v>January</v>
      </c>
      <c r="L345" t="str">
        <f t="shared" si="63"/>
        <v>Q1</v>
      </c>
      <c r="M345" s="2">
        <f t="shared" si="64"/>
        <v>1900</v>
      </c>
      <c r="N345" t="str">
        <f ca="1">IF(COUNTIFS(A$2:A345,A345,O$2:O345,O345)&gt;1,"Repeat","New")</f>
        <v>New</v>
      </c>
      <c r="O345" s="2" t="e">
        <f t="shared" ca="1" si="65"/>
        <v>#VALUE!</v>
      </c>
      <c r="P345" s="3" t="e">
        <f t="shared" ca="1" si="66"/>
        <v>#VALUE!</v>
      </c>
      <c r="Q345" t="str">
        <f t="shared" si="67"/>
        <v>Jan-00</v>
      </c>
      <c r="R345" t="str">
        <f t="shared" si="68"/>
        <v>Q1</v>
      </c>
      <c r="S345">
        <f t="shared" si="69"/>
        <v>1900</v>
      </c>
      <c r="T345" t="str">
        <f t="shared" si="70"/>
        <v>Retail</v>
      </c>
    </row>
    <row r="346" spans="8:20" x14ac:dyDescent="0.3">
      <c r="H346">
        <f t="shared" si="71"/>
        <v>0</v>
      </c>
      <c r="I346">
        <f t="shared" si="60"/>
        <v>0</v>
      </c>
      <c r="J346">
        <f t="shared" si="61"/>
        <v>0</v>
      </c>
      <c r="K346" t="str">
        <f t="shared" si="62"/>
        <v>January</v>
      </c>
      <c r="L346" t="str">
        <f t="shared" si="63"/>
        <v>Q1</v>
      </c>
      <c r="M346" s="2">
        <f t="shared" si="64"/>
        <v>1900</v>
      </c>
      <c r="N346" t="str">
        <f ca="1">IF(COUNTIFS(A$2:A346,A346,O$2:O346,O346)&gt;1,"Repeat","New")</f>
        <v>New</v>
      </c>
      <c r="O346" s="2" t="e">
        <f t="shared" ca="1" si="65"/>
        <v>#VALUE!</v>
      </c>
      <c r="P346" s="3" t="e">
        <f t="shared" ca="1" si="66"/>
        <v>#VALUE!</v>
      </c>
      <c r="Q346" t="str">
        <f t="shared" si="67"/>
        <v>Jan-00</v>
      </c>
      <c r="R346" t="str">
        <f t="shared" si="68"/>
        <v>Q1</v>
      </c>
      <c r="S346">
        <f t="shared" si="69"/>
        <v>1900</v>
      </c>
      <c r="T346" t="str">
        <f t="shared" si="70"/>
        <v>Retail</v>
      </c>
    </row>
    <row r="347" spans="8:20" x14ac:dyDescent="0.3">
      <c r="H347">
        <f t="shared" si="71"/>
        <v>0</v>
      </c>
      <c r="I347">
        <f t="shared" si="60"/>
        <v>0</v>
      </c>
      <c r="J347">
        <f t="shared" si="61"/>
        <v>0</v>
      </c>
      <c r="K347" t="str">
        <f t="shared" si="62"/>
        <v>January</v>
      </c>
      <c r="L347" t="str">
        <f t="shared" si="63"/>
        <v>Q1</v>
      </c>
      <c r="M347" s="2">
        <f t="shared" si="64"/>
        <v>1900</v>
      </c>
      <c r="N347" t="str">
        <f ca="1">IF(COUNTIFS(A$2:A347,A347,O$2:O347,O347)&gt;1,"Repeat","New")</f>
        <v>New</v>
      </c>
      <c r="O347" s="2" t="e">
        <f t="shared" ca="1" si="65"/>
        <v>#VALUE!</v>
      </c>
      <c r="P347" s="3" t="e">
        <f t="shared" ca="1" si="66"/>
        <v>#VALUE!</v>
      </c>
      <c r="Q347" t="str">
        <f t="shared" si="67"/>
        <v>Jan-00</v>
      </c>
      <c r="R347" t="str">
        <f t="shared" si="68"/>
        <v>Q1</v>
      </c>
      <c r="S347">
        <f t="shared" si="69"/>
        <v>1900</v>
      </c>
      <c r="T347" t="str">
        <f t="shared" si="70"/>
        <v>Retail</v>
      </c>
    </row>
    <row r="348" spans="8:20" x14ac:dyDescent="0.3">
      <c r="H348">
        <f t="shared" si="71"/>
        <v>0</v>
      </c>
      <c r="I348">
        <f t="shared" si="60"/>
        <v>0</v>
      </c>
      <c r="J348">
        <f t="shared" si="61"/>
        <v>0</v>
      </c>
      <c r="K348" t="str">
        <f t="shared" si="62"/>
        <v>January</v>
      </c>
      <c r="L348" t="str">
        <f t="shared" si="63"/>
        <v>Q1</v>
      </c>
      <c r="M348" s="2">
        <f t="shared" si="64"/>
        <v>1900</v>
      </c>
      <c r="N348" t="str">
        <f ca="1">IF(COUNTIFS(A$2:A348,A348,O$2:O348,O348)&gt;1,"Repeat","New")</f>
        <v>New</v>
      </c>
      <c r="O348" s="2" t="e">
        <f t="shared" ca="1" si="65"/>
        <v>#VALUE!</v>
      </c>
      <c r="P348" s="3" t="e">
        <f t="shared" ca="1" si="66"/>
        <v>#VALUE!</v>
      </c>
      <c r="Q348" t="str">
        <f t="shared" si="67"/>
        <v>Jan-00</v>
      </c>
      <c r="R348" t="str">
        <f t="shared" si="68"/>
        <v>Q1</v>
      </c>
      <c r="S348">
        <f t="shared" si="69"/>
        <v>1900</v>
      </c>
      <c r="T348" t="str">
        <f t="shared" si="70"/>
        <v>Retail</v>
      </c>
    </row>
    <row r="349" spans="8:20" x14ac:dyDescent="0.3">
      <c r="H349">
        <f t="shared" si="71"/>
        <v>0</v>
      </c>
      <c r="I349">
        <f t="shared" si="60"/>
        <v>0</v>
      </c>
      <c r="J349">
        <f t="shared" si="61"/>
        <v>0</v>
      </c>
      <c r="K349" t="str">
        <f t="shared" si="62"/>
        <v>January</v>
      </c>
      <c r="L349" t="str">
        <f t="shared" si="63"/>
        <v>Q1</v>
      </c>
      <c r="M349" s="2">
        <f t="shared" si="64"/>
        <v>1900</v>
      </c>
      <c r="N349" t="str">
        <f ca="1">IF(COUNTIFS(A$2:A349,A349,O$2:O349,O349)&gt;1,"Repeat","New")</f>
        <v>New</v>
      </c>
      <c r="O349" s="2" t="e">
        <f t="shared" ca="1" si="65"/>
        <v>#VALUE!</v>
      </c>
      <c r="P349" s="3" t="e">
        <f t="shared" ca="1" si="66"/>
        <v>#VALUE!</v>
      </c>
      <c r="Q349" t="str">
        <f t="shared" si="67"/>
        <v>Jan-00</v>
      </c>
      <c r="R349" t="str">
        <f t="shared" si="68"/>
        <v>Q1</v>
      </c>
      <c r="S349">
        <f t="shared" si="69"/>
        <v>1900</v>
      </c>
      <c r="T349" t="str">
        <f t="shared" si="70"/>
        <v>Retail</v>
      </c>
    </row>
    <row r="350" spans="8:20" x14ac:dyDescent="0.3">
      <c r="H350">
        <f t="shared" si="71"/>
        <v>0</v>
      </c>
      <c r="I350">
        <f t="shared" si="60"/>
        <v>0</v>
      </c>
      <c r="J350">
        <f t="shared" si="61"/>
        <v>0</v>
      </c>
      <c r="K350" t="str">
        <f t="shared" si="62"/>
        <v>January</v>
      </c>
      <c r="L350" t="str">
        <f t="shared" si="63"/>
        <v>Q1</v>
      </c>
      <c r="M350" s="2">
        <f t="shared" si="64"/>
        <v>1900</v>
      </c>
      <c r="N350" t="str">
        <f ca="1">IF(COUNTIFS(A$2:A350,A350,O$2:O350,O350)&gt;1,"Repeat","New")</f>
        <v>New</v>
      </c>
      <c r="O350" s="2" t="e">
        <f t="shared" ca="1" si="65"/>
        <v>#VALUE!</v>
      </c>
      <c r="P350" s="3" t="e">
        <f t="shared" ca="1" si="66"/>
        <v>#VALUE!</v>
      </c>
      <c r="Q350" t="str">
        <f t="shared" si="67"/>
        <v>Jan-00</v>
      </c>
      <c r="R350" t="str">
        <f t="shared" si="68"/>
        <v>Q1</v>
      </c>
      <c r="S350">
        <f t="shared" si="69"/>
        <v>1900</v>
      </c>
      <c r="T350" t="str">
        <f t="shared" si="70"/>
        <v>Retail</v>
      </c>
    </row>
    <row r="351" spans="8:20" x14ac:dyDescent="0.3">
      <c r="H351">
        <f t="shared" si="71"/>
        <v>0</v>
      </c>
      <c r="I351">
        <f t="shared" si="60"/>
        <v>0</v>
      </c>
      <c r="J351">
        <f t="shared" si="61"/>
        <v>0</v>
      </c>
      <c r="K351" t="str">
        <f t="shared" si="62"/>
        <v>January</v>
      </c>
      <c r="L351" t="str">
        <f t="shared" si="63"/>
        <v>Q1</v>
      </c>
      <c r="M351" s="2">
        <f t="shared" si="64"/>
        <v>1900</v>
      </c>
      <c r="N351" t="str">
        <f ca="1">IF(COUNTIFS(A$2:A351,A351,O$2:O351,O351)&gt;1,"Repeat","New")</f>
        <v>New</v>
      </c>
      <c r="O351" s="2" t="e">
        <f t="shared" ca="1" si="65"/>
        <v>#VALUE!</v>
      </c>
      <c r="P351" s="3" t="e">
        <f t="shared" ca="1" si="66"/>
        <v>#VALUE!</v>
      </c>
      <c r="Q351" t="str">
        <f t="shared" si="67"/>
        <v>Jan-00</v>
      </c>
      <c r="R351" t="str">
        <f t="shared" si="68"/>
        <v>Q1</v>
      </c>
      <c r="S351">
        <f t="shared" si="69"/>
        <v>1900</v>
      </c>
      <c r="T351" t="str">
        <f t="shared" si="70"/>
        <v>Retail</v>
      </c>
    </row>
    <row r="352" spans="8:20" x14ac:dyDescent="0.3">
      <c r="H352">
        <f t="shared" si="71"/>
        <v>0</v>
      </c>
      <c r="I352">
        <f t="shared" si="60"/>
        <v>0</v>
      </c>
      <c r="J352">
        <f t="shared" si="61"/>
        <v>0</v>
      </c>
      <c r="K352" t="str">
        <f t="shared" si="62"/>
        <v>January</v>
      </c>
      <c r="L352" t="str">
        <f t="shared" si="63"/>
        <v>Q1</v>
      </c>
      <c r="M352" s="2">
        <f t="shared" si="64"/>
        <v>1900</v>
      </c>
      <c r="N352" t="str">
        <f ca="1">IF(COUNTIFS(A$2:A352,A352,O$2:O352,O352)&gt;1,"Repeat","New")</f>
        <v>New</v>
      </c>
      <c r="O352" s="2" t="e">
        <f t="shared" ca="1" si="65"/>
        <v>#VALUE!</v>
      </c>
      <c r="P352" s="3" t="e">
        <f t="shared" ca="1" si="66"/>
        <v>#VALUE!</v>
      </c>
      <c r="Q352" t="str">
        <f t="shared" si="67"/>
        <v>Jan-00</v>
      </c>
      <c r="R352" t="str">
        <f t="shared" si="68"/>
        <v>Q1</v>
      </c>
      <c r="S352">
        <f t="shared" si="69"/>
        <v>1900</v>
      </c>
      <c r="T352" t="str">
        <f t="shared" si="70"/>
        <v>Retail</v>
      </c>
    </row>
    <row r="353" spans="8:20" x14ac:dyDescent="0.3">
      <c r="H353">
        <f t="shared" si="71"/>
        <v>0</v>
      </c>
      <c r="I353">
        <f t="shared" si="60"/>
        <v>0</v>
      </c>
      <c r="J353">
        <f t="shared" si="61"/>
        <v>0</v>
      </c>
      <c r="K353" t="str">
        <f t="shared" si="62"/>
        <v>January</v>
      </c>
      <c r="L353" t="str">
        <f t="shared" si="63"/>
        <v>Q1</v>
      </c>
      <c r="M353" s="2">
        <f t="shared" si="64"/>
        <v>1900</v>
      </c>
      <c r="N353" t="str">
        <f ca="1">IF(COUNTIFS(A$2:A353,A353,O$2:O353,O353)&gt;1,"Repeat","New")</f>
        <v>New</v>
      </c>
      <c r="O353" s="2" t="e">
        <f t="shared" ca="1" si="65"/>
        <v>#VALUE!</v>
      </c>
      <c r="P353" s="3" t="e">
        <f t="shared" ca="1" si="66"/>
        <v>#VALUE!</v>
      </c>
      <c r="Q353" t="str">
        <f t="shared" si="67"/>
        <v>Jan-00</v>
      </c>
      <c r="R353" t="str">
        <f t="shared" si="68"/>
        <v>Q1</v>
      </c>
      <c r="S353">
        <f t="shared" si="69"/>
        <v>1900</v>
      </c>
      <c r="T353" t="str">
        <f t="shared" si="70"/>
        <v>Retail</v>
      </c>
    </row>
    <row r="354" spans="8:20" x14ac:dyDescent="0.3">
      <c r="H354">
        <f t="shared" si="71"/>
        <v>0</v>
      </c>
      <c r="I354">
        <f t="shared" si="60"/>
        <v>0</v>
      </c>
      <c r="J354">
        <f t="shared" si="61"/>
        <v>0</v>
      </c>
      <c r="K354" t="str">
        <f t="shared" si="62"/>
        <v>January</v>
      </c>
      <c r="L354" t="str">
        <f t="shared" si="63"/>
        <v>Q1</v>
      </c>
      <c r="M354" s="2">
        <f t="shared" si="64"/>
        <v>1900</v>
      </c>
      <c r="N354" t="str">
        <f ca="1">IF(COUNTIFS(A$2:A354,A354,O$2:O354,O354)&gt;1,"Repeat","New")</f>
        <v>New</v>
      </c>
      <c r="O354" s="2" t="e">
        <f t="shared" ca="1" si="65"/>
        <v>#VALUE!</v>
      </c>
      <c r="P354" s="3" t="e">
        <f t="shared" ca="1" si="66"/>
        <v>#VALUE!</v>
      </c>
      <c r="Q354" t="str">
        <f t="shared" si="67"/>
        <v>Jan-00</v>
      </c>
      <c r="R354" t="str">
        <f t="shared" si="68"/>
        <v>Q1</v>
      </c>
      <c r="S354">
        <f t="shared" si="69"/>
        <v>1900</v>
      </c>
      <c r="T354" t="str">
        <f t="shared" si="70"/>
        <v>Retail</v>
      </c>
    </row>
    <row r="355" spans="8:20" x14ac:dyDescent="0.3">
      <c r="H355">
        <f t="shared" si="71"/>
        <v>0</v>
      </c>
      <c r="I355">
        <f t="shared" si="60"/>
        <v>0</v>
      </c>
      <c r="J355">
        <f t="shared" si="61"/>
        <v>0</v>
      </c>
      <c r="K355" t="str">
        <f t="shared" si="62"/>
        <v>January</v>
      </c>
      <c r="L355" t="str">
        <f t="shared" si="63"/>
        <v>Q1</v>
      </c>
      <c r="M355" s="2">
        <f t="shared" si="64"/>
        <v>1900</v>
      </c>
      <c r="N355" t="str">
        <f ca="1">IF(COUNTIFS(A$2:A355,A355,O$2:O355,O355)&gt;1,"Repeat","New")</f>
        <v>New</v>
      </c>
      <c r="O355" s="2" t="e">
        <f t="shared" ca="1" si="65"/>
        <v>#VALUE!</v>
      </c>
      <c r="P355" s="3" t="e">
        <f t="shared" ca="1" si="66"/>
        <v>#VALUE!</v>
      </c>
      <c r="Q355" t="str">
        <f t="shared" si="67"/>
        <v>Jan-00</v>
      </c>
      <c r="R355" t="str">
        <f t="shared" si="68"/>
        <v>Q1</v>
      </c>
      <c r="S355">
        <f t="shared" si="69"/>
        <v>1900</v>
      </c>
      <c r="T355" t="str">
        <f t="shared" si="70"/>
        <v>Retail</v>
      </c>
    </row>
    <row r="356" spans="8:20" x14ac:dyDescent="0.3">
      <c r="H356">
        <f t="shared" si="71"/>
        <v>0</v>
      </c>
      <c r="I356">
        <f t="shared" si="60"/>
        <v>0</v>
      </c>
      <c r="J356">
        <f t="shared" si="61"/>
        <v>0</v>
      </c>
      <c r="K356" t="str">
        <f t="shared" si="62"/>
        <v>January</v>
      </c>
      <c r="L356" t="str">
        <f t="shared" si="63"/>
        <v>Q1</v>
      </c>
      <c r="M356" s="2">
        <f t="shared" si="64"/>
        <v>1900</v>
      </c>
      <c r="N356" t="str">
        <f ca="1">IF(COUNTIFS(A$2:A356,A356,O$2:O356,O356)&gt;1,"Repeat","New")</f>
        <v>New</v>
      </c>
      <c r="O356" s="2" t="e">
        <f t="shared" ca="1" si="65"/>
        <v>#VALUE!</v>
      </c>
      <c r="P356" s="3" t="e">
        <f t="shared" ca="1" si="66"/>
        <v>#VALUE!</v>
      </c>
      <c r="Q356" t="str">
        <f t="shared" si="67"/>
        <v>Jan-00</v>
      </c>
      <c r="R356" t="str">
        <f t="shared" si="68"/>
        <v>Q1</v>
      </c>
      <c r="S356">
        <f t="shared" si="69"/>
        <v>1900</v>
      </c>
      <c r="T356" t="str">
        <f t="shared" si="70"/>
        <v>Retail</v>
      </c>
    </row>
    <row r="357" spans="8:20" x14ac:dyDescent="0.3">
      <c r="H357">
        <f t="shared" si="71"/>
        <v>0</v>
      </c>
      <c r="I357">
        <f t="shared" si="60"/>
        <v>0</v>
      </c>
      <c r="J357">
        <f t="shared" si="61"/>
        <v>0</v>
      </c>
      <c r="K357" t="str">
        <f t="shared" si="62"/>
        <v>January</v>
      </c>
      <c r="L357" t="str">
        <f t="shared" si="63"/>
        <v>Q1</v>
      </c>
      <c r="M357" s="2">
        <f t="shared" si="64"/>
        <v>1900</v>
      </c>
      <c r="N357" t="str">
        <f ca="1">IF(COUNTIFS(A$2:A357,A357,O$2:O357,O357)&gt;1,"Repeat","New")</f>
        <v>New</v>
      </c>
      <c r="O357" s="2" t="e">
        <f t="shared" ca="1" si="65"/>
        <v>#VALUE!</v>
      </c>
      <c r="P357" s="3" t="e">
        <f t="shared" ca="1" si="66"/>
        <v>#VALUE!</v>
      </c>
      <c r="Q357" t="str">
        <f t="shared" si="67"/>
        <v>Jan-00</v>
      </c>
      <c r="R357" t="str">
        <f t="shared" si="68"/>
        <v>Q1</v>
      </c>
      <c r="S357">
        <f t="shared" si="69"/>
        <v>1900</v>
      </c>
      <c r="T357" t="str">
        <f t="shared" si="70"/>
        <v>Retail</v>
      </c>
    </row>
    <row r="358" spans="8:20" x14ac:dyDescent="0.3">
      <c r="H358">
        <f t="shared" si="71"/>
        <v>0</v>
      </c>
      <c r="I358">
        <f t="shared" si="60"/>
        <v>0</v>
      </c>
      <c r="J358">
        <f t="shared" si="61"/>
        <v>0</v>
      </c>
      <c r="K358" t="str">
        <f t="shared" si="62"/>
        <v>January</v>
      </c>
      <c r="L358" t="str">
        <f t="shared" si="63"/>
        <v>Q1</v>
      </c>
      <c r="M358" s="2">
        <f t="shared" si="64"/>
        <v>1900</v>
      </c>
      <c r="N358" t="str">
        <f ca="1">IF(COUNTIFS(A$2:A358,A358,O$2:O358,O358)&gt;1,"Repeat","New")</f>
        <v>New</v>
      </c>
      <c r="O358" s="2" t="e">
        <f t="shared" ca="1" si="65"/>
        <v>#VALUE!</v>
      </c>
      <c r="P358" s="3" t="e">
        <f t="shared" ca="1" si="66"/>
        <v>#VALUE!</v>
      </c>
      <c r="Q358" t="str">
        <f t="shared" si="67"/>
        <v>Jan-00</v>
      </c>
      <c r="R358" t="str">
        <f t="shared" si="68"/>
        <v>Q1</v>
      </c>
      <c r="S358">
        <f t="shared" si="69"/>
        <v>1900</v>
      </c>
      <c r="T358" t="str">
        <f t="shared" si="70"/>
        <v>Retail</v>
      </c>
    </row>
    <row r="359" spans="8:20" x14ac:dyDescent="0.3">
      <c r="H359">
        <f t="shared" si="71"/>
        <v>0</v>
      </c>
      <c r="I359">
        <f t="shared" si="60"/>
        <v>0</v>
      </c>
      <c r="J359">
        <f t="shared" si="61"/>
        <v>0</v>
      </c>
      <c r="K359" t="str">
        <f t="shared" si="62"/>
        <v>January</v>
      </c>
      <c r="L359" t="str">
        <f t="shared" si="63"/>
        <v>Q1</v>
      </c>
      <c r="M359" s="2">
        <f t="shared" si="64"/>
        <v>1900</v>
      </c>
      <c r="N359" t="str">
        <f ca="1">IF(COUNTIFS(A$2:A359,A359,O$2:O359,O359)&gt;1,"Repeat","New")</f>
        <v>New</v>
      </c>
      <c r="O359" s="2" t="e">
        <f t="shared" ca="1" si="65"/>
        <v>#VALUE!</v>
      </c>
      <c r="P359" s="3" t="e">
        <f t="shared" ca="1" si="66"/>
        <v>#VALUE!</v>
      </c>
      <c r="Q359" t="str">
        <f t="shared" si="67"/>
        <v>Jan-00</v>
      </c>
      <c r="R359" t="str">
        <f t="shared" si="68"/>
        <v>Q1</v>
      </c>
      <c r="S359">
        <f t="shared" si="69"/>
        <v>1900</v>
      </c>
      <c r="T359" t="str">
        <f t="shared" si="70"/>
        <v>Retail</v>
      </c>
    </row>
    <row r="360" spans="8:20" x14ac:dyDescent="0.3">
      <c r="H360">
        <f t="shared" si="71"/>
        <v>0</v>
      </c>
      <c r="I360">
        <f t="shared" si="60"/>
        <v>0</v>
      </c>
      <c r="J360">
        <f t="shared" si="61"/>
        <v>0</v>
      </c>
      <c r="K360" t="str">
        <f t="shared" si="62"/>
        <v>January</v>
      </c>
      <c r="L360" t="str">
        <f t="shared" si="63"/>
        <v>Q1</v>
      </c>
      <c r="M360" s="2">
        <f t="shared" si="64"/>
        <v>1900</v>
      </c>
      <c r="N360" t="str">
        <f ca="1">IF(COUNTIFS(A$2:A360,A360,O$2:O360,O360)&gt;1,"Repeat","New")</f>
        <v>New</v>
      </c>
      <c r="O360" s="2" t="e">
        <f t="shared" ca="1" si="65"/>
        <v>#VALUE!</v>
      </c>
      <c r="P360" s="3" t="e">
        <f t="shared" ca="1" si="66"/>
        <v>#VALUE!</v>
      </c>
      <c r="Q360" t="str">
        <f t="shared" si="67"/>
        <v>Jan-00</v>
      </c>
      <c r="R360" t="str">
        <f t="shared" si="68"/>
        <v>Q1</v>
      </c>
      <c r="S360">
        <f t="shared" si="69"/>
        <v>1900</v>
      </c>
      <c r="T360" t="str">
        <f t="shared" si="70"/>
        <v>Retail</v>
      </c>
    </row>
    <row r="361" spans="8:20" x14ac:dyDescent="0.3">
      <c r="H361">
        <f t="shared" si="71"/>
        <v>0</v>
      </c>
      <c r="I361">
        <f t="shared" si="60"/>
        <v>0</v>
      </c>
      <c r="J361">
        <f t="shared" si="61"/>
        <v>0</v>
      </c>
      <c r="K361" t="str">
        <f t="shared" si="62"/>
        <v>January</v>
      </c>
      <c r="L361" t="str">
        <f t="shared" si="63"/>
        <v>Q1</v>
      </c>
      <c r="M361" s="2">
        <f t="shared" si="64"/>
        <v>1900</v>
      </c>
      <c r="N361" t="str">
        <f ca="1">IF(COUNTIFS(A$2:A361,A361,O$2:O361,O361)&gt;1,"Repeat","New")</f>
        <v>New</v>
      </c>
      <c r="O361" s="2" t="e">
        <f t="shared" ca="1" si="65"/>
        <v>#VALUE!</v>
      </c>
      <c r="P361" s="3" t="e">
        <f t="shared" ca="1" si="66"/>
        <v>#VALUE!</v>
      </c>
      <c r="Q361" t="str">
        <f t="shared" si="67"/>
        <v>Jan-00</v>
      </c>
      <c r="R361" t="str">
        <f t="shared" si="68"/>
        <v>Q1</v>
      </c>
      <c r="S361">
        <f t="shared" si="69"/>
        <v>1900</v>
      </c>
      <c r="T361" t="str">
        <f t="shared" si="70"/>
        <v>Retail</v>
      </c>
    </row>
    <row r="362" spans="8:20" x14ac:dyDescent="0.3">
      <c r="H362">
        <f t="shared" si="71"/>
        <v>0</v>
      </c>
      <c r="I362">
        <f t="shared" si="60"/>
        <v>0</v>
      </c>
      <c r="J362">
        <f t="shared" si="61"/>
        <v>0</v>
      </c>
      <c r="K362" t="str">
        <f t="shared" si="62"/>
        <v>January</v>
      </c>
      <c r="L362" t="str">
        <f t="shared" si="63"/>
        <v>Q1</v>
      </c>
      <c r="M362" s="2">
        <f t="shared" si="64"/>
        <v>1900</v>
      </c>
      <c r="N362" t="str">
        <f ca="1">IF(COUNTIFS(A$2:A362,A362,O$2:O362,O362)&gt;1,"Repeat","New")</f>
        <v>New</v>
      </c>
      <c r="O362" s="2" t="e">
        <f t="shared" ca="1" si="65"/>
        <v>#VALUE!</v>
      </c>
      <c r="P362" s="3" t="e">
        <f t="shared" ca="1" si="66"/>
        <v>#VALUE!</v>
      </c>
      <c r="Q362" t="str">
        <f t="shared" si="67"/>
        <v>Jan-00</v>
      </c>
      <c r="R362" t="str">
        <f t="shared" si="68"/>
        <v>Q1</v>
      </c>
      <c r="S362">
        <f t="shared" si="69"/>
        <v>1900</v>
      </c>
      <c r="T362" t="str">
        <f t="shared" si="70"/>
        <v>Retail</v>
      </c>
    </row>
    <row r="363" spans="8:20" x14ac:dyDescent="0.3">
      <c r="H363">
        <f t="shared" si="71"/>
        <v>0</v>
      </c>
      <c r="I363">
        <f t="shared" si="60"/>
        <v>0</v>
      </c>
      <c r="J363">
        <f t="shared" si="61"/>
        <v>0</v>
      </c>
      <c r="K363" t="str">
        <f t="shared" si="62"/>
        <v>January</v>
      </c>
      <c r="L363" t="str">
        <f t="shared" si="63"/>
        <v>Q1</v>
      </c>
      <c r="M363" s="2">
        <f t="shared" si="64"/>
        <v>1900</v>
      </c>
      <c r="N363" t="str">
        <f ca="1">IF(COUNTIFS(A$2:A363,A363,O$2:O363,O363)&gt;1,"Repeat","New")</f>
        <v>New</v>
      </c>
      <c r="O363" s="2" t="e">
        <f t="shared" ca="1" si="65"/>
        <v>#VALUE!</v>
      </c>
      <c r="P363" s="3" t="e">
        <f t="shared" ca="1" si="66"/>
        <v>#VALUE!</v>
      </c>
      <c r="Q363" t="str">
        <f t="shared" si="67"/>
        <v>Jan-00</v>
      </c>
      <c r="R363" t="str">
        <f t="shared" si="68"/>
        <v>Q1</v>
      </c>
      <c r="S363">
        <f t="shared" si="69"/>
        <v>1900</v>
      </c>
      <c r="T363" t="str">
        <f t="shared" si="70"/>
        <v>Retail</v>
      </c>
    </row>
    <row r="364" spans="8:20" x14ac:dyDescent="0.3">
      <c r="H364">
        <f t="shared" si="71"/>
        <v>0</v>
      </c>
      <c r="I364">
        <f t="shared" si="60"/>
        <v>0</v>
      </c>
      <c r="J364">
        <f t="shared" si="61"/>
        <v>0</v>
      </c>
      <c r="K364" t="str">
        <f t="shared" si="62"/>
        <v>January</v>
      </c>
      <c r="L364" t="str">
        <f t="shared" si="63"/>
        <v>Q1</v>
      </c>
      <c r="M364" s="2">
        <f t="shared" si="64"/>
        <v>1900</v>
      </c>
      <c r="N364" t="str">
        <f ca="1">IF(COUNTIFS(A$2:A364,A364,O$2:O364,O364)&gt;1,"Repeat","New")</f>
        <v>New</v>
      </c>
      <c r="O364" s="2" t="e">
        <f t="shared" ca="1" si="65"/>
        <v>#VALUE!</v>
      </c>
      <c r="P364" s="3" t="e">
        <f t="shared" ca="1" si="66"/>
        <v>#VALUE!</v>
      </c>
      <c r="Q364" t="str">
        <f t="shared" si="67"/>
        <v>Jan-00</v>
      </c>
      <c r="R364" t="str">
        <f t="shared" si="68"/>
        <v>Q1</v>
      </c>
      <c r="S364">
        <f t="shared" si="69"/>
        <v>1900</v>
      </c>
      <c r="T364" t="str">
        <f t="shared" si="70"/>
        <v>Retail</v>
      </c>
    </row>
    <row r="365" spans="8:20" x14ac:dyDescent="0.3">
      <c r="H365">
        <f t="shared" si="71"/>
        <v>0</v>
      </c>
      <c r="I365">
        <f t="shared" si="60"/>
        <v>0</v>
      </c>
      <c r="J365">
        <f t="shared" si="61"/>
        <v>0</v>
      </c>
      <c r="K365" t="str">
        <f t="shared" si="62"/>
        <v>January</v>
      </c>
      <c r="L365" t="str">
        <f t="shared" si="63"/>
        <v>Q1</v>
      </c>
      <c r="M365" s="2">
        <f t="shared" si="64"/>
        <v>1900</v>
      </c>
      <c r="N365" t="str">
        <f ca="1">IF(COUNTIFS(A$2:A365,A365,O$2:O365,O365)&gt;1,"Repeat","New")</f>
        <v>New</v>
      </c>
      <c r="O365" s="2" t="e">
        <f t="shared" ca="1" si="65"/>
        <v>#VALUE!</v>
      </c>
      <c r="P365" s="3" t="e">
        <f t="shared" ca="1" si="66"/>
        <v>#VALUE!</v>
      </c>
      <c r="Q365" t="str">
        <f t="shared" si="67"/>
        <v>Jan-00</v>
      </c>
      <c r="R365" t="str">
        <f t="shared" si="68"/>
        <v>Q1</v>
      </c>
      <c r="S365">
        <f t="shared" si="69"/>
        <v>1900</v>
      </c>
      <c r="T365" t="str">
        <f t="shared" si="70"/>
        <v>Retail</v>
      </c>
    </row>
    <row r="366" spans="8:20" x14ac:dyDescent="0.3">
      <c r="H366">
        <f t="shared" si="71"/>
        <v>0</v>
      </c>
      <c r="I366">
        <f t="shared" si="60"/>
        <v>0</v>
      </c>
      <c r="J366">
        <f t="shared" si="61"/>
        <v>0</v>
      </c>
      <c r="K366" t="str">
        <f t="shared" si="62"/>
        <v>January</v>
      </c>
      <c r="L366" t="str">
        <f t="shared" si="63"/>
        <v>Q1</v>
      </c>
      <c r="M366" s="2">
        <f t="shared" si="64"/>
        <v>1900</v>
      </c>
      <c r="N366" t="str">
        <f ca="1">IF(COUNTIFS(A$2:A366,A366,O$2:O366,O366)&gt;1,"Repeat","New")</f>
        <v>New</v>
      </c>
      <c r="O366" s="2" t="e">
        <f t="shared" ca="1" si="65"/>
        <v>#VALUE!</v>
      </c>
      <c r="P366" s="3" t="e">
        <f t="shared" ca="1" si="66"/>
        <v>#VALUE!</v>
      </c>
      <c r="Q366" t="str">
        <f t="shared" si="67"/>
        <v>Jan-00</v>
      </c>
      <c r="R366" t="str">
        <f t="shared" si="68"/>
        <v>Q1</v>
      </c>
      <c r="S366">
        <f t="shared" si="69"/>
        <v>1900</v>
      </c>
      <c r="T366" t="str">
        <f t="shared" si="70"/>
        <v>Retail</v>
      </c>
    </row>
    <row r="367" spans="8:20" x14ac:dyDescent="0.3">
      <c r="H367">
        <f t="shared" si="71"/>
        <v>0</v>
      </c>
      <c r="I367">
        <f t="shared" si="60"/>
        <v>0</v>
      </c>
      <c r="J367">
        <f t="shared" si="61"/>
        <v>0</v>
      </c>
      <c r="K367" t="str">
        <f t="shared" si="62"/>
        <v>January</v>
      </c>
      <c r="L367" t="str">
        <f t="shared" si="63"/>
        <v>Q1</v>
      </c>
      <c r="M367" s="2">
        <f t="shared" si="64"/>
        <v>1900</v>
      </c>
      <c r="N367" t="str">
        <f ca="1">IF(COUNTIFS(A$2:A367,A367,O$2:O367,O367)&gt;1,"Repeat","New")</f>
        <v>New</v>
      </c>
      <c r="O367" s="2" t="e">
        <f t="shared" ca="1" si="65"/>
        <v>#VALUE!</v>
      </c>
      <c r="P367" s="3" t="e">
        <f t="shared" ca="1" si="66"/>
        <v>#VALUE!</v>
      </c>
      <c r="Q367" t="str">
        <f t="shared" si="67"/>
        <v>Jan-00</v>
      </c>
      <c r="R367" t="str">
        <f t="shared" si="68"/>
        <v>Q1</v>
      </c>
      <c r="S367">
        <f t="shared" si="69"/>
        <v>1900</v>
      </c>
      <c r="T367" t="str">
        <f t="shared" si="70"/>
        <v>Retail</v>
      </c>
    </row>
    <row r="368" spans="8:20" x14ac:dyDescent="0.3">
      <c r="H368">
        <f t="shared" si="71"/>
        <v>0</v>
      </c>
      <c r="I368">
        <f t="shared" si="60"/>
        <v>0</v>
      </c>
      <c r="J368">
        <f t="shared" si="61"/>
        <v>0</v>
      </c>
      <c r="K368" t="str">
        <f t="shared" si="62"/>
        <v>January</v>
      </c>
      <c r="L368" t="str">
        <f t="shared" si="63"/>
        <v>Q1</v>
      </c>
      <c r="M368" s="2">
        <f t="shared" si="64"/>
        <v>1900</v>
      </c>
      <c r="N368" t="str">
        <f ca="1">IF(COUNTIFS(A$2:A368,A368,O$2:O368,O368)&gt;1,"Repeat","New")</f>
        <v>New</v>
      </c>
      <c r="O368" s="2" t="e">
        <f t="shared" ca="1" si="65"/>
        <v>#VALUE!</v>
      </c>
      <c r="P368" s="3" t="e">
        <f t="shared" ca="1" si="66"/>
        <v>#VALUE!</v>
      </c>
      <c r="Q368" t="str">
        <f t="shared" si="67"/>
        <v>Jan-00</v>
      </c>
      <c r="R368" t="str">
        <f t="shared" si="68"/>
        <v>Q1</v>
      </c>
      <c r="S368">
        <f t="shared" si="69"/>
        <v>1900</v>
      </c>
      <c r="T368" t="str">
        <f t="shared" si="70"/>
        <v>Retail</v>
      </c>
    </row>
    <row r="369" spans="8:20" x14ac:dyDescent="0.3">
      <c r="H369">
        <f t="shared" si="71"/>
        <v>0</v>
      </c>
      <c r="I369">
        <f t="shared" si="60"/>
        <v>0</v>
      </c>
      <c r="J369">
        <f t="shared" si="61"/>
        <v>0</v>
      </c>
      <c r="K369" t="str">
        <f t="shared" si="62"/>
        <v>January</v>
      </c>
      <c r="L369" t="str">
        <f t="shared" si="63"/>
        <v>Q1</v>
      </c>
      <c r="M369" s="2">
        <f t="shared" si="64"/>
        <v>1900</v>
      </c>
      <c r="N369" t="str">
        <f ca="1">IF(COUNTIFS(A$2:A369,A369,O$2:O369,O369)&gt;1,"Repeat","New")</f>
        <v>New</v>
      </c>
      <c r="O369" s="2" t="e">
        <f t="shared" ca="1" si="65"/>
        <v>#VALUE!</v>
      </c>
      <c r="P369" s="3" t="e">
        <f t="shared" ca="1" si="66"/>
        <v>#VALUE!</v>
      </c>
      <c r="Q369" t="str">
        <f t="shared" si="67"/>
        <v>Jan-00</v>
      </c>
      <c r="R369" t="str">
        <f t="shared" si="68"/>
        <v>Q1</v>
      </c>
      <c r="S369">
        <f t="shared" si="69"/>
        <v>1900</v>
      </c>
      <c r="T369" t="str">
        <f t="shared" si="70"/>
        <v>Retail</v>
      </c>
    </row>
    <row r="370" spans="8:20" x14ac:dyDescent="0.3">
      <c r="H370">
        <f t="shared" si="71"/>
        <v>0</v>
      </c>
      <c r="I370">
        <f t="shared" si="60"/>
        <v>0</v>
      </c>
      <c r="J370">
        <f t="shared" si="61"/>
        <v>0</v>
      </c>
      <c r="K370" t="str">
        <f t="shared" si="62"/>
        <v>January</v>
      </c>
      <c r="L370" t="str">
        <f t="shared" si="63"/>
        <v>Q1</v>
      </c>
      <c r="M370" s="2">
        <f t="shared" si="64"/>
        <v>1900</v>
      </c>
      <c r="N370" t="str">
        <f ca="1">IF(COUNTIFS(A$2:A370,A370,O$2:O370,O370)&gt;1,"Repeat","New")</f>
        <v>New</v>
      </c>
      <c r="O370" s="2" t="e">
        <f t="shared" ca="1" si="65"/>
        <v>#VALUE!</v>
      </c>
      <c r="P370" s="3" t="e">
        <f t="shared" ca="1" si="66"/>
        <v>#VALUE!</v>
      </c>
      <c r="Q370" t="str">
        <f t="shared" si="67"/>
        <v>Jan-00</v>
      </c>
      <c r="R370" t="str">
        <f t="shared" si="68"/>
        <v>Q1</v>
      </c>
      <c r="S370">
        <f t="shared" si="69"/>
        <v>1900</v>
      </c>
      <c r="T370" t="str">
        <f t="shared" si="70"/>
        <v>Retail</v>
      </c>
    </row>
    <row r="371" spans="8:20" x14ac:dyDescent="0.3">
      <c r="H371">
        <f t="shared" si="71"/>
        <v>0</v>
      </c>
      <c r="I371">
        <f t="shared" si="60"/>
        <v>0</v>
      </c>
      <c r="J371">
        <f t="shared" si="61"/>
        <v>0</v>
      </c>
      <c r="K371" t="str">
        <f t="shared" si="62"/>
        <v>January</v>
      </c>
      <c r="L371" t="str">
        <f t="shared" si="63"/>
        <v>Q1</v>
      </c>
      <c r="M371" s="2">
        <f t="shared" si="64"/>
        <v>1900</v>
      </c>
      <c r="N371" t="str">
        <f ca="1">IF(COUNTIFS(A$2:A371,A371,O$2:O371,O371)&gt;1,"Repeat","New")</f>
        <v>New</v>
      </c>
      <c r="O371" s="2" t="e">
        <f t="shared" ca="1" si="65"/>
        <v>#VALUE!</v>
      </c>
      <c r="P371" s="3" t="e">
        <f t="shared" ca="1" si="66"/>
        <v>#VALUE!</v>
      </c>
      <c r="Q371" t="str">
        <f t="shared" si="67"/>
        <v>Jan-00</v>
      </c>
      <c r="R371" t="str">
        <f t="shared" si="68"/>
        <v>Q1</v>
      </c>
      <c r="S371">
        <f t="shared" si="69"/>
        <v>1900</v>
      </c>
      <c r="T371" t="str">
        <f t="shared" si="70"/>
        <v>Retail</v>
      </c>
    </row>
    <row r="372" spans="8:20" x14ac:dyDescent="0.3">
      <c r="H372">
        <f t="shared" si="71"/>
        <v>0</v>
      </c>
      <c r="I372">
        <f t="shared" si="60"/>
        <v>0</v>
      </c>
      <c r="J372">
        <f t="shared" si="61"/>
        <v>0</v>
      </c>
      <c r="K372" t="str">
        <f t="shared" si="62"/>
        <v>January</v>
      </c>
      <c r="L372" t="str">
        <f t="shared" si="63"/>
        <v>Q1</v>
      </c>
      <c r="M372" s="2">
        <f t="shared" si="64"/>
        <v>1900</v>
      </c>
      <c r="N372" t="str">
        <f ca="1">IF(COUNTIFS(A$2:A372,A372,O$2:O372,O372)&gt;1,"Repeat","New")</f>
        <v>New</v>
      </c>
      <c r="O372" s="2" t="e">
        <f t="shared" ca="1" si="65"/>
        <v>#VALUE!</v>
      </c>
      <c r="P372" s="3" t="e">
        <f t="shared" ca="1" si="66"/>
        <v>#VALUE!</v>
      </c>
      <c r="Q372" t="str">
        <f t="shared" si="67"/>
        <v>Jan-00</v>
      </c>
      <c r="R372" t="str">
        <f t="shared" si="68"/>
        <v>Q1</v>
      </c>
      <c r="S372">
        <f t="shared" si="69"/>
        <v>1900</v>
      </c>
      <c r="T372" t="str">
        <f t="shared" si="70"/>
        <v>Retail</v>
      </c>
    </row>
    <row r="373" spans="8:20" x14ac:dyDescent="0.3">
      <c r="H373">
        <f t="shared" si="71"/>
        <v>0</v>
      </c>
      <c r="I373">
        <f t="shared" si="60"/>
        <v>0</v>
      </c>
      <c r="J373">
        <f t="shared" si="61"/>
        <v>0</v>
      </c>
      <c r="K373" t="str">
        <f t="shared" si="62"/>
        <v>January</v>
      </c>
      <c r="L373" t="str">
        <f t="shared" si="63"/>
        <v>Q1</v>
      </c>
      <c r="M373" s="2">
        <f t="shared" si="64"/>
        <v>1900</v>
      </c>
      <c r="N373" t="str">
        <f ca="1">IF(COUNTIFS(A$2:A373,A373,O$2:O373,O373)&gt;1,"Repeat","New")</f>
        <v>New</v>
      </c>
      <c r="O373" s="2" t="e">
        <f t="shared" ca="1" si="65"/>
        <v>#VALUE!</v>
      </c>
      <c r="P373" s="3" t="e">
        <f t="shared" ca="1" si="66"/>
        <v>#VALUE!</v>
      </c>
      <c r="Q373" t="str">
        <f t="shared" si="67"/>
        <v>Jan-00</v>
      </c>
      <c r="R373" t="str">
        <f t="shared" si="68"/>
        <v>Q1</v>
      </c>
      <c r="S373">
        <f t="shared" si="69"/>
        <v>1900</v>
      </c>
      <c r="T373" t="str">
        <f t="shared" si="70"/>
        <v>Retail</v>
      </c>
    </row>
    <row r="374" spans="8:20" x14ac:dyDescent="0.3">
      <c r="H374">
        <f t="shared" si="71"/>
        <v>0</v>
      </c>
      <c r="I374">
        <f t="shared" si="60"/>
        <v>0</v>
      </c>
      <c r="J374">
        <f t="shared" si="61"/>
        <v>0</v>
      </c>
      <c r="K374" t="str">
        <f t="shared" si="62"/>
        <v>January</v>
      </c>
      <c r="L374" t="str">
        <f t="shared" si="63"/>
        <v>Q1</v>
      </c>
      <c r="M374" s="2">
        <f t="shared" si="64"/>
        <v>1900</v>
      </c>
      <c r="N374" t="str">
        <f ca="1">IF(COUNTIFS(A$2:A374,A374,O$2:O374,O374)&gt;1,"Repeat","New")</f>
        <v>New</v>
      </c>
      <c r="O374" s="2" t="e">
        <f t="shared" ca="1" si="65"/>
        <v>#VALUE!</v>
      </c>
      <c r="P374" s="3" t="e">
        <f t="shared" ca="1" si="66"/>
        <v>#VALUE!</v>
      </c>
      <c r="Q374" t="str">
        <f t="shared" si="67"/>
        <v>Jan-00</v>
      </c>
      <c r="R374" t="str">
        <f t="shared" si="68"/>
        <v>Q1</v>
      </c>
      <c r="S374">
        <f t="shared" si="69"/>
        <v>1900</v>
      </c>
      <c r="T374" t="str">
        <f t="shared" si="70"/>
        <v>Retail</v>
      </c>
    </row>
    <row r="375" spans="8:20" x14ac:dyDescent="0.3">
      <c r="H375">
        <f t="shared" si="71"/>
        <v>0</v>
      </c>
      <c r="I375">
        <f t="shared" si="60"/>
        <v>0</v>
      </c>
      <c r="J375">
        <f t="shared" si="61"/>
        <v>0</v>
      </c>
      <c r="K375" t="str">
        <f t="shared" si="62"/>
        <v>January</v>
      </c>
      <c r="L375" t="str">
        <f t="shared" si="63"/>
        <v>Q1</v>
      </c>
      <c r="M375" s="2">
        <f t="shared" si="64"/>
        <v>1900</v>
      </c>
      <c r="N375" t="str">
        <f ca="1">IF(COUNTIFS(A$2:A375,A375,O$2:O375,O375)&gt;1,"Repeat","New")</f>
        <v>New</v>
      </c>
      <c r="O375" s="2" t="e">
        <f t="shared" ca="1" si="65"/>
        <v>#VALUE!</v>
      </c>
      <c r="P375" s="3" t="e">
        <f t="shared" ca="1" si="66"/>
        <v>#VALUE!</v>
      </c>
      <c r="Q375" t="str">
        <f t="shared" si="67"/>
        <v>Jan-00</v>
      </c>
      <c r="R375" t="str">
        <f t="shared" si="68"/>
        <v>Q1</v>
      </c>
      <c r="S375">
        <f t="shared" si="69"/>
        <v>1900</v>
      </c>
      <c r="T375" t="str">
        <f t="shared" si="70"/>
        <v>Retail</v>
      </c>
    </row>
    <row r="376" spans="8:20" x14ac:dyDescent="0.3">
      <c r="H376">
        <f t="shared" si="71"/>
        <v>0</v>
      </c>
      <c r="I376">
        <f t="shared" si="60"/>
        <v>0</v>
      </c>
      <c r="J376">
        <f t="shared" si="61"/>
        <v>0</v>
      </c>
      <c r="K376" t="str">
        <f t="shared" si="62"/>
        <v>January</v>
      </c>
      <c r="L376" t="str">
        <f t="shared" si="63"/>
        <v>Q1</v>
      </c>
      <c r="M376" s="2">
        <f t="shared" si="64"/>
        <v>1900</v>
      </c>
      <c r="N376" t="str">
        <f ca="1">IF(COUNTIFS(A$2:A376,A376,O$2:O376,O376)&gt;1,"Repeat","New")</f>
        <v>New</v>
      </c>
      <c r="O376" s="2" t="e">
        <f t="shared" ca="1" si="65"/>
        <v>#VALUE!</v>
      </c>
      <c r="P376" s="3" t="e">
        <f t="shared" ca="1" si="66"/>
        <v>#VALUE!</v>
      </c>
      <c r="Q376" t="str">
        <f t="shared" si="67"/>
        <v>Jan-00</v>
      </c>
      <c r="R376" t="str">
        <f t="shared" si="68"/>
        <v>Q1</v>
      </c>
      <c r="S376">
        <f t="shared" si="69"/>
        <v>1900</v>
      </c>
      <c r="T376" t="str">
        <f t="shared" si="70"/>
        <v>Retail</v>
      </c>
    </row>
    <row r="377" spans="8:20" x14ac:dyDescent="0.3">
      <c r="H377">
        <f t="shared" si="71"/>
        <v>0</v>
      </c>
      <c r="I377">
        <f t="shared" si="60"/>
        <v>0</v>
      </c>
      <c r="J377">
        <f t="shared" si="61"/>
        <v>0</v>
      </c>
      <c r="K377" t="str">
        <f t="shared" si="62"/>
        <v>January</v>
      </c>
      <c r="L377" t="str">
        <f t="shared" si="63"/>
        <v>Q1</v>
      </c>
      <c r="M377" s="2">
        <f t="shared" si="64"/>
        <v>1900</v>
      </c>
      <c r="N377" t="str">
        <f ca="1">IF(COUNTIFS(A$2:A377,A377,O$2:O377,O377)&gt;1,"Repeat","New")</f>
        <v>New</v>
      </c>
      <c r="O377" s="2" t="e">
        <f t="shared" ca="1" si="65"/>
        <v>#VALUE!</v>
      </c>
      <c r="P377" s="3" t="e">
        <f t="shared" ca="1" si="66"/>
        <v>#VALUE!</v>
      </c>
      <c r="Q377" t="str">
        <f t="shared" si="67"/>
        <v>Jan-00</v>
      </c>
      <c r="R377" t="str">
        <f t="shared" si="68"/>
        <v>Q1</v>
      </c>
      <c r="S377">
        <f t="shared" si="69"/>
        <v>1900</v>
      </c>
      <c r="T377" t="str">
        <f t="shared" si="70"/>
        <v>Retail</v>
      </c>
    </row>
    <row r="378" spans="8:20" x14ac:dyDescent="0.3">
      <c r="H378">
        <f t="shared" si="71"/>
        <v>0</v>
      </c>
      <c r="I378">
        <f t="shared" si="60"/>
        <v>0</v>
      </c>
      <c r="J378">
        <f t="shared" si="61"/>
        <v>0</v>
      </c>
      <c r="K378" t="str">
        <f t="shared" si="62"/>
        <v>January</v>
      </c>
      <c r="L378" t="str">
        <f t="shared" si="63"/>
        <v>Q1</v>
      </c>
      <c r="M378" s="2">
        <f t="shared" si="64"/>
        <v>1900</v>
      </c>
      <c r="N378" t="str">
        <f ca="1">IF(COUNTIFS(A$2:A378,A378,O$2:O378,O378)&gt;1,"Repeat","New")</f>
        <v>New</v>
      </c>
      <c r="O378" s="2" t="e">
        <f t="shared" ca="1" si="65"/>
        <v>#VALUE!</v>
      </c>
      <c r="P378" s="3" t="e">
        <f t="shared" ca="1" si="66"/>
        <v>#VALUE!</v>
      </c>
      <c r="Q378" t="str">
        <f t="shared" si="67"/>
        <v>Jan-00</v>
      </c>
      <c r="R378" t="str">
        <f t="shared" si="68"/>
        <v>Q1</v>
      </c>
      <c r="S378">
        <f t="shared" si="69"/>
        <v>1900</v>
      </c>
      <c r="T378" t="str">
        <f t="shared" si="70"/>
        <v>Retail</v>
      </c>
    </row>
    <row r="379" spans="8:20" x14ac:dyDescent="0.3">
      <c r="H379">
        <f t="shared" si="71"/>
        <v>0</v>
      </c>
      <c r="I379">
        <f t="shared" si="60"/>
        <v>0</v>
      </c>
      <c r="J379">
        <f t="shared" si="61"/>
        <v>0</v>
      </c>
      <c r="K379" t="str">
        <f t="shared" si="62"/>
        <v>January</v>
      </c>
      <c r="L379" t="str">
        <f t="shared" si="63"/>
        <v>Q1</v>
      </c>
      <c r="M379" s="2">
        <f t="shared" si="64"/>
        <v>1900</v>
      </c>
      <c r="N379" t="str">
        <f ca="1">IF(COUNTIFS(A$2:A379,A379,O$2:O379,O379)&gt;1,"Repeat","New")</f>
        <v>New</v>
      </c>
      <c r="O379" s="2" t="e">
        <f t="shared" ca="1" si="65"/>
        <v>#VALUE!</v>
      </c>
      <c r="P379" s="3" t="e">
        <f t="shared" ca="1" si="66"/>
        <v>#VALUE!</v>
      </c>
      <c r="Q379" t="str">
        <f t="shared" si="67"/>
        <v>Jan-00</v>
      </c>
      <c r="R379" t="str">
        <f t="shared" si="68"/>
        <v>Q1</v>
      </c>
      <c r="S379">
        <f t="shared" si="69"/>
        <v>1900</v>
      </c>
      <c r="T379" t="str">
        <f t="shared" si="70"/>
        <v>Retail</v>
      </c>
    </row>
    <row r="380" spans="8:20" x14ac:dyDescent="0.3">
      <c r="H380">
        <f t="shared" si="71"/>
        <v>0</v>
      </c>
      <c r="I380">
        <f t="shared" si="60"/>
        <v>0</v>
      </c>
      <c r="J380">
        <f t="shared" si="61"/>
        <v>0</v>
      </c>
      <c r="K380" t="str">
        <f t="shared" si="62"/>
        <v>January</v>
      </c>
      <c r="L380" t="str">
        <f t="shared" si="63"/>
        <v>Q1</v>
      </c>
      <c r="M380" s="2">
        <f t="shared" si="64"/>
        <v>1900</v>
      </c>
      <c r="N380" t="str">
        <f ca="1">IF(COUNTIFS(A$2:A380,A380,O$2:O380,O380)&gt;1,"Repeat","New")</f>
        <v>New</v>
      </c>
      <c r="O380" s="2" t="e">
        <f t="shared" ca="1" si="65"/>
        <v>#VALUE!</v>
      </c>
      <c r="P380" s="3" t="e">
        <f t="shared" ca="1" si="66"/>
        <v>#VALUE!</v>
      </c>
      <c r="Q380" t="str">
        <f t="shared" si="67"/>
        <v>Jan-00</v>
      </c>
      <c r="R380" t="str">
        <f t="shared" si="68"/>
        <v>Q1</v>
      </c>
      <c r="S380">
        <f t="shared" si="69"/>
        <v>1900</v>
      </c>
      <c r="T380" t="str">
        <f t="shared" si="70"/>
        <v>Retail</v>
      </c>
    </row>
    <row r="381" spans="8:20" x14ac:dyDescent="0.3">
      <c r="H381">
        <f t="shared" si="71"/>
        <v>0</v>
      </c>
      <c r="I381">
        <f t="shared" si="60"/>
        <v>0</v>
      </c>
      <c r="J381">
        <f t="shared" si="61"/>
        <v>0</v>
      </c>
      <c r="K381" t="str">
        <f t="shared" si="62"/>
        <v>January</v>
      </c>
      <c r="L381" t="str">
        <f t="shared" si="63"/>
        <v>Q1</v>
      </c>
      <c r="M381" s="2">
        <f t="shared" si="64"/>
        <v>1900</v>
      </c>
      <c r="N381" t="str">
        <f ca="1">IF(COUNTIFS(A$2:A381,A381,O$2:O381,O381)&gt;1,"Repeat","New")</f>
        <v>New</v>
      </c>
      <c r="O381" s="2" t="e">
        <f t="shared" ca="1" si="65"/>
        <v>#VALUE!</v>
      </c>
      <c r="P381" s="3" t="e">
        <f t="shared" ca="1" si="66"/>
        <v>#VALUE!</v>
      </c>
      <c r="Q381" t="str">
        <f t="shared" si="67"/>
        <v>Jan-00</v>
      </c>
      <c r="R381" t="str">
        <f t="shared" si="68"/>
        <v>Q1</v>
      </c>
      <c r="S381">
        <f t="shared" si="69"/>
        <v>1900</v>
      </c>
      <c r="T381" t="str">
        <f t="shared" si="70"/>
        <v>Retail</v>
      </c>
    </row>
    <row r="382" spans="8:20" x14ac:dyDescent="0.3">
      <c r="H382">
        <f t="shared" si="71"/>
        <v>0</v>
      </c>
      <c r="I382">
        <f t="shared" si="60"/>
        <v>0</v>
      </c>
      <c r="J382">
        <f t="shared" si="61"/>
        <v>0</v>
      </c>
      <c r="K382" t="str">
        <f t="shared" si="62"/>
        <v>January</v>
      </c>
      <c r="L382" t="str">
        <f t="shared" si="63"/>
        <v>Q1</v>
      </c>
      <c r="M382" s="2">
        <f t="shared" si="64"/>
        <v>1900</v>
      </c>
      <c r="N382" t="str">
        <f ca="1">IF(COUNTIFS(A$2:A382,A382,O$2:O382,O382)&gt;1,"Repeat","New")</f>
        <v>New</v>
      </c>
      <c r="O382" s="2" t="e">
        <f t="shared" ca="1" si="65"/>
        <v>#VALUE!</v>
      </c>
      <c r="P382" s="3" t="e">
        <f t="shared" ca="1" si="66"/>
        <v>#VALUE!</v>
      </c>
      <c r="Q382" t="str">
        <f t="shared" si="67"/>
        <v>Jan-00</v>
      </c>
      <c r="R382" t="str">
        <f t="shared" si="68"/>
        <v>Q1</v>
      </c>
      <c r="S382">
        <f t="shared" si="69"/>
        <v>1900</v>
      </c>
      <c r="T382" t="str">
        <f t="shared" si="70"/>
        <v>Retail</v>
      </c>
    </row>
    <row r="383" spans="8:20" x14ac:dyDescent="0.3">
      <c r="H383">
        <f t="shared" si="71"/>
        <v>0</v>
      </c>
      <c r="I383">
        <f t="shared" si="60"/>
        <v>0</v>
      </c>
      <c r="J383">
        <f t="shared" si="61"/>
        <v>0</v>
      </c>
      <c r="K383" t="str">
        <f t="shared" si="62"/>
        <v>January</v>
      </c>
      <c r="L383" t="str">
        <f t="shared" si="63"/>
        <v>Q1</v>
      </c>
      <c r="M383" s="2">
        <f t="shared" si="64"/>
        <v>1900</v>
      </c>
      <c r="N383" t="str">
        <f ca="1">IF(COUNTIFS(A$2:A383,A383,O$2:O383,O383)&gt;1,"Repeat","New")</f>
        <v>New</v>
      </c>
      <c r="O383" s="2" t="e">
        <f t="shared" ca="1" si="65"/>
        <v>#VALUE!</v>
      </c>
      <c r="P383" s="3" t="e">
        <f t="shared" ca="1" si="66"/>
        <v>#VALUE!</v>
      </c>
      <c r="Q383" t="str">
        <f t="shared" si="67"/>
        <v>Jan-00</v>
      </c>
      <c r="R383" t="str">
        <f t="shared" si="68"/>
        <v>Q1</v>
      </c>
      <c r="S383">
        <f t="shared" si="69"/>
        <v>1900</v>
      </c>
      <c r="T383" t="str">
        <f t="shared" si="70"/>
        <v>Retail</v>
      </c>
    </row>
    <row r="384" spans="8:20" x14ac:dyDescent="0.3">
      <c r="H384">
        <f t="shared" si="71"/>
        <v>0</v>
      </c>
      <c r="I384">
        <f t="shared" si="60"/>
        <v>0</v>
      </c>
      <c r="J384">
        <f t="shared" si="61"/>
        <v>0</v>
      </c>
      <c r="K384" t="str">
        <f t="shared" si="62"/>
        <v>January</v>
      </c>
      <c r="L384" t="str">
        <f t="shared" si="63"/>
        <v>Q1</v>
      </c>
      <c r="M384" s="2">
        <f t="shared" si="64"/>
        <v>1900</v>
      </c>
      <c r="N384" t="str">
        <f ca="1">IF(COUNTIFS(A$2:A384,A384,O$2:O384,O384)&gt;1,"Repeat","New")</f>
        <v>New</v>
      </c>
      <c r="O384" s="2" t="e">
        <f t="shared" ca="1" si="65"/>
        <v>#VALUE!</v>
      </c>
      <c r="P384" s="3" t="e">
        <f t="shared" ca="1" si="66"/>
        <v>#VALUE!</v>
      </c>
      <c r="Q384" t="str">
        <f t="shared" si="67"/>
        <v>Jan-00</v>
      </c>
      <c r="R384" t="str">
        <f t="shared" si="68"/>
        <v>Q1</v>
      </c>
      <c r="S384">
        <f t="shared" si="69"/>
        <v>1900</v>
      </c>
      <c r="T384" t="str">
        <f t="shared" si="70"/>
        <v>Retail</v>
      </c>
    </row>
    <row r="385" spans="8:20" x14ac:dyDescent="0.3">
      <c r="H385">
        <f t="shared" si="71"/>
        <v>0</v>
      </c>
      <c r="I385">
        <f t="shared" si="60"/>
        <v>0</v>
      </c>
      <c r="J385">
        <f t="shared" si="61"/>
        <v>0</v>
      </c>
      <c r="K385" t="str">
        <f t="shared" si="62"/>
        <v>January</v>
      </c>
      <c r="L385" t="str">
        <f t="shared" si="63"/>
        <v>Q1</v>
      </c>
      <c r="M385" s="2">
        <f t="shared" si="64"/>
        <v>1900</v>
      </c>
      <c r="N385" t="str">
        <f ca="1">IF(COUNTIFS(A$2:A385,A385,O$2:O385,O385)&gt;1,"Repeat","New")</f>
        <v>New</v>
      </c>
      <c r="O385" s="2" t="e">
        <f t="shared" ca="1" si="65"/>
        <v>#VALUE!</v>
      </c>
      <c r="P385" s="3" t="e">
        <f t="shared" ca="1" si="66"/>
        <v>#VALUE!</v>
      </c>
      <c r="Q385" t="str">
        <f t="shared" si="67"/>
        <v>Jan-00</v>
      </c>
      <c r="R385" t="str">
        <f t="shared" si="68"/>
        <v>Q1</v>
      </c>
      <c r="S385">
        <f t="shared" si="69"/>
        <v>1900</v>
      </c>
      <c r="T385" t="str">
        <f t="shared" si="70"/>
        <v>Retail</v>
      </c>
    </row>
    <row r="386" spans="8:20" x14ac:dyDescent="0.3">
      <c r="H386">
        <f t="shared" si="71"/>
        <v>0</v>
      </c>
      <c r="I386">
        <f t="shared" ref="I386:I449" si="72">H386-(D386*F386)</f>
        <v>0</v>
      </c>
      <c r="J386">
        <f t="shared" ref="J386:J449" si="73">IF(H386&gt;0,I386/H386,0)</f>
        <v>0</v>
      </c>
      <c r="K386" t="str">
        <f t="shared" ref="K386:K449" si="74">TEXT(A386,"mmmm")</f>
        <v>January</v>
      </c>
      <c r="L386" t="str">
        <f t="shared" ref="L386:L449" si="75">"Q"&amp;ROUNDUP(MONTH(A386)/3,0)</f>
        <v>Q1</v>
      </c>
      <c r="M386" s="2">
        <f t="shared" ref="M386:M449" si="76">YEAR(A386)</f>
        <v>1900</v>
      </c>
      <c r="N386" t="str">
        <f ca="1">IF(COUNTIFS(A$2:A386,A386,O$2:O386,O386)&gt;1,"Repeat","New")</f>
        <v>New</v>
      </c>
      <c r="O386" s="2" t="e">
        <f t="shared" ref="O386:O449" ca="1" si="77">M386-N386</f>
        <v>#VALUE!</v>
      </c>
      <c r="P386" s="3" t="e">
        <f t="shared" ref="P386:P449" ca="1" si="78">IF(M386&gt;0,O386/M386,0)</f>
        <v>#VALUE!</v>
      </c>
      <c r="Q386" t="str">
        <f t="shared" ref="Q386:Q449" si="79">TEXT(B386, "mmm-yy")</f>
        <v>Jan-00</v>
      </c>
      <c r="R386" t="str">
        <f t="shared" ref="R386:R449" si="80">"Q"&amp;INT((MONTH(B386)-1)/3)+1</f>
        <v>Q1</v>
      </c>
      <c r="S386">
        <f t="shared" ref="S386:S449" si="81">YEAR(B386)</f>
        <v>1900</v>
      </c>
      <c r="T386" t="str">
        <f t="shared" ref="T386:T449" si="82">IF(M386&gt;5000, "Enterprise", "Retail")</f>
        <v>Retail</v>
      </c>
    </row>
    <row r="387" spans="8:20" x14ac:dyDescent="0.3">
      <c r="H387">
        <f t="shared" ref="H387:H450" si="83">(E387*F387)*(1-G387)</f>
        <v>0</v>
      </c>
      <c r="I387">
        <f t="shared" si="72"/>
        <v>0</v>
      </c>
      <c r="J387">
        <f t="shared" si="73"/>
        <v>0</v>
      </c>
      <c r="K387" t="str">
        <f t="shared" si="74"/>
        <v>January</v>
      </c>
      <c r="L387" t="str">
        <f t="shared" si="75"/>
        <v>Q1</v>
      </c>
      <c r="M387" s="2">
        <f t="shared" si="76"/>
        <v>1900</v>
      </c>
      <c r="N387" t="str">
        <f ca="1">IF(COUNTIFS(A$2:A387,A387,O$2:O387,O387)&gt;1,"Repeat","New")</f>
        <v>New</v>
      </c>
      <c r="O387" s="2" t="e">
        <f t="shared" ca="1" si="77"/>
        <v>#VALUE!</v>
      </c>
      <c r="P387" s="3" t="e">
        <f t="shared" ca="1" si="78"/>
        <v>#VALUE!</v>
      </c>
      <c r="Q387" t="str">
        <f t="shared" si="79"/>
        <v>Jan-00</v>
      </c>
      <c r="R387" t="str">
        <f t="shared" si="80"/>
        <v>Q1</v>
      </c>
      <c r="S387">
        <f t="shared" si="81"/>
        <v>1900</v>
      </c>
      <c r="T387" t="str">
        <f t="shared" si="82"/>
        <v>Retail</v>
      </c>
    </row>
    <row r="388" spans="8:20" x14ac:dyDescent="0.3">
      <c r="H388">
        <f t="shared" si="83"/>
        <v>0</v>
      </c>
      <c r="I388">
        <f t="shared" si="72"/>
        <v>0</v>
      </c>
      <c r="J388">
        <f t="shared" si="73"/>
        <v>0</v>
      </c>
      <c r="K388" t="str">
        <f t="shared" si="74"/>
        <v>January</v>
      </c>
      <c r="L388" t="str">
        <f t="shared" si="75"/>
        <v>Q1</v>
      </c>
      <c r="M388" s="2">
        <f t="shared" si="76"/>
        <v>1900</v>
      </c>
      <c r="N388" t="str">
        <f ca="1">IF(COUNTIFS(A$2:A388,A388,O$2:O388,O388)&gt;1,"Repeat","New")</f>
        <v>New</v>
      </c>
      <c r="O388" s="2" t="e">
        <f t="shared" ca="1" si="77"/>
        <v>#VALUE!</v>
      </c>
      <c r="P388" s="3" t="e">
        <f t="shared" ca="1" si="78"/>
        <v>#VALUE!</v>
      </c>
      <c r="Q388" t="str">
        <f t="shared" si="79"/>
        <v>Jan-00</v>
      </c>
      <c r="R388" t="str">
        <f t="shared" si="80"/>
        <v>Q1</v>
      </c>
      <c r="S388">
        <f t="shared" si="81"/>
        <v>1900</v>
      </c>
      <c r="T388" t="str">
        <f t="shared" si="82"/>
        <v>Retail</v>
      </c>
    </row>
    <row r="389" spans="8:20" x14ac:dyDescent="0.3">
      <c r="H389">
        <f t="shared" si="83"/>
        <v>0</v>
      </c>
      <c r="I389">
        <f t="shared" si="72"/>
        <v>0</v>
      </c>
      <c r="J389">
        <f t="shared" si="73"/>
        <v>0</v>
      </c>
      <c r="K389" t="str">
        <f t="shared" si="74"/>
        <v>January</v>
      </c>
      <c r="L389" t="str">
        <f t="shared" si="75"/>
        <v>Q1</v>
      </c>
      <c r="M389" s="2">
        <f t="shared" si="76"/>
        <v>1900</v>
      </c>
      <c r="N389" t="str">
        <f ca="1">IF(COUNTIFS(A$2:A389,A389,O$2:O389,O389)&gt;1,"Repeat","New")</f>
        <v>New</v>
      </c>
      <c r="O389" s="2" t="e">
        <f t="shared" ca="1" si="77"/>
        <v>#VALUE!</v>
      </c>
      <c r="P389" s="3" t="e">
        <f t="shared" ca="1" si="78"/>
        <v>#VALUE!</v>
      </c>
      <c r="Q389" t="str">
        <f t="shared" si="79"/>
        <v>Jan-00</v>
      </c>
      <c r="R389" t="str">
        <f t="shared" si="80"/>
        <v>Q1</v>
      </c>
      <c r="S389">
        <f t="shared" si="81"/>
        <v>1900</v>
      </c>
      <c r="T389" t="str">
        <f t="shared" si="82"/>
        <v>Retail</v>
      </c>
    </row>
    <row r="390" spans="8:20" x14ac:dyDescent="0.3">
      <c r="H390">
        <f t="shared" si="83"/>
        <v>0</v>
      </c>
      <c r="I390">
        <f t="shared" si="72"/>
        <v>0</v>
      </c>
      <c r="J390">
        <f t="shared" si="73"/>
        <v>0</v>
      </c>
      <c r="K390" t="str">
        <f t="shared" si="74"/>
        <v>January</v>
      </c>
      <c r="L390" t="str">
        <f t="shared" si="75"/>
        <v>Q1</v>
      </c>
      <c r="M390" s="2">
        <f t="shared" si="76"/>
        <v>1900</v>
      </c>
      <c r="N390" t="str">
        <f ca="1">IF(COUNTIFS(A$2:A390,A390,O$2:O390,O390)&gt;1,"Repeat","New")</f>
        <v>New</v>
      </c>
      <c r="O390" s="2" t="e">
        <f t="shared" ca="1" si="77"/>
        <v>#VALUE!</v>
      </c>
      <c r="P390" s="3" t="e">
        <f t="shared" ca="1" si="78"/>
        <v>#VALUE!</v>
      </c>
      <c r="Q390" t="str">
        <f t="shared" si="79"/>
        <v>Jan-00</v>
      </c>
      <c r="R390" t="str">
        <f t="shared" si="80"/>
        <v>Q1</v>
      </c>
      <c r="S390">
        <f t="shared" si="81"/>
        <v>1900</v>
      </c>
      <c r="T390" t="str">
        <f t="shared" si="82"/>
        <v>Retail</v>
      </c>
    </row>
    <row r="391" spans="8:20" x14ac:dyDescent="0.3">
      <c r="H391">
        <f t="shared" si="83"/>
        <v>0</v>
      </c>
      <c r="I391">
        <f t="shared" si="72"/>
        <v>0</v>
      </c>
      <c r="J391">
        <f t="shared" si="73"/>
        <v>0</v>
      </c>
      <c r="K391" t="str">
        <f t="shared" si="74"/>
        <v>January</v>
      </c>
      <c r="L391" t="str">
        <f t="shared" si="75"/>
        <v>Q1</v>
      </c>
      <c r="M391" s="2">
        <f t="shared" si="76"/>
        <v>1900</v>
      </c>
      <c r="N391" t="str">
        <f ca="1">IF(COUNTIFS(A$2:A391,A391,O$2:O391,O391)&gt;1,"Repeat","New")</f>
        <v>New</v>
      </c>
      <c r="O391" s="2" t="e">
        <f t="shared" ca="1" si="77"/>
        <v>#VALUE!</v>
      </c>
      <c r="P391" s="3" t="e">
        <f t="shared" ca="1" si="78"/>
        <v>#VALUE!</v>
      </c>
      <c r="Q391" t="str">
        <f t="shared" si="79"/>
        <v>Jan-00</v>
      </c>
      <c r="R391" t="str">
        <f t="shared" si="80"/>
        <v>Q1</v>
      </c>
      <c r="S391">
        <f t="shared" si="81"/>
        <v>1900</v>
      </c>
      <c r="T391" t="str">
        <f t="shared" si="82"/>
        <v>Retail</v>
      </c>
    </row>
    <row r="392" spans="8:20" x14ac:dyDescent="0.3">
      <c r="H392">
        <f t="shared" si="83"/>
        <v>0</v>
      </c>
      <c r="I392">
        <f t="shared" si="72"/>
        <v>0</v>
      </c>
      <c r="J392">
        <f t="shared" si="73"/>
        <v>0</v>
      </c>
      <c r="K392" t="str">
        <f t="shared" si="74"/>
        <v>January</v>
      </c>
      <c r="L392" t="str">
        <f t="shared" si="75"/>
        <v>Q1</v>
      </c>
      <c r="M392" s="2">
        <f t="shared" si="76"/>
        <v>1900</v>
      </c>
      <c r="N392" t="str">
        <f ca="1">IF(COUNTIFS(A$2:A392,A392,O$2:O392,O392)&gt;1,"Repeat","New")</f>
        <v>New</v>
      </c>
      <c r="O392" s="2" t="e">
        <f t="shared" ca="1" si="77"/>
        <v>#VALUE!</v>
      </c>
      <c r="P392" s="3" t="e">
        <f t="shared" ca="1" si="78"/>
        <v>#VALUE!</v>
      </c>
      <c r="Q392" t="str">
        <f t="shared" si="79"/>
        <v>Jan-00</v>
      </c>
      <c r="R392" t="str">
        <f t="shared" si="80"/>
        <v>Q1</v>
      </c>
      <c r="S392">
        <f t="shared" si="81"/>
        <v>1900</v>
      </c>
      <c r="T392" t="str">
        <f t="shared" si="82"/>
        <v>Retail</v>
      </c>
    </row>
    <row r="393" spans="8:20" x14ac:dyDescent="0.3">
      <c r="H393">
        <f t="shared" si="83"/>
        <v>0</v>
      </c>
      <c r="I393">
        <f t="shared" si="72"/>
        <v>0</v>
      </c>
      <c r="J393">
        <f t="shared" si="73"/>
        <v>0</v>
      </c>
      <c r="K393" t="str">
        <f t="shared" si="74"/>
        <v>January</v>
      </c>
      <c r="L393" t="str">
        <f t="shared" si="75"/>
        <v>Q1</v>
      </c>
      <c r="M393" s="2">
        <f t="shared" si="76"/>
        <v>1900</v>
      </c>
      <c r="N393" t="str">
        <f ca="1">IF(COUNTIFS(A$2:A393,A393,O$2:O393,O393)&gt;1,"Repeat","New")</f>
        <v>New</v>
      </c>
      <c r="O393" s="2" t="e">
        <f t="shared" ca="1" si="77"/>
        <v>#VALUE!</v>
      </c>
      <c r="P393" s="3" t="e">
        <f t="shared" ca="1" si="78"/>
        <v>#VALUE!</v>
      </c>
      <c r="Q393" t="str">
        <f t="shared" si="79"/>
        <v>Jan-00</v>
      </c>
      <c r="R393" t="str">
        <f t="shared" si="80"/>
        <v>Q1</v>
      </c>
      <c r="S393">
        <f t="shared" si="81"/>
        <v>1900</v>
      </c>
      <c r="T393" t="str">
        <f t="shared" si="82"/>
        <v>Retail</v>
      </c>
    </row>
    <row r="394" spans="8:20" x14ac:dyDescent="0.3">
      <c r="H394">
        <f t="shared" si="83"/>
        <v>0</v>
      </c>
      <c r="I394">
        <f t="shared" si="72"/>
        <v>0</v>
      </c>
      <c r="J394">
        <f t="shared" si="73"/>
        <v>0</v>
      </c>
      <c r="K394" t="str">
        <f t="shared" si="74"/>
        <v>January</v>
      </c>
      <c r="L394" t="str">
        <f t="shared" si="75"/>
        <v>Q1</v>
      </c>
      <c r="M394" s="2">
        <f t="shared" si="76"/>
        <v>1900</v>
      </c>
      <c r="N394" t="str">
        <f ca="1">IF(COUNTIFS(A$2:A394,A394,O$2:O394,O394)&gt;1,"Repeat","New")</f>
        <v>New</v>
      </c>
      <c r="O394" s="2" t="e">
        <f t="shared" ca="1" si="77"/>
        <v>#VALUE!</v>
      </c>
      <c r="P394" s="3" t="e">
        <f t="shared" ca="1" si="78"/>
        <v>#VALUE!</v>
      </c>
      <c r="Q394" t="str">
        <f t="shared" si="79"/>
        <v>Jan-00</v>
      </c>
      <c r="R394" t="str">
        <f t="shared" si="80"/>
        <v>Q1</v>
      </c>
      <c r="S394">
        <f t="shared" si="81"/>
        <v>1900</v>
      </c>
      <c r="T394" t="str">
        <f t="shared" si="82"/>
        <v>Retail</v>
      </c>
    </row>
    <row r="395" spans="8:20" x14ac:dyDescent="0.3">
      <c r="H395">
        <f t="shared" si="83"/>
        <v>0</v>
      </c>
      <c r="I395">
        <f t="shared" si="72"/>
        <v>0</v>
      </c>
      <c r="J395">
        <f t="shared" si="73"/>
        <v>0</v>
      </c>
      <c r="K395" t="str">
        <f t="shared" si="74"/>
        <v>January</v>
      </c>
      <c r="L395" t="str">
        <f t="shared" si="75"/>
        <v>Q1</v>
      </c>
      <c r="M395" s="2">
        <f t="shared" si="76"/>
        <v>1900</v>
      </c>
      <c r="N395" t="str">
        <f ca="1">IF(COUNTIFS(A$2:A395,A395,O$2:O395,O395)&gt;1,"Repeat","New")</f>
        <v>New</v>
      </c>
      <c r="O395" s="2" t="e">
        <f t="shared" ca="1" si="77"/>
        <v>#VALUE!</v>
      </c>
      <c r="P395" s="3" t="e">
        <f t="shared" ca="1" si="78"/>
        <v>#VALUE!</v>
      </c>
      <c r="Q395" t="str">
        <f t="shared" si="79"/>
        <v>Jan-00</v>
      </c>
      <c r="R395" t="str">
        <f t="shared" si="80"/>
        <v>Q1</v>
      </c>
      <c r="S395">
        <f t="shared" si="81"/>
        <v>1900</v>
      </c>
      <c r="T395" t="str">
        <f t="shared" si="82"/>
        <v>Retail</v>
      </c>
    </row>
    <row r="396" spans="8:20" x14ac:dyDescent="0.3">
      <c r="H396">
        <f t="shared" si="83"/>
        <v>0</v>
      </c>
      <c r="I396">
        <f t="shared" si="72"/>
        <v>0</v>
      </c>
      <c r="J396">
        <f t="shared" si="73"/>
        <v>0</v>
      </c>
      <c r="K396" t="str">
        <f t="shared" si="74"/>
        <v>January</v>
      </c>
      <c r="L396" t="str">
        <f t="shared" si="75"/>
        <v>Q1</v>
      </c>
      <c r="M396" s="2">
        <f t="shared" si="76"/>
        <v>1900</v>
      </c>
      <c r="N396" t="str">
        <f ca="1">IF(COUNTIFS(A$2:A396,A396,O$2:O396,O396)&gt;1,"Repeat","New")</f>
        <v>New</v>
      </c>
      <c r="O396" s="2" t="e">
        <f t="shared" ca="1" si="77"/>
        <v>#VALUE!</v>
      </c>
      <c r="P396" s="3" t="e">
        <f t="shared" ca="1" si="78"/>
        <v>#VALUE!</v>
      </c>
      <c r="Q396" t="str">
        <f t="shared" si="79"/>
        <v>Jan-00</v>
      </c>
      <c r="R396" t="str">
        <f t="shared" si="80"/>
        <v>Q1</v>
      </c>
      <c r="S396">
        <f t="shared" si="81"/>
        <v>1900</v>
      </c>
      <c r="T396" t="str">
        <f t="shared" si="82"/>
        <v>Retail</v>
      </c>
    </row>
    <row r="397" spans="8:20" x14ac:dyDescent="0.3">
      <c r="H397">
        <f t="shared" si="83"/>
        <v>0</v>
      </c>
      <c r="I397">
        <f t="shared" si="72"/>
        <v>0</v>
      </c>
      <c r="J397">
        <f t="shared" si="73"/>
        <v>0</v>
      </c>
      <c r="K397" t="str">
        <f t="shared" si="74"/>
        <v>January</v>
      </c>
      <c r="L397" t="str">
        <f t="shared" si="75"/>
        <v>Q1</v>
      </c>
      <c r="M397" s="2">
        <f t="shared" si="76"/>
        <v>1900</v>
      </c>
      <c r="N397" t="str">
        <f ca="1">IF(COUNTIFS(A$2:A397,A397,O$2:O397,O397)&gt;1,"Repeat","New")</f>
        <v>New</v>
      </c>
      <c r="O397" s="2" t="e">
        <f t="shared" ca="1" si="77"/>
        <v>#VALUE!</v>
      </c>
      <c r="P397" s="3" t="e">
        <f t="shared" ca="1" si="78"/>
        <v>#VALUE!</v>
      </c>
      <c r="Q397" t="str">
        <f t="shared" si="79"/>
        <v>Jan-00</v>
      </c>
      <c r="R397" t="str">
        <f t="shared" si="80"/>
        <v>Q1</v>
      </c>
      <c r="S397">
        <f t="shared" si="81"/>
        <v>1900</v>
      </c>
      <c r="T397" t="str">
        <f t="shared" si="82"/>
        <v>Retail</v>
      </c>
    </row>
    <row r="398" spans="8:20" x14ac:dyDescent="0.3">
      <c r="H398">
        <f t="shared" si="83"/>
        <v>0</v>
      </c>
      <c r="I398">
        <f t="shared" si="72"/>
        <v>0</v>
      </c>
      <c r="J398">
        <f t="shared" si="73"/>
        <v>0</v>
      </c>
      <c r="K398" t="str">
        <f t="shared" si="74"/>
        <v>January</v>
      </c>
      <c r="L398" t="str">
        <f t="shared" si="75"/>
        <v>Q1</v>
      </c>
      <c r="M398" s="2">
        <f t="shared" si="76"/>
        <v>1900</v>
      </c>
      <c r="N398" t="str">
        <f ca="1">IF(COUNTIFS(A$2:A398,A398,O$2:O398,O398)&gt;1,"Repeat","New")</f>
        <v>New</v>
      </c>
      <c r="O398" s="2" t="e">
        <f t="shared" ca="1" si="77"/>
        <v>#VALUE!</v>
      </c>
      <c r="P398" s="3" t="e">
        <f t="shared" ca="1" si="78"/>
        <v>#VALUE!</v>
      </c>
      <c r="Q398" t="str">
        <f t="shared" si="79"/>
        <v>Jan-00</v>
      </c>
      <c r="R398" t="str">
        <f t="shared" si="80"/>
        <v>Q1</v>
      </c>
      <c r="S398">
        <f t="shared" si="81"/>
        <v>1900</v>
      </c>
      <c r="T398" t="str">
        <f t="shared" si="82"/>
        <v>Retail</v>
      </c>
    </row>
    <row r="399" spans="8:20" x14ac:dyDescent="0.3">
      <c r="H399">
        <f t="shared" si="83"/>
        <v>0</v>
      </c>
      <c r="I399">
        <f t="shared" si="72"/>
        <v>0</v>
      </c>
      <c r="J399">
        <f t="shared" si="73"/>
        <v>0</v>
      </c>
      <c r="K399" t="str">
        <f t="shared" si="74"/>
        <v>January</v>
      </c>
      <c r="L399" t="str">
        <f t="shared" si="75"/>
        <v>Q1</v>
      </c>
      <c r="M399" s="2">
        <f t="shared" si="76"/>
        <v>1900</v>
      </c>
      <c r="N399" t="str">
        <f ca="1">IF(COUNTIFS(A$2:A399,A399,O$2:O399,O399)&gt;1,"Repeat","New")</f>
        <v>New</v>
      </c>
      <c r="O399" s="2" t="e">
        <f t="shared" ca="1" si="77"/>
        <v>#VALUE!</v>
      </c>
      <c r="P399" s="3" t="e">
        <f t="shared" ca="1" si="78"/>
        <v>#VALUE!</v>
      </c>
      <c r="Q399" t="str">
        <f t="shared" si="79"/>
        <v>Jan-00</v>
      </c>
      <c r="R399" t="str">
        <f t="shared" si="80"/>
        <v>Q1</v>
      </c>
      <c r="S399">
        <f t="shared" si="81"/>
        <v>1900</v>
      </c>
      <c r="T399" t="str">
        <f t="shared" si="82"/>
        <v>Retail</v>
      </c>
    </row>
    <row r="400" spans="8:20" x14ac:dyDescent="0.3">
      <c r="H400">
        <f t="shared" si="83"/>
        <v>0</v>
      </c>
      <c r="I400">
        <f t="shared" si="72"/>
        <v>0</v>
      </c>
      <c r="J400">
        <f t="shared" si="73"/>
        <v>0</v>
      </c>
      <c r="K400" t="str">
        <f t="shared" si="74"/>
        <v>January</v>
      </c>
      <c r="L400" t="str">
        <f t="shared" si="75"/>
        <v>Q1</v>
      </c>
      <c r="M400" s="2">
        <f t="shared" si="76"/>
        <v>1900</v>
      </c>
      <c r="N400" t="str">
        <f ca="1">IF(COUNTIFS(A$2:A400,A400,O$2:O400,O400)&gt;1,"Repeat","New")</f>
        <v>New</v>
      </c>
      <c r="O400" s="2" t="e">
        <f t="shared" ca="1" si="77"/>
        <v>#VALUE!</v>
      </c>
      <c r="P400" s="3" t="e">
        <f t="shared" ca="1" si="78"/>
        <v>#VALUE!</v>
      </c>
      <c r="Q400" t="str">
        <f t="shared" si="79"/>
        <v>Jan-00</v>
      </c>
      <c r="R400" t="str">
        <f t="shared" si="80"/>
        <v>Q1</v>
      </c>
      <c r="S400">
        <f t="shared" si="81"/>
        <v>1900</v>
      </c>
      <c r="T400" t="str">
        <f t="shared" si="82"/>
        <v>Retail</v>
      </c>
    </row>
    <row r="401" spans="8:20" x14ac:dyDescent="0.3">
      <c r="H401">
        <f t="shared" si="83"/>
        <v>0</v>
      </c>
      <c r="I401">
        <f t="shared" si="72"/>
        <v>0</v>
      </c>
      <c r="J401">
        <f t="shared" si="73"/>
        <v>0</v>
      </c>
      <c r="K401" t="str">
        <f t="shared" si="74"/>
        <v>January</v>
      </c>
      <c r="L401" t="str">
        <f t="shared" si="75"/>
        <v>Q1</v>
      </c>
      <c r="M401" s="2">
        <f t="shared" si="76"/>
        <v>1900</v>
      </c>
      <c r="N401" t="str">
        <f ca="1">IF(COUNTIFS(A$2:A401,A401,O$2:O401,O401)&gt;1,"Repeat","New")</f>
        <v>New</v>
      </c>
      <c r="O401" s="2" t="e">
        <f t="shared" ca="1" si="77"/>
        <v>#VALUE!</v>
      </c>
      <c r="P401" s="3" t="e">
        <f t="shared" ca="1" si="78"/>
        <v>#VALUE!</v>
      </c>
      <c r="Q401" t="str">
        <f t="shared" si="79"/>
        <v>Jan-00</v>
      </c>
      <c r="R401" t="str">
        <f t="shared" si="80"/>
        <v>Q1</v>
      </c>
      <c r="S401">
        <f t="shared" si="81"/>
        <v>1900</v>
      </c>
      <c r="T401" t="str">
        <f t="shared" si="82"/>
        <v>Retail</v>
      </c>
    </row>
    <row r="402" spans="8:20" x14ac:dyDescent="0.3">
      <c r="H402">
        <f t="shared" si="83"/>
        <v>0</v>
      </c>
      <c r="I402">
        <f t="shared" si="72"/>
        <v>0</v>
      </c>
      <c r="J402">
        <f t="shared" si="73"/>
        <v>0</v>
      </c>
      <c r="K402" t="str">
        <f t="shared" si="74"/>
        <v>January</v>
      </c>
      <c r="L402" t="str">
        <f t="shared" si="75"/>
        <v>Q1</v>
      </c>
      <c r="M402" s="2">
        <f t="shared" si="76"/>
        <v>1900</v>
      </c>
      <c r="N402" t="str">
        <f ca="1">IF(COUNTIFS(A$2:A402,A402,O$2:O402,O402)&gt;1,"Repeat","New")</f>
        <v>New</v>
      </c>
      <c r="O402" s="2" t="e">
        <f t="shared" ca="1" si="77"/>
        <v>#VALUE!</v>
      </c>
      <c r="P402" s="3" t="e">
        <f t="shared" ca="1" si="78"/>
        <v>#VALUE!</v>
      </c>
      <c r="Q402" t="str">
        <f t="shared" si="79"/>
        <v>Jan-00</v>
      </c>
      <c r="R402" t="str">
        <f t="shared" si="80"/>
        <v>Q1</v>
      </c>
      <c r="S402">
        <f t="shared" si="81"/>
        <v>1900</v>
      </c>
      <c r="T402" t="str">
        <f t="shared" si="82"/>
        <v>Retail</v>
      </c>
    </row>
    <row r="403" spans="8:20" x14ac:dyDescent="0.3">
      <c r="H403">
        <f t="shared" si="83"/>
        <v>0</v>
      </c>
      <c r="I403">
        <f t="shared" si="72"/>
        <v>0</v>
      </c>
      <c r="J403">
        <f t="shared" si="73"/>
        <v>0</v>
      </c>
      <c r="K403" t="str">
        <f t="shared" si="74"/>
        <v>January</v>
      </c>
      <c r="L403" t="str">
        <f t="shared" si="75"/>
        <v>Q1</v>
      </c>
      <c r="M403" s="2">
        <f t="shared" si="76"/>
        <v>1900</v>
      </c>
      <c r="N403" t="str">
        <f ca="1">IF(COUNTIFS(A$2:A403,A403,O$2:O403,O403)&gt;1,"Repeat","New")</f>
        <v>New</v>
      </c>
      <c r="O403" s="2" t="e">
        <f t="shared" ca="1" si="77"/>
        <v>#VALUE!</v>
      </c>
      <c r="P403" s="3" t="e">
        <f t="shared" ca="1" si="78"/>
        <v>#VALUE!</v>
      </c>
      <c r="Q403" t="str">
        <f t="shared" si="79"/>
        <v>Jan-00</v>
      </c>
      <c r="R403" t="str">
        <f t="shared" si="80"/>
        <v>Q1</v>
      </c>
      <c r="S403">
        <f t="shared" si="81"/>
        <v>1900</v>
      </c>
      <c r="T403" t="str">
        <f t="shared" si="82"/>
        <v>Retail</v>
      </c>
    </row>
    <row r="404" spans="8:20" x14ac:dyDescent="0.3">
      <c r="H404">
        <f t="shared" si="83"/>
        <v>0</v>
      </c>
      <c r="I404">
        <f t="shared" si="72"/>
        <v>0</v>
      </c>
      <c r="J404">
        <f t="shared" si="73"/>
        <v>0</v>
      </c>
      <c r="K404" t="str">
        <f t="shared" si="74"/>
        <v>January</v>
      </c>
      <c r="L404" t="str">
        <f t="shared" si="75"/>
        <v>Q1</v>
      </c>
      <c r="M404" s="2">
        <f t="shared" si="76"/>
        <v>1900</v>
      </c>
      <c r="N404" t="str">
        <f ca="1">IF(COUNTIFS(A$2:A404,A404,O$2:O404,O404)&gt;1,"Repeat","New")</f>
        <v>New</v>
      </c>
      <c r="O404" s="2" t="e">
        <f t="shared" ca="1" si="77"/>
        <v>#VALUE!</v>
      </c>
      <c r="P404" s="3" t="e">
        <f t="shared" ca="1" si="78"/>
        <v>#VALUE!</v>
      </c>
      <c r="Q404" t="str">
        <f t="shared" si="79"/>
        <v>Jan-00</v>
      </c>
      <c r="R404" t="str">
        <f t="shared" si="80"/>
        <v>Q1</v>
      </c>
      <c r="S404">
        <f t="shared" si="81"/>
        <v>1900</v>
      </c>
      <c r="T404" t="str">
        <f t="shared" si="82"/>
        <v>Retail</v>
      </c>
    </row>
    <row r="405" spans="8:20" x14ac:dyDescent="0.3">
      <c r="H405">
        <f t="shared" si="83"/>
        <v>0</v>
      </c>
      <c r="I405">
        <f t="shared" si="72"/>
        <v>0</v>
      </c>
      <c r="J405">
        <f t="shared" si="73"/>
        <v>0</v>
      </c>
      <c r="K405" t="str">
        <f t="shared" si="74"/>
        <v>January</v>
      </c>
      <c r="L405" t="str">
        <f t="shared" si="75"/>
        <v>Q1</v>
      </c>
      <c r="M405" s="2">
        <f t="shared" si="76"/>
        <v>1900</v>
      </c>
      <c r="N405" t="str">
        <f ca="1">IF(COUNTIFS(A$2:A405,A405,O$2:O405,O405)&gt;1,"Repeat","New")</f>
        <v>New</v>
      </c>
      <c r="O405" s="2" t="e">
        <f t="shared" ca="1" si="77"/>
        <v>#VALUE!</v>
      </c>
      <c r="P405" s="3" t="e">
        <f t="shared" ca="1" si="78"/>
        <v>#VALUE!</v>
      </c>
      <c r="Q405" t="str">
        <f t="shared" si="79"/>
        <v>Jan-00</v>
      </c>
      <c r="R405" t="str">
        <f t="shared" si="80"/>
        <v>Q1</v>
      </c>
      <c r="S405">
        <f t="shared" si="81"/>
        <v>1900</v>
      </c>
      <c r="T405" t="str">
        <f t="shared" si="82"/>
        <v>Retail</v>
      </c>
    </row>
    <row r="406" spans="8:20" x14ac:dyDescent="0.3">
      <c r="H406">
        <f t="shared" si="83"/>
        <v>0</v>
      </c>
      <c r="I406">
        <f t="shared" si="72"/>
        <v>0</v>
      </c>
      <c r="J406">
        <f t="shared" si="73"/>
        <v>0</v>
      </c>
      <c r="K406" t="str">
        <f t="shared" si="74"/>
        <v>January</v>
      </c>
      <c r="L406" t="str">
        <f t="shared" si="75"/>
        <v>Q1</v>
      </c>
      <c r="M406" s="2">
        <f t="shared" si="76"/>
        <v>1900</v>
      </c>
      <c r="N406" t="str">
        <f ca="1">IF(COUNTIFS(A$2:A406,A406,O$2:O406,O406)&gt;1,"Repeat","New")</f>
        <v>New</v>
      </c>
      <c r="O406" s="2" t="e">
        <f t="shared" ca="1" si="77"/>
        <v>#VALUE!</v>
      </c>
      <c r="P406" s="3" t="e">
        <f t="shared" ca="1" si="78"/>
        <v>#VALUE!</v>
      </c>
      <c r="Q406" t="str">
        <f t="shared" si="79"/>
        <v>Jan-00</v>
      </c>
      <c r="R406" t="str">
        <f t="shared" si="80"/>
        <v>Q1</v>
      </c>
      <c r="S406">
        <f t="shared" si="81"/>
        <v>1900</v>
      </c>
      <c r="T406" t="str">
        <f t="shared" si="82"/>
        <v>Retail</v>
      </c>
    </row>
    <row r="407" spans="8:20" x14ac:dyDescent="0.3">
      <c r="H407">
        <f t="shared" si="83"/>
        <v>0</v>
      </c>
      <c r="I407">
        <f t="shared" si="72"/>
        <v>0</v>
      </c>
      <c r="J407">
        <f t="shared" si="73"/>
        <v>0</v>
      </c>
      <c r="K407" t="str">
        <f t="shared" si="74"/>
        <v>January</v>
      </c>
      <c r="L407" t="str">
        <f t="shared" si="75"/>
        <v>Q1</v>
      </c>
      <c r="M407" s="2">
        <f t="shared" si="76"/>
        <v>1900</v>
      </c>
      <c r="N407" t="str">
        <f ca="1">IF(COUNTIFS(A$2:A407,A407,O$2:O407,O407)&gt;1,"Repeat","New")</f>
        <v>New</v>
      </c>
      <c r="O407" s="2" t="e">
        <f t="shared" ca="1" si="77"/>
        <v>#VALUE!</v>
      </c>
      <c r="P407" s="3" t="e">
        <f t="shared" ca="1" si="78"/>
        <v>#VALUE!</v>
      </c>
      <c r="Q407" t="str">
        <f t="shared" si="79"/>
        <v>Jan-00</v>
      </c>
      <c r="R407" t="str">
        <f t="shared" si="80"/>
        <v>Q1</v>
      </c>
      <c r="S407">
        <f t="shared" si="81"/>
        <v>1900</v>
      </c>
      <c r="T407" t="str">
        <f t="shared" si="82"/>
        <v>Retail</v>
      </c>
    </row>
    <row r="408" spans="8:20" x14ac:dyDescent="0.3">
      <c r="H408">
        <f t="shared" si="83"/>
        <v>0</v>
      </c>
      <c r="I408">
        <f t="shared" si="72"/>
        <v>0</v>
      </c>
      <c r="J408">
        <f t="shared" si="73"/>
        <v>0</v>
      </c>
      <c r="K408" t="str">
        <f t="shared" si="74"/>
        <v>January</v>
      </c>
      <c r="L408" t="str">
        <f t="shared" si="75"/>
        <v>Q1</v>
      </c>
      <c r="M408" s="2">
        <f t="shared" si="76"/>
        <v>1900</v>
      </c>
      <c r="N408" t="str">
        <f ca="1">IF(COUNTIFS(A$2:A408,A408,O$2:O408,O408)&gt;1,"Repeat","New")</f>
        <v>New</v>
      </c>
      <c r="O408" s="2" t="e">
        <f t="shared" ca="1" si="77"/>
        <v>#VALUE!</v>
      </c>
      <c r="P408" s="3" t="e">
        <f t="shared" ca="1" si="78"/>
        <v>#VALUE!</v>
      </c>
      <c r="Q408" t="str">
        <f t="shared" si="79"/>
        <v>Jan-00</v>
      </c>
      <c r="R408" t="str">
        <f t="shared" si="80"/>
        <v>Q1</v>
      </c>
      <c r="S408">
        <f t="shared" si="81"/>
        <v>1900</v>
      </c>
      <c r="T408" t="str">
        <f t="shared" si="82"/>
        <v>Retail</v>
      </c>
    </row>
    <row r="409" spans="8:20" x14ac:dyDescent="0.3">
      <c r="H409">
        <f t="shared" si="83"/>
        <v>0</v>
      </c>
      <c r="I409">
        <f t="shared" si="72"/>
        <v>0</v>
      </c>
      <c r="J409">
        <f t="shared" si="73"/>
        <v>0</v>
      </c>
      <c r="K409" t="str">
        <f t="shared" si="74"/>
        <v>January</v>
      </c>
      <c r="L409" t="str">
        <f t="shared" si="75"/>
        <v>Q1</v>
      </c>
      <c r="M409" s="2">
        <f t="shared" si="76"/>
        <v>1900</v>
      </c>
      <c r="N409" t="str">
        <f ca="1">IF(COUNTIFS(A$2:A409,A409,O$2:O409,O409)&gt;1,"Repeat","New")</f>
        <v>New</v>
      </c>
      <c r="O409" s="2" t="e">
        <f t="shared" ca="1" si="77"/>
        <v>#VALUE!</v>
      </c>
      <c r="P409" s="3" t="e">
        <f t="shared" ca="1" si="78"/>
        <v>#VALUE!</v>
      </c>
      <c r="Q409" t="str">
        <f t="shared" si="79"/>
        <v>Jan-00</v>
      </c>
      <c r="R409" t="str">
        <f t="shared" si="80"/>
        <v>Q1</v>
      </c>
      <c r="S409">
        <f t="shared" si="81"/>
        <v>1900</v>
      </c>
      <c r="T409" t="str">
        <f t="shared" si="82"/>
        <v>Retail</v>
      </c>
    </row>
    <row r="410" spans="8:20" x14ac:dyDescent="0.3">
      <c r="H410">
        <f t="shared" si="83"/>
        <v>0</v>
      </c>
      <c r="I410">
        <f t="shared" si="72"/>
        <v>0</v>
      </c>
      <c r="J410">
        <f t="shared" si="73"/>
        <v>0</v>
      </c>
      <c r="K410" t="str">
        <f t="shared" si="74"/>
        <v>January</v>
      </c>
      <c r="L410" t="str">
        <f t="shared" si="75"/>
        <v>Q1</v>
      </c>
      <c r="M410" s="2">
        <f t="shared" si="76"/>
        <v>1900</v>
      </c>
      <c r="N410" t="str">
        <f ca="1">IF(COUNTIFS(A$2:A410,A410,O$2:O410,O410)&gt;1,"Repeat","New")</f>
        <v>New</v>
      </c>
      <c r="O410" s="2" t="e">
        <f t="shared" ca="1" si="77"/>
        <v>#VALUE!</v>
      </c>
      <c r="P410" s="3" t="e">
        <f t="shared" ca="1" si="78"/>
        <v>#VALUE!</v>
      </c>
      <c r="Q410" t="str">
        <f t="shared" si="79"/>
        <v>Jan-00</v>
      </c>
      <c r="R410" t="str">
        <f t="shared" si="80"/>
        <v>Q1</v>
      </c>
      <c r="S410">
        <f t="shared" si="81"/>
        <v>1900</v>
      </c>
      <c r="T410" t="str">
        <f t="shared" si="82"/>
        <v>Retail</v>
      </c>
    </row>
    <row r="411" spans="8:20" x14ac:dyDescent="0.3">
      <c r="H411">
        <f t="shared" si="83"/>
        <v>0</v>
      </c>
      <c r="I411">
        <f t="shared" si="72"/>
        <v>0</v>
      </c>
      <c r="J411">
        <f t="shared" si="73"/>
        <v>0</v>
      </c>
      <c r="K411" t="str">
        <f t="shared" si="74"/>
        <v>January</v>
      </c>
      <c r="L411" t="str">
        <f t="shared" si="75"/>
        <v>Q1</v>
      </c>
      <c r="M411" s="2">
        <f t="shared" si="76"/>
        <v>1900</v>
      </c>
      <c r="N411" t="str">
        <f ca="1">IF(COUNTIFS(A$2:A411,A411,O$2:O411,O411)&gt;1,"Repeat","New")</f>
        <v>New</v>
      </c>
      <c r="O411" s="2" t="e">
        <f t="shared" ca="1" si="77"/>
        <v>#VALUE!</v>
      </c>
      <c r="P411" s="3" t="e">
        <f t="shared" ca="1" si="78"/>
        <v>#VALUE!</v>
      </c>
      <c r="Q411" t="str">
        <f t="shared" si="79"/>
        <v>Jan-00</v>
      </c>
      <c r="R411" t="str">
        <f t="shared" si="80"/>
        <v>Q1</v>
      </c>
      <c r="S411">
        <f t="shared" si="81"/>
        <v>1900</v>
      </c>
      <c r="T411" t="str">
        <f t="shared" si="82"/>
        <v>Retail</v>
      </c>
    </row>
    <row r="412" spans="8:20" x14ac:dyDescent="0.3">
      <c r="H412">
        <f t="shared" si="83"/>
        <v>0</v>
      </c>
      <c r="I412">
        <f t="shared" si="72"/>
        <v>0</v>
      </c>
      <c r="J412">
        <f t="shared" si="73"/>
        <v>0</v>
      </c>
      <c r="K412" t="str">
        <f t="shared" si="74"/>
        <v>January</v>
      </c>
      <c r="L412" t="str">
        <f t="shared" si="75"/>
        <v>Q1</v>
      </c>
      <c r="M412" s="2">
        <f t="shared" si="76"/>
        <v>1900</v>
      </c>
      <c r="N412" t="str">
        <f ca="1">IF(COUNTIFS(A$2:A412,A412,O$2:O412,O412)&gt;1,"Repeat","New")</f>
        <v>New</v>
      </c>
      <c r="O412" s="2" t="e">
        <f t="shared" ca="1" si="77"/>
        <v>#VALUE!</v>
      </c>
      <c r="P412" s="3" t="e">
        <f t="shared" ca="1" si="78"/>
        <v>#VALUE!</v>
      </c>
      <c r="Q412" t="str">
        <f t="shared" si="79"/>
        <v>Jan-00</v>
      </c>
      <c r="R412" t="str">
        <f t="shared" si="80"/>
        <v>Q1</v>
      </c>
      <c r="S412">
        <f t="shared" si="81"/>
        <v>1900</v>
      </c>
      <c r="T412" t="str">
        <f t="shared" si="82"/>
        <v>Retail</v>
      </c>
    </row>
    <row r="413" spans="8:20" x14ac:dyDescent="0.3">
      <c r="H413">
        <f t="shared" si="83"/>
        <v>0</v>
      </c>
      <c r="I413">
        <f t="shared" si="72"/>
        <v>0</v>
      </c>
      <c r="J413">
        <f t="shared" si="73"/>
        <v>0</v>
      </c>
      <c r="K413" t="str">
        <f t="shared" si="74"/>
        <v>January</v>
      </c>
      <c r="L413" t="str">
        <f t="shared" si="75"/>
        <v>Q1</v>
      </c>
      <c r="M413" s="2">
        <f t="shared" si="76"/>
        <v>1900</v>
      </c>
      <c r="N413" t="str">
        <f ca="1">IF(COUNTIFS(A$2:A413,A413,O$2:O413,O413)&gt;1,"Repeat","New")</f>
        <v>New</v>
      </c>
      <c r="O413" s="2" t="e">
        <f t="shared" ca="1" si="77"/>
        <v>#VALUE!</v>
      </c>
      <c r="P413" s="3" t="e">
        <f t="shared" ca="1" si="78"/>
        <v>#VALUE!</v>
      </c>
      <c r="Q413" t="str">
        <f t="shared" si="79"/>
        <v>Jan-00</v>
      </c>
      <c r="R413" t="str">
        <f t="shared" si="80"/>
        <v>Q1</v>
      </c>
      <c r="S413">
        <f t="shared" si="81"/>
        <v>1900</v>
      </c>
      <c r="T413" t="str">
        <f t="shared" si="82"/>
        <v>Retail</v>
      </c>
    </row>
    <row r="414" spans="8:20" x14ac:dyDescent="0.3">
      <c r="H414">
        <f t="shared" si="83"/>
        <v>0</v>
      </c>
      <c r="I414">
        <f t="shared" si="72"/>
        <v>0</v>
      </c>
      <c r="J414">
        <f t="shared" si="73"/>
        <v>0</v>
      </c>
      <c r="K414" t="str">
        <f t="shared" si="74"/>
        <v>January</v>
      </c>
      <c r="L414" t="str">
        <f t="shared" si="75"/>
        <v>Q1</v>
      </c>
      <c r="M414" s="2">
        <f t="shared" si="76"/>
        <v>1900</v>
      </c>
      <c r="N414" t="str">
        <f ca="1">IF(COUNTIFS(A$2:A414,A414,O$2:O414,O414)&gt;1,"Repeat","New")</f>
        <v>New</v>
      </c>
      <c r="O414" s="2" t="e">
        <f t="shared" ca="1" si="77"/>
        <v>#VALUE!</v>
      </c>
      <c r="P414" s="3" t="e">
        <f t="shared" ca="1" si="78"/>
        <v>#VALUE!</v>
      </c>
      <c r="Q414" t="str">
        <f t="shared" si="79"/>
        <v>Jan-00</v>
      </c>
      <c r="R414" t="str">
        <f t="shared" si="80"/>
        <v>Q1</v>
      </c>
      <c r="S414">
        <f t="shared" si="81"/>
        <v>1900</v>
      </c>
      <c r="T414" t="str">
        <f t="shared" si="82"/>
        <v>Retail</v>
      </c>
    </row>
    <row r="415" spans="8:20" x14ac:dyDescent="0.3">
      <c r="H415">
        <f t="shared" si="83"/>
        <v>0</v>
      </c>
      <c r="I415">
        <f t="shared" si="72"/>
        <v>0</v>
      </c>
      <c r="J415">
        <f t="shared" si="73"/>
        <v>0</v>
      </c>
      <c r="K415" t="str">
        <f t="shared" si="74"/>
        <v>January</v>
      </c>
      <c r="L415" t="str">
        <f t="shared" si="75"/>
        <v>Q1</v>
      </c>
      <c r="M415" s="2">
        <f t="shared" si="76"/>
        <v>1900</v>
      </c>
      <c r="N415" t="str">
        <f ca="1">IF(COUNTIFS(A$2:A415,A415,O$2:O415,O415)&gt;1,"Repeat","New")</f>
        <v>New</v>
      </c>
      <c r="O415" s="2" t="e">
        <f t="shared" ca="1" si="77"/>
        <v>#VALUE!</v>
      </c>
      <c r="P415" s="3" t="e">
        <f t="shared" ca="1" si="78"/>
        <v>#VALUE!</v>
      </c>
      <c r="Q415" t="str">
        <f t="shared" si="79"/>
        <v>Jan-00</v>
      </c>
      <c r="R415" t="str">
        <f t="shared" si="80"/>
        <v>Q1</v>
      </c>
      <c r="S415">
        <f t="shared" si="81"/>
        <v>1900</v>
      </c>
      <c r="T415" t="str">
        <f t="shared" si="82"/>
        <v>Retail</v>
      </c>
    </row>
    <row r="416" spans="8:20" x14ac:dyDescent="0.3">
      <c r="H416">
        <f t="shared" si="83"/>
        <v>0</v>
      </c>
      <c r="I416">
        <f t="shared" si="72"/>
        <v>0</v>
      </c>
      <c r="J416">
        <f t="shared" si="73"/>
        <v>0</v>
      </c>
      <c r="K416" t="str">
        <f t="shared" si="74"/>
        <v>January</v>
      </c>
      <c r="L416" t="str">
        <f t="shared" si="75"/>
        <v>Q1</v>
      </c>
      <c r="M416" s="2">
        <f t="shared" si="76"/>
        <v>1900</v>
      </c>
      <c r="N416" t="str">
        <f ca="1">IF(COUNTIFS(A$2:A416,A416,O$2:O416,O416)&gt;1,"Repeat","New")</f>
        <v>New</v>
      </c>
      <c r="O416" s="2" t="e">
        <f t="shared" ca="1" si="77"/>
        <v>#VALUE!</v>
      </c>
      <c r="P416" s="3" t="e">
        <f t="shared" ca="1" si="78"/>
        <v>#VALUE!</v>
      </c>
      <c r="Q416" t="str">
        <f t="shared" si="79"/>
        <v>Jan-00</v>
      </c>
      <c r="R416" t="str">
        <f t="shared" si="80"/>
        <v>Q1</v>
      </c>
      <c r="S416">
        <f t="shared" si="81"/>
        <v>1900</v>
      </c>
      <c r="T416" t="str">
        <f t="shared" si="82"/>
        <v>Retail</v>
      </c>
    </row>
    <row r="417" spans="8:20" x14ac:dyDescent="0.3">
      <c r="H417">
        <f t="shared" si="83"/>
        <v>0</v>
      </c>
      <c r="I417">
        <f t="shared" si="72"/>
        <v>0</v>
      </c>
      <c r="J417">
        <f t="shared" si="73"/>
        <v>0</v>
      </c>
      <c r="K417" t="str">
        <f t="shared" si="74"/>
        <v>January</v>
      </c>
      <c r="L417" t="str">
        <f t="shared" si="75"/>
        <v>Q1</v>
      </c>
      <c r="M417" s="2">
        <f t="shared" si="76"/>
        <v>1900</v>
      </c>
      <c r="N417" t="str">
        <f ca="1">IF(COUNTIFS(A$2:A417,A417,O$2:O417,O417)&gt;1,"Repeat","New")</f>
        <v>New</v>
      </c>
      <c r="O417" s="2" t="e">
        <f t="shared" ca="1" si="77"/>
        <v>#VALUE!</v>
      </c>
      <c r="P417" s="3" t="e">
        <f t="shared" ca="1" si="78"/>
        <v>#VALUE!</v>
      </c>
      <c r="Q417" t="str">
        <f t="shared" si="79"/>
        <v>Jan-00</v>
      </c>
      <c r="R417" t="str">
        <f t="shared" si="80"/>
        <v>Q1</v>
      </c>
      <c r="S417">
        <f t="shared" si="81"/>
        <v>1900</v>
      </c>
      <c r="T417" t="str">
        <f t="shared" si="82"/>
        <v>Retail</v>
      </c>
    </row>
    <row r="418" spans="8:20" x14ac:dyDescent="0.3">
      <c r="H418">
        <f t="shared" si="83"/>
        <v>0</v>
      </c>
      <c r="I418">
        <f t="shared" si="72"/>
        <v>0</v>
      </c>
      <c r="J418">
        <f t="shared" si="73"/>
        <v>0</v>
      </c>
      <c r="K418" t="str">
        <f t="shared" si="74"/>
        <v>January</v>
      </c>
      <c r="L418" t="str">
        <f t="shared" si="75"/>
        <v>Q1</v>
      </c>
      <c r="M418" s="2">
        <f t="shared" si="76"/>
        <v>1900</v>
      </c>
      <c r="N418" t="str">
        <f ca="1">IF(COUNTIFS(A$2:A418,A418,O$2:O418,O418)&gt;1,"Repeat","New")</f>
        <v>New</v>
      </c>
      <c r="O418" s="2" t="e">
        <f t="shared" ca="1" si="77"/>
        <v>#VALUE!</v>
      </c>
      <c r="P418" s="3" t="e">
        <f t="shared" ca="1" si="78"/>
        <v>#VALUE!</v>
      </c>
      <c r="Q418" t="str">
        <f t="shared" si="79"/>
        <v>Jan-00</v>
      </c>
      <c r="R418" t="str">
        <f t="shared" si="80"/>
        <v>Q1</v>
      </c>
      <c r="S418">
        <f t="shared" si="81"/>
        <v>1900</v>
      </c>
      <c r="T418" t="str">
        <f t="shared" si="82"/>
        <v>Retail</v>
      </c>
    </row>
    <row r="419" spans="8:20" x14ac:dyDescent="0.3">
      <c r="H419">
        <f t="shared" si="83"/>
        <v>0</v>
      </c>
      <c r="I419">
        <f t="shared" si="72"/>
        <v>0</v>
      </c>
      <c r="J419">
        <f t="shared" si="73"/>
        <v>0</v>
      </c>
      <c r="K419" t="str">
        <f t="shared" si="74"/>
        <v>January</v>
      </c>
      <c r="L419" t="str">
        <f t="shared" si="75"/>
        <v>Q1</v>
      </c>
      <c r="M419" s="2">
        <f t="shared" si="76"/>
        <v>1900</v>
      </c>
      <c r="N419" t="str">
        <f ca="1">IF(COUNTIFS(A$2:A419,A419,O$2:O419,O419)&gt;1,"Repeat","New")</f>
        <v>New</v>
      </c>
      <c r="O419" s="2" t="e">
        <f t="shared" ca="1" si="77"/>
        <v>#VALUE!</v>
      </c>
      <c r="P419" s="3" t="e">
        <f t="shared" ca="1" si="78"/>
        <v>#VALUE!</v>
      </c>
      <c r="Q419" t="str">
        <f t="shared" si="79"/>
        <v>Jan-00</v>
      </c>
      <c r="R419" t="str">
        <f t="shared" si="80"/>
        <v>Q1</v>
      </c>
      <c r="S419">
        <f t="shared" si="81"/>
        <v>1900</v>
      </c>
      <c r="T419" t="str">
        <f t="shared" si="82"/>
        <v>Retail</v>
      </c>
    </row>
    <row r="420" spans="8:20" x14ac:dyDescent="0.3">
      <c r="H420">
        <f t="shared" si="83"/>
        <v>0</v>
      </c>
      <c r="I420">
        <f t="shared" si="72"/>
        <v>0</v>
      </c>
      <c r="J420">
        <f t="shared" si="73"/>
        <v>0</v>
      </c>
      <c r="K420" t="str">
        <f t="shared" si="74"/>
        <v>January</v>
      </c>
      <c r="L420" t="str">
        <f t="shared" si="75"/>
        <v>Q1</v>
      </c>
      <c r="M420" s="2">
        <f t="shared" si="76"/>
        <v>1900</v>
      </c>
      <c r="N420" t="str">
        <f ca="1">IF(COUNTIFS(A$2:A420,A420,O$2:O420,O420)&gt;1,"Repeat","New")</f>
        <v>New</v>
      </c>
      <c r="O420" s="2" t="e">
        <f t="shared" ca="1" si="77"/>
        <v>#VALUE!</v>
      </c>
      <c r="P420" s="3" t="e">
        <f t="shared" ca="1" si="78"/>
        <v>#VALUE!</v>
      </c>
      <c r="Q420" t="str">
        <f t="shared" si="79"/>
        <v>Jan-00</v>
      </c>
      <c r="R420" t="str">
        <f t="shared" si="80"/>
        <v>Q1</v>
      </c>
      <c r="S420">
        <f t="shared" si="81"/>
        <v>1900</v>
      </c>
      <c r="T420" t="str">
        <f t="shared" si="82"/>
        <v>Retail</v>
      </c>
    </row>
    <row r="421" spans="8:20" x14ac:dyDescent="0.3">
      <c r="H421">
        <f t="shared" si="83"/>
        <v>0</v>
      </c>
      <c r="I421">
        <f t="shared" si="72"/>
        <v>0</v>
      </c>
      <c r="J421">
        <f t="shared" si="73"/>
        <v>0</v>
      </c>
      <c r="K421" t="str">
        <f t="shared" si="74"/>
        <v>January</v>
      </c>
      <c r="L421" t="str">
        <f t="shared" si="75"/>
        <v>Q1</v>
      </c>
      <c r="M421" s="2">
        <f t="shared" si="76"/>
        <v>1900</v>
      </c>
      <c r="N421" t="str">
        <f ca="1">IF(COUNTIFS(A$2:A421,A421,O$2:O421,O421)&gt;1,"Repeat","New")</f>
        <v>New</v>
      </c>
      <c r="O421" s="2" t="e">
        <f t="shared" ca="1" si="77"/>
        <v>#VALUE!</v>
      </c>
      <c r="P421" s="3" t="e">
        <f t="shared" ca="1" si="78"/>
        <v>#VALUE!</v>
      </c>
      <c r="Q421" t="str">
        <f t="shared" si="79"/>
        <v>Jan-00</v>
      </c>
      <c r="R421" t="str">
        <f t="shared" si="80"/>
        <v>Q1</v>
      </c>
      <c r="S421">
        <f t="shared" si="81"/>
        <v>1900</v>
      </c>
      <c r="T421" t="str">
        <f t="shared" si="82"/>
        <v>Retail</v>
      </c>
    </row>
    <row r="422" spans="8:20" x14ac:dyDescent="0.3">
      <c r="H422">
        <f t="shared" si="83"/>
        <v>0</v>
      </c>
      <c r="I422">
        <f t="shared" si="72"/>
        <v>0</v>
      </c>
      <c r="J422">
        <f t="shared" si="73"/>
        <v>0</v>
      </c>
      <c r="K422" t="str">
        <f t="shared" si="74"/>
        <v>January</v>
      </c>
      <c r="L422" t="str">
        <f t="shared" si="75"/>
        <v>Q1</v>
      </c>
      <c r="M422" s="2">
        <f t="shared" si="76"/>
        <v>1900</v>
      </c>
      <c r="N422" t="str">
        <f ca="1">IF(COUNTIFS(A$2:A422,A422,O$2:O422,O422)&gt;1,"Repeat","New")</f>
        <v>New</v>
      </c>
      <c r="O422" s="2" t="e">
        <f t="shared" ca="1" si="77"/>
        <v>#VALUE!</v>
      </c>
      <c r="P422" s="3" t="e">
        <f t="shared" ca="1" si="78"/>
        <v>#VALUE!</v>
      </c>
      <c r="Q422" t="str">
        <f t="shared" si="79"/>
        <v>Jan-00</v>
      </c>
      <c r="R422" t="str">
        <f t="shared" si="80"/>
        <v>Q1</v>
      </c>
      <c r="S422">
        <f t="shared" si="81"/>
        <v>1900</v>
      </c>
      <c r="T422" t="str">
        <f t="shared" si="82"/>
        <v>Retail</v>
      </c>
    </row>
    <row r="423" spans="8:20" x14ac:dyDescent="0.3">
      <c r="H423">
        <f t="shared" si="83"/>
        <v>0</v>
      </c>
      <c r="I423">
        <f t="shared" si="72"/>
        <v>0</v>
      </c>
      <c r="J423">
        <f t="shared" si="73"/>
        <v>0</v>
      </c>
      <c r="K423" t="str">
        <f t="shared" si="74"/>
        <v>January</v>
      </c>
      <c r="L423" t="str">
        <f t="shared" si="75"/>
        <v>Q1</v>
      </c>
      <c r="M423" s="2">
        <f t="shared" si="76"/>
        <v>1900</v>
      </c>
      <c r="N423" t="str">
        <f ca="1">IF(COUNTIFS(A$2:A423,A423,O$2:O423,O423)&gt;1,"Repeat","New")</f>
        <v>New</v>
      </c>
      <c r="O423" s="2" t="e">
        <f t="shared" ca="1" si="77"/>
        <v>#VALUE!</v>
      </c>
      <c r="P423" s="3" t="e">
        <f t="shared" ca="1" si="78"/>
        <v>#VALUE!</v>
      </c>
      <c r="Q423" t="str">
        <f t="shared" si="79"/>
        <v>Jan-00</v>
      </c>
      <c r="R423" t="str">
        <f t="shared" si="80"/>
        <v>Q1</v>
      </c>
      <c r="S423">
        <f t="shared" si="81"/>
        <v>1900</v>
      </c>
      <c r="T423" t="str">
        <f t="shared" si="82"/>
        <v>Retail</v>
      </c>
    </row>
    <row r="424" spans="8:20" x14ac:dyDescent="0.3">
      <c r="H424">
        <f t="shared" si="83"/>
        <v>0</v>
      </c>
      <c r="I424">
        <f t="shared" si="72"/>
        <v>0</v>
      </c>
      <c r="J424">
        <f t="shared" si="73"/>
        <v>0</v>
      </c>
      <c r="K424" t="str">
        <f t="shared" si="74"/>
        <v>January</v>
      </c>
      <c r="L424" t="str">
        <f t="shared" si="75"/>
        <v>Q1</v>
      </c>
      <c r="M424" s="2">
        <f t="shared" si="76"/>
        <v>1900</v>
      </c>
      <c r="N424" t="str">
        <f ca="1">IF(COUNTIFS(A$2:A424,A424,O$2:O424,O424)&gt;1,"Repeat","New")</f>
        <v>New</v>
      </c>
      <c r="O424" s="2" t="e">
        <f t="shared" ca="1" si="77"/>
        <v>#VALUE!</v>
      </c>
      <c r="P424" s="3" t="e">
        <f t="shared" ca="1" si="78"/>
        <v>#VALUE!</v>
      </c>
      <c r="Q424" t="str">
        <f t="shared" si="79"/>
        <v>Jan-00</v>
      </c>
      <c r="R424" t="str">
        <f t="shared" si="80"/>
        <v>Q1</v>
      </c>
      <c r="S424">
        <f t="shared" si="81"/>
        <v>1900</v>
      </c>
      <c r="T424" t="str">
        <f t="shared" si="82"/>
        <v>Retail</v>
      </c>
    </row>
    <row r="425" spans="8:20" x14ac:dyDescent="0.3">
      <c r="H425">
        <f t="shared" si="83"/>
        <v>0</v>
      </c>
      <c r="I425">
        <f t="shared" si="72"/>
        <v>0</v>
      </c>
      <c r="J425">
        <f t="shared" si="73"/>
        <v>0</v>
      </c>
      <c r="K425" t="str">
        <f t="shared" si="74"/>
        <v>January</v>
      </c>
      <c r="L425" t="str">
        <f t="shared" si="75"/>
        <v>Q1</v>
      </c>
      <c r="M425" s="2">
        <f t="shared" si="76"/>
        <v>1900</v>
      </c>
      <c r="N425" t="str">
        <f ca="1">IF(COUNTIFS(A$2:A425,A425,O$2:O425,O425)&gt;1,"Repeat","New")</f>
        <v>New</v>
      </c>
      <c r="O425" s="2" t="e">
        <f t="shared" ca="1" si="77"/>
        <v>#VALUE!</v>
      </c>
      <c r="P425" s="3" t="e">
        <f t="shared" ca="1" si="78"/>
        <v>#VALUE!</v>
      </c>
      <c r="Q425" t="str">
        <f t="shared" si="79"/>
        <v>Jan-00</v>
      </c>
      <c r="R425" t="str">
        <f t="shared" si="80"/>
        <v>Q1</v>
      </c>
      <c r="S425">
        <f t="shared" si="81"/>
        <v>1900</v>
      </c>
      <c r="T425" t="str">
        <f t="shared" si="82"/>
        <v>Retail</v>
      </c>
    </row>
    <row r="426" spans="8:20" x14ac:dyDescent="0.3">
      <c r="H426">
        <f t="shared" si="83"/>
        <v>0</v>
      </c>
      <c r="I426">
        <f t="shared" si="72"/>
        <v>0</v>
      </c>
      <c r="J426">
        <f t="shared" si="73"/>
        <v>0</v>
      </c>
      <c r="K426" t="str">
        <f t="shared" si="74"/>
        <v>January</v>
      </c>
      <c r="L426" t="str">
        <f t="shared" si="75"/>
        <v>Q1</v>
      </c>
      <c r="M426" s="2">
        <f t="shared" si="76"/>
        <v>1900</v>
      </c>
      <c r="N426" t="str">
        <f ca="1">IF(COUNTIFS(A$2:A426,A426,O$2:O426,O426)&gt;1,"Repeat","New")</f>
        <v>New</v>
      </c>
      <c r="O426" s="2" t="e">
        <f t="shared" ca="1" si="77"/>
        <v>#VALUE!</v>
      </c>
      <c r="P426" s="3" t="e">
        <f t="shared" ca="1" si="78"/>
        <v>#VALUE!</v>
      </c>
      <c r="Q426" t="str">
        <f t="shared" si="79"/>
        <v>Jan-00</v>
      </c>
      <c r="R426" t="str">
        <f t="shared" si="80"/>
        <v>Q1</v>
      </c>
      <c r="S426">
        <f t="shared" si="81"/>
        <v>1900</v>
      </c>
      <c r="T426" t="str">
        <f t="shared" si="82"/>
        <v>Retail</v>
      </c>
    </row>
    <row r="427" spans="8:20" x14ac:dyDescent="0.3">
      <c r="H427">
        <f t="shared" si="83"/>
        <v>0</v>
      </c>
      <c r="I427">
        <f t="shared" si="72"/>
        <v>0</v>
      </c>
      <c r="J427">
        <f t="shared" si="73"/>
        <v>0</v>
      </c>
      <c r="K427" t="str">
        <f t="shared" si="74"/>
        <v>January</v>
      </c>
      <c r="L427" t="str">
        <f t="shared" si="75"/>
        <v>Q1</v>
      </c>
      <c r="M427" s="2">
        <f t="shared" si="76"/>
        <v>1900</v>
      </c>
      <c r="N427" t="str">
        <f ca="1">IF(COUNTIFS(A$2:A427,A427,O$2:O427,O427)&gt;1,"Repeat","New")</f>
        <v>New</v>
      </c>
      <c r="O427" s="2" t="e">
        <f t="shared" ca="1" si="77"/>
        <v>#VALUE!</v>
      </c>
      <c r="P427" s="3" t="e">
        <f t="shared" ca="1" si="78"/>
        <v>#VALUE!</v>
      </c>
      <c r="Q427" t="str">
        <f t="shared" si="79"/>
        <v>Jan-00</v>
      </c>
      <c r="R427" t="str">
        <f t="shared" si="80"/>
        <v>Q1</v>
      </c>
      <c r="S427">
        <f t="shared" si="81"/>
        <v>1900</v>
      </c>
      <c r="T427" t="str">
        <f t="shared" si="82"/>
        <v>Retail</v>
      </c>
    </row>
    <row r="428" spans="8:20" x14ac:dyDescent="0.3">
      <c r="H428">
        <f t="shared" si="83"/>
        <v>0</v>
      </c>
      <c r="I428">
        <f t="shared" si="72"/>
        <v>0</v>
      </c>
      <c r="J428">
        <f t="shared" si="73"/>
        <v>0</v>
      </c>
      <c r="K428" t="str">
        <f t="shared" si="74"/>
        <v>January</v>
      </c>
      <c r="L428" t="str">
        <f t="shared" si="75"/>
        <v>Q1</v>
      </c>
      <c r="M428" s="2">
        <f t="shared" si="76"/>
        <v>1900</v>
      </c>
      <c r="N428" t="str">
        <f ca="1">IF(COUNTIFS(A$2:A428,A428,O$2:O428,O428)&gt;1,"Repeat","New")</f>
        <v>New</v>
      </c>
      <c r="O428" s="2" t="e">
        <f t="shared" ca="1" si="77"/>
        <v>#VALUE!</v>
      </c>
      <c r="P428" s="3" t="e">
        <f t="shared" ca="1" si="78"/>
        <v>#VALUE!</v>
      </c>
      <c r="Q428" t="str">
        <f t="shared" si="79"/>
        <v>Jan-00</v>
      </c>
      <c r="R428" t="str">
        <f t="shared" si="80"/>
        <v>Q1</v>
      </c>
      <c r="S428">
        <f t="shared" si="81"/>
        <v>1900</v>
      </c>
      <c r="T428" t="str">
        <f t="shared" si="82"/>
        <v>Retail</v>
      </c>
    </row>
    <row r="429" spans="8:20" x14ac:dyDescent="0.3">
      <c r="H429">
        <f t="shared" si="83"/>
        <v>0</v>
      </c>
      <c r="I429">
        <f t="shared" si="72"/>
        <v>0</v>
      </c>
      <c r="J429">
        <f t="shared" si="73"/>
        <v>0</v>
      </c>
      <c r="K429" t="str">
        <f t="shared" si="74"/>
        <v>January</v>
      </c>
      <c r="L429" t="str">
        <f t="shared" si="75"/>
        <v>Q1</v>
      </c>
      <c r="M429" s="2">
        <f t="shared" si="76"/>
        <v>1900</v>
      </c>
      <c r="N429" t="str">
        <f ca="1">IF(COUNTIFS(A$2:A429,A429,O$2:O429,O429)&gt;1,"Repeat","New")</f>
        <v>New</v>
      </c>
      <c r="O429" s="2" t="e">
        <f t="shared" ca="1" si="77"/>
        <v>#VALUE!</v>
      </c>
      <c r="P429" s="3" t="e">
        <f t="shared" ca="1" si="78"/>
        <v>#VALUE!</v>
      </c>
      <c r="Q429" t="str">
        <f t="shared" si="79"/>
        <v>Jan-00</v>
      </c>
      <c r="R429" t="str">
        <f t="shared" si="80"/>
        <v>Q1</v>
      </c>
      <c r="S429">
        <f t="shared" si="81"/>
        <v>1900</v>
      </c>
      <c r="T429" t="str">
        <f t="shared" si="82"/>
        <v>Retail</v>
      </c>
    </row>
    <row r="430" spans="8:20" x14ac:dyDescent="0.3">
      <c r="H430">
        <f t="shared" si="83"/>
        <v>0</v>
      </c>
      <c r="I430">
        <f t="shared" si="72"/>
        <v>0</v>
      </c>
      <c r="J430">
        <f t="shared" si="73"/>
        <v>0</v>
      </c>
      <c r="K430" t="str">
        <f t="shared" si="74"/>
        <v>January</v>
      </c>
      <c r="L430" t="str">
        <f t="shared" si="75"/>
        <v>Q1</v>
      </c>
      <c r="M430" s="2">
        <f t="shared" si="76"/>
        <v>1900</v>
      </c>
      <c r="N430" t="str">
        <f ca="1">IF(COUNTIFS(A$2:A430,A430,O$2:O430,O430)&gt;1,"Repeat","New")</f>
        <v>New</v>
      </c>
      <c r="O430" s="2" t="e">
        <f t="shared" ca="1" si="77"/>
        <v>#VALUE!</v>
      </c>
      <c r="P430" s="3" t="e">
        <f t="shared" ca="1" si="78"/>
        <v>#VALUE!</v>
      </c>
      <c r="Q430" t="str">
        <f t="shared" si="79"/>
        <v>Jan-00</v>
      </c>
      <c r="R430" t="str">
        <f t="shared" si="80"/>
        <v>Q1</v>
      </c>
      <c r="S430">
        <f t="shared" si="81"/>
        <v>1900</v>
      </c>
      <c r="T430" t="str">
        <f t="shared" si="82"/>
        <v>Retail</v>
      </c>
    </row>
    <row r="431" spans="8:20" x14ac:dyDescent="0.3">
      <c r="H431">
        <f t="shared" si="83"/>
        <v>0</v>
      </c>
      <c r="I431">
        <f t="shared" si="72"/>
        <v>0</v>
      </c>
      <c r="J431">
        <f t="shared" si="73"/>
        <v>0</v>
      </c>
      <c r="K431" t="str">
        <f t="shared" si="74"/>
        <v>January</v>
      </c>
      <c r="L431" t="str">
        <f t="shared" si="75"/>
        <v>Q1</v>
      </c>
      <c r="M431" s="2">
        <f t="shared" si="76"/>
        <v>1900</v>
      </c>
      <c r="N431" t="str">
        <f ca="1">IF(COUNTIFS(A$2:A431,A431,O$2:O431,O431)&gt;1,"Repeat","New")</f>
        <v>New</v>
      </c>
      <c r="O431" s="2" t="e">
        <f t="shared" ca="1" si="77"/>
        <v>#VALUE!</v>
      </c>
      <c r="P431" s="3" t="e">
        <f t="shared" ca="1" si="78"/>
        <v>#VALUE!</v>
      </c>
      <c r="Q431" t="str">
        <f t="shared" si="79"/>
        <v>Jan-00</v>
      </c>
      <c r="R431" t="str">
        <f t="shared" si="80"/>
        <v>Q1</v>
      </c>
      <c r="S431">
        <f t="shared" si="81"/>
        <v>1900</v>
      </c>
      <c r="T431" t="str">
        <f t="shared" si="82"/>
        <v>Retail</v>
      </c>
    </row>
    <row r="432" spans="8:20" x14ac:dyDescent="0.3">
      <c r="H432">
        <f t="shared" si="83"/>
        <v>0</v>
      </c>
      <c r="I432">
        <f t="shared" si="72"/>
        <v>0</v>
      </c>
      <c r="J432">
        <f t="shared" si="73"/>
        <v>0</v>
      </c>
      <c r="K432" t="str">
        <f t="shared" si="74"/>
        <v>January</v>
      </c>
      <c r="L432" t="str">
        <f t="shared" si="75"/>
        <v>Q1</v>
      </c>
      <c r="M432" s="2">
        <f t="shared" si="76"/>
        <v>1900</v>
      </c>
      <c r="N432" t="str">
        <f ca="1">IF(COUNTIFS(A$2:A432,A432,O$2:O432,O432)&gt;1,"Repeat","New")</f>
        <v>New</v>
      </c>
      <c r="O432" s="2" t="e">
        <f t="shared" ca="1" si="77"/>
        <v>#VALUE!</v>
      </c>
      <c r="P432" s="3" t="e">
        <f t="shared" ca="1" si="78"/>
        <v>#VALUE!</v>
      </c>
      <c r="Q432" t="str">
        <f t="shared" si="79"/>
        <v>Jan-00</v>
      </c>
      <c r="R432" t="str">
        <f t="shared" si="80"/>
        <v>Q1</v>
      </c>
      <c r="S432">
        <f t="shared" si="81"/>
        <v>1900</v>
      </c>
      <c r="T432" t="str">
        <f t="shared" si="82"/>
        <v>Retail</v>
      </c>
    </row>
    <row r="433" spans="8:20" x14ac:dyDescent="0.3">
      <c r="H433">
        <f t="shared" si="83"/>
        <v>0</v>
      </c>
      <c r="I433">
        <f t="shared" si="72"/>
        <v>0</v>
      </c>
      <c r="J433">
        <f t="shared" si="73"/>
        <v>0</v>
      </c>
      <c r="K433" t="str">
        <f t="shared" si="74"/>
        <v>January</v>
      </c>
      <c r="L433" t="str">
        <f t="shared" si="75"/>
        <v>Q1</v>
      </c>
      <c r="M433" s="2">
        <f t="shared" si="76"/>
        <v>1900</v>
      </c>
      <c r="N433" t="str">
        <f ca="1">IF(COUNTIFS(A$2:A433,A433,O$2:O433,O433)&gt;1,"Repeat","New")</f>
        <v>New</v>
      </c>
      <c r="O433" s="2" t="e">
        <f t="shared" ca="1" si="77"/>
        <v>#VALUE!</v>
      </c>
      <c r="P433" s="3" t="e">
        <f t="shared" ca="1" si="78"/>
        <v>#VALUE!</v>
      </c>
      <c r="Q433" t="str">
        <f t="shared" si="79"/>
        <v>Jan-00</v>
      </c>
      <c r="R433" t="str">
        <f t="shared" si="80"/>
        <v>Q1</v>
      </c>
      <c r="S433">
        <f t="shared" si="81"/>
        <v>1900</v>
      </c>
      <c r="T433" t="str">
        <f t="shared" si="82"/>
        <v>Retail</v>
      </c>
    </row>
    <row r="434" spans="8:20" x14ac:dyDescent="0.3">
      <c r="H434">
        <f t="shared" si="83"/>
        <v>0</v>
      </c>
      <c r="I434">
        <f t="shared" si="72"/>
        <v>0</v>
      </c>
      <c r="J434">
        <f t="shared" si="73"/>
        <v>0</v>
      </c>
      <c r="K434" t="str">
        <f t="shared" si="74"/>
        <v>January</v>
      </c>
      <c r="L434" t="str">
        <f t="shared" si="75"/>
        <v>Q1</v>
      </c>
      <c r="M434" s="2">
        <f t="shared" si="76"/>
        <v>1900</v>
      </c>
      <c r="N434" t="str">
        <f ca="1">IF(COUNTIFS(A$2:A434,A434,O$2:O434,O434)&gt;1,"Repeat","New")</f>
        <v>New</v>
      </c>
      <c r="O434" s="2" t="e">
        <f t="shared" ca="1" si="77"/>
        <v>#VALUE!</v>
      </c>
      <c r="P434" s="3" t="e">
        <f t="shared" ca="1" si="78"/>
        <v>#VALUE!</v>
      </c>
      <c r="Q434" t="str">
        <f t="shared" si="79"/>
        <v>Jan-00</v>
      </c>
      <c r="R434" t="str">
        <f t="shared" si="80"/>
        <v>Q1</v>
      </c>
      <c r="S434">
        <f t="shared" si="81"/>
        <v>1900</v>
      </c>
      <c r="T434" t="str">
        <f t="shared" si="82"/>
        <v>Retail</v>
      </c>
    </row>
    <row r="435" spans="8:20" x14ac:dyDescent="0.3">
      <c r="H435">
        <f t="shared" si="83"/>
        <v>0</v>
      </c>
      <c r="I435">
        <f t="shared" si="72"/>
        <v>0</v>
      </c>
      <c r="J435">
        <f t="shared" si="73"/>
        <v>0</v>
      </c>
      <c r="K435" t="str">
        <f t="shared" si="74"/>
        <v>January</v>
      </c>
      <c r="L435" t="str">
        <f t="shared" si="75"/>
        <v>Q1</v>
      </c>
      <c r="M435" s="2">
        <f t="shared" si="76"/>
        <v>1900</v>
      </c>
      <c r="N435" t="str">
        <f ca="1">IF(COUNTIFS(A$2:A435,A435,O$2:O435,O435)&gt;1,"Repeat","New")</f>
        <v>New</v>
      </c>
      <c r="O435" s="2" t="e">
        <f t="shared" ca="1" si="77"/>
        <v>#VALUE!</v>
      </c>
      <c r="P435" s="3" t="e">
        <f t="shared" ca="1" si="78"/>
        <v>#VALUE!</v>
      </c>
      <c r="Q435" t="str">
        <f t="shared" si="79"/>
        <v>Jan-00</v>
      </c>
      <c r="R435" t="str">
        <f t="shared" si="80"/>
        <v>Q1</v>
      </c>
      <c r="S435">
        <f t="shared" si="81"/>
        <v>1900</v>
      </c>
      <c r="T435" t="str">
        <f t="shared" si="82"/>
        <v>Retail</v>
      </c>
    </row>
    <row r="436" spans="8:20" x14ac:dyDescent="0.3">
      <c r="H436">
        <f t="shared" si="83"/>
        <v>0</v>
      </c>
      <c r="I436">
        <f t="shared" si="72"/>
        <v>0</v>
      </c>
      <c r="J436">
        <f t="shared" si="73"/>
        <v>0</v>
      </c>
      <c r="K436" t="str">
        <f t="shared" si="74"/>
        <v>January</v>
      </c>
      <c r="L436" t="str">
        <f t="shared" si="75"/>
        <v>Q1</v>
      </c>
      <c r="M436" s="2">
        <f t="shared" si="76"/>
        <v>1900</v>
      </c>
      <c r="N436" t="str">
        <f ca="1">IF(COUNTIFS(A$2:A436,A436,O$2:O436,O436)&gt;1,"Repeat","New")</f>
        <v>New</v>
      </c>
      <c r="O436" s="2" t="e">
        <f t="shared" ca="1" si="77"/>
        <v>#VALUE!</v>
      </c>
      <c r="P436" s="3" t="e">
        <f t="shared" ca="1" si="78"/>
        <v>#VALUE!</v>
      </c>
      <c r="Q436" t="str">
        <f t="shared" si="79"/>
        <v>Jan-00</v>
      </c>
      <c r="R436" t="str">
        <f t="shared" si="80"/>
        <v>Q1</v>
      </c>
      <c r="S436">
        <f t="shared" si="81"/>
        <v>1900</v>
      </c>
      <c r="T436" t="str">
        <f t="shared" si="82"/>
        <v>Retail</v>
      </c>
    </row>
    <row r="437" spans="8:20" x14ac:dyDescent="0.3">
      <c r="H437">
        <f t="shared" si="83"/>
        <v>0</v>
      </c>
      <c r="I437">
        <f t="shared" si="72"/>
        <v>0</v>
      </c>
      <c r="J437">
        <f t="shared" si="73"/>
        <v>0</v>
      </c>
      <c r="K437" t="str">
        <f t="shared" si="74"/>
        <v>January</v>
      </c>
      <c r="L437" t="str">
        <f t="shared" si="75"/>
        <v>Q1</v>
      </c>
      <c r="M437" s="2">
        <f t="shared" si="76"/>
        <v>1900</v>
      </c>
      <c r="N437" t="str">
        <f ca="1">IF(COUNTIFS(A$2:A437,A437,O$2:O437,O437)&gt;1,"Repeat","New")</f>
        <v>New</v>
      </c>
      <c r="O437" s="2" t="e">
        <f t="shared" ca="1" si="77"/>
        <v>#VALUE!</v>
      </c>
      <c r="P437" s="3" t="e">
        <f t="shared" ca="1" si="78"/>
        <v>#VALUE!</v>
      </c>
      <c r="Q437" t="str">
        <f t="shared" si="79"/>
        <v>Jan-00</v>
      </c>
      <c r="R437" t="str">
        <f t="shared" si="80"/>
        <v>Q1</v>
      </c>
      <c r="S437">
        <f t="shared" si="81"/>
        <v>1900</v>
      </c>
      <c r="T437" t="str">
        <f t="shared" si="82"/>
        <v>Retail</v>
      </c>
    </row>
    <row r="438" spans="8:20" x14ac:dyDescent="0.3">
      <c r="H438">
        <f t="shared" si="83"/>
        <v>0</v>
      </c>
      <c r="I438">
        <f t="shared" si="72"/>
        <v>0</v>
      </c>
      <c r="J438">
        <f t="shared" si="73"/>
        <v>0</v>
      </c>
      <c r="K438" t="str">
        <f t="shared" si="74"/>
        <v>January</v>
      </c>
      <c r="L438" t="str">
        <f t="shared" si="75"/>
        <v>Q1</v>
      </c>
      <c r="M438" s="2">
        <f t="shared" si="76"/>
        <v>1900</v>
      </c>
      <c r="N438" t="str">
        <f ca="1">IF(COUNTIFS(A$2:A438,A438,O$2:O438,O438)&gt;1,"Repeat","New")</f>
        <v>New</v>
      </c>
      <c r="O438" s="2" t="e">
        <f t="shared" ca="1" si="77"/>
        <v>#VALUE!</v>
      </c>
      <c r="P438" s="3" t="e">
        <f t="shared" ca="1" si="78"/>
        <v>#VALUE!</v>
      </c>
      <c r="Q438" t="str">
        <f t="shared" si="79"/>
        <v>Jan-00</v>
      </c>
      <c r="R438" t="str">
        <f t="shared" si="80"/>
        <v>Q1</v>
      </c>
      <c r="S438">
        <f t="shared" si="81"/>
        <v>1900</v>
      </c>
      <c r="T438" t="str">
        <f t="shared" si="82"/>
        <v>Retail</v>
      </c>
    </row>
    <row r="439" spans="8:20" x14ac:dyDescent="0.3">
      <c r="H439">
        <f t="shared" si="83"/>
        <v>0</v>
      </c>
      <c r="I439">
        <f t="shared" si="72"/>
        <v>0</v>
      </c>
      <c r="J439">
        <f t="shared" si="73"/>
        <v>0</v>
      </c>
      <c r="K439" t="str">
        <f t="shared" si="74"/>
        <v>January</v>
      </c>
      <c r="L439" t="str">
        <f t="shared" si="75"/>
        <v>Q1</v>
      </c>
      <c r="M439" s="2">
        <f t="shared" si="76"/>
        <v>1900</v>
      </c>
      <c r="N439" t="str">
        <f ca="1">IF(COUNTIFS(A$2:A439,A439,O$2:O439,O439)&gt;1,"Repeat","New")</f>
        <v>New</v>
      </c>
      <c r="O439" s="2" t="e">
        <f t="shared" ca="1" si="77"/>
        <v>#VALUE!</v>
      </c>
      <c r="P439" s="3" t="e">
        <f t="shared" ca="1" si="78"/>
        <v>#VALUE!</v>
      </c>
      <c r="Q439" t="str">
        <f t="shared" si="79"/>
        <v>Jan-00</v>
      </c>
      <c r="R439" t="str">
        <f t="shared" si="80"/>
        <v>Q1</v>
      </c>
      <c r="S439">
        <f t="shared" si="81"/>
        <v>1900</v>
      </c>
      <c r="T439" t="str">
        <f t="shared" si="82"/>
        <v>Retail</v>
      </c>
    </row>
    <row r="440" spans="8:20" x14ac:dyDescent="0.3">
      <c r="H440">
        <f t="shared" si="83"/>
        <v>0</v>
      </c>
      <c r="I440">
        <f t="shared" si="72"/>
        <v>0</v>
      </c>
      <c r="J440">
        <f t="shared" si="73"/>
        <v>0</v>
      </c>
      <c r="K440" t="str">
        <f t="shared" si="74"/>
        <v>January</v>
      </c>
      <c r="L440" t="str">
        <f t="shared" si="75"/>
        <v>Q1</v>
      </c>
      <c r="M440" s="2">
        <f t="shared" si="76"/>
        <v>1900</v>
      </c>
      <c r="N440" t="str">
        <f ca="1">IF(COUNTIFS(A$2:A440,A440,O$2:O440,O440)&gt;1,"Repeat","New")</f>
        <v>New</v>
      </c>
      <c r="O440" s="2" t="e">
        <f t="shared" ca="1" si="77"/>
        <v>#VALUE!</v>
      </c>
      <c r="P440" s="3" t="e">
        <f t="shared" ca="1" si="78"/>
        <v>#VALUE!</v>
      </c>
      <c r="Q440" t="str">
        <f t="shared" si="79"/>
        <v>Jan-00</v>
      </c>
      <c r="R440" t="str">
        <f t="shared" si="80"/>
        <v>Q1</v>
      </c>
      <c r="S440">
        <f t="shared" si="81"/>
        <v>1900</v>
      </c>
      <c r="T440" t="str">
        <f t="shared" si="82"/>
        <v>Retail</v>
      </c>
    </row>
    <row r="441" spans="8:20" x14ac:dyDescent="0.3">
      <c r="H441">
        <f t="shared" si="83"/>
        <v>0</v>
      </c>
      <c r="I441">
        <f t="shared" si="72"/>
        <v>0</v>
      </c>
      <c r="J441">
        <f t="shared" si="73"/>
        <v>0</v>
      </c>
      <c r="K441" t="str">
        <f t="shared" si="74"/>
        <v>January</v>
      </c>
      <c r="L441" t="str">
        <f t="shared" si="75"/>
        <v>Q1</v>
      </c>
      <c r="M441" s="2">
        <f t="shared" si="76"/>
        <v>1900</v>
      </c>
      <c r="N441" t="str">
        <f ca="1">IF(COUNTIFS(A$2:A441,A441,O$2:O441,O441)&gt;1,"Repeat","New")</f>
        <v>New</v>
      </c>
      <c r="O441" s="2" t="e">
        <f t="shared" ca="1" si="77"/>
        <v>#VALUE!</v>
      </c>
      <c r="P441" s="3" t="e">
        <f t="shared" ca="1" si="78"/>
        <v>#VALUE!</v>
      </c>
      <c r="Q441" t="str">
        <f t="shared" si="79"/>
        <v>Jan-00</v>
      </c>
      <c r="R441" t="str">
        <f t="shared" si="80"/>
        <v>Q1</v>
      </c>
      <c r="S441">
        <f t="shared" si="81"/>
        <v>1900</v>
      </c>
      <c r="T441" t="str">
        <f t="shared" si="82"/>
        <v>Retail</v>
      </c>
    </row>
    <row r="442" spans="8:20" x14ac:dyDescent="0.3">
      <c r="H442">
        <f t="shared" si="83"/>
        <v>0</v>
      </c>
      <c r="I442">
        <f t="shared" si="72"/>
        <v>0</v>
      </c>
      <c r="J442">
        <f t="shared" si="73"/>
        <v>0</v>
      </c>
      <c r="K442" t="str">
        <f t="shared" si="74"/>
        <v>January</v>
      </c>
      <c r="L442" t="str">
        <f t="shared" si="75"/>
        <v>Q1</v>
      </c>
      <c r="M442" s="2">
        <f t="shared" si="76"/>
        <v>1900</v>
      </c>
      <c r="N442" t="str">
        <f ca="1">IF(COUNTIFS(A$2:A442,A442,O$2:O442,O442)&gt;1,"Repeat","New")</f>
        <v>New</v>
      </c>
      <c r="O442" s="2" t="e">
        <f t="shared" ca="1" si="77"/>
        <v>#VALUE!</v>
      </c>
      <c r="P442" s="3" t="e">
        <f t="shared" ca="1" si="78"/>
        <v>#VALUE!</v>
      </c>
      <c r="Q442" t="str">
        <f t="shared" si="79"/>
        <v>Jan-00</v>
      </c>
      <c r="R442" t="str">
        <f t="shared" si="80"/>
        <v>Q1</v>
      </c>
      <c r="S442">
        <f t="shared" si="81"/>
        <v>1900</v>
      </c>
      <c r="T442" t="str">
        <f t="shared" si="82"/>
        <v>Retail</v>
      </c>
    </row>
    <row r="443" spans="8:20" x14ac:dyDescent="0.3">
      <c r="H443">
        <f t="shared" si="83"/>
        <v>0</v>
      </c>
      <c r="I443">
        <f t="shared" si="72"/>
        <v>0</v>
      </c>
      <c r="J443">
        <f t="shared" si="73"/>
        <v>0</v>
      </c>
      <c r="K443" t="str">
        <f t="shared" si="74"/>
        <v>January</v>
      </c>
      <c r="L443" t="str">
        <f t="shared" si="75"/>
        <v>Q1</v>
      </c>
      <c r="M443" s="2">
        <f t="shared" si="76"/>
        <v>1900</v>
      </c>
      <c r="N443" t="str">
        <f ca="1">IF(COUNTIFS(A$2:A443,A443,O$2:O443,O443)&gt;1,"Repeat","New")</f>
        <v>New</v>
      </c>
      <c r="O443" s="2" t="e">
        <f t="shared" ca="1" si="77"/>
        <v>#VALUE!</v>
      </c>
      <c r="P443" s="3" t="e">
        <f t="shared" ca="1" si="78"/>
        <v>#VALUE!</v>
      </c>
      <c r="Q443" t="str">
        <f t="shared" si="79"/>
        <v>Jan-00</v>
      </c>
      <c r="R443" t="str">
        <f t="shared" si="80"/>
        <v>Q1</v>
      </c>
      <c r="S443">
        <f t="shared" si="81"/>
        <v>1900</v>
      </c>
      <c r="T443" t="str">
        <f t="shared" si="82"/>
        <v>Retail</v>
      </c>
    </row>
    <row r="444" spans="8:20" x14ac:dyDescent="0.3">
      <c r="H444">
        <f t="shared" si="83"/>
        <v>0</v>
      </c>
      <c r="I444">
        <f t="shared" si="72"/>
        <v>0</v>
      </c>
      <c r="J444">
        <f t="shared" si="73"/>
        <v>0</v>
      </c>
      <c r="K444" t="str">
        <f t="shared" si="74"/>
        <v>January</v>
      </c>
      <c r="L444" t="str">
        <f t="shared" si="75"/>
        <v>Q1</v>
      </c>
      <c r="M444" s="2">
        <f t="shared" si="76"/>
        <v>1900</v>
      </c>
      <c r="N444" t="str">
        <f ca="1">IF(COUNTIFS(A$2:A444,A444,O$2:O444,O444)&gt;1,"Repeat","New")</f>
        <v>New</v>
      </c>
      <c r="O444" s="2" t="e">
        <f t="shared" ca="1" si="77"/>
        <v>#VALUE!</v>
      </c>
      <c r="P444" s="3" t="e">
        <f t="shared" ca="1" si="78"/>
        <v>#VALUE!</v>
      </c>
      <c r="Q444" t="str">
        <f t="shared" si="79"/>
        <v>Jan-00</v>
      </c>
      <c r="R444" t="str">
        <f t="shared" si="80"/>
        <v>Q1</v>
      </c>
      <c r="S444">
        <f t="shared" si="81"/>
        <v>1900</v>
      </c>
      <c r="T444" t="str">
        <f t="shared" si="82"/>
        <v>Retail</v>
      </c>
    </row>
    <row r="445" spans="8:20" x14ac:dyDescent="0.3">
      <c r="H445">
        <f t="shared" si="83"/>
        <v>0</v>
      </c>
      <c r="I445">
        <f t="shared" si="72"/>
        <v>0</v>
      </c>
      <c r="J445">
        <f t="shared" si="73"/>
        <v>0</v>
      </c>
      <c r="K445" t="str">
        <f t="shared" si="74"/>
        <v>January</v>
      </c>
      <c r="L445" t="str">
        <f t="shared" si="75"/>
        <v>Q1</v>
      </c>
      <c r="M445" s="2">
        <f t="shared" si="76"/>
        <v>1900</v>
      </c>
      <c r="N445" t="str">
        <f ca="1">IF(COUNTIFS(A$2:A445,A445,O$2:O445,O445)&gt;1,"Repeat","New")</f>
        <v>New</v>
      </c>
      <c r="O445" s="2" t="e">
        <f t="shared" ca="1" si="77"/>
        <v>#VALUE!</v>
      </c>
      <c r="P445" s="3" t="e">
        <f t="shared" ca="1" si="78"/>
        <v>#VALUE!</v>
      </c>
      <c r="Q445" t="str">
        <f t="shared" si="79"/>
        <v>Jan-00</v>
      </c>
      <c r="R445" t="str">
        <f t="shared" si="80"/>
        <v>Q1</v>
      </c>
      <c r="S445">
        <f t="shared" si="81"/>
        <v>1900</v>
      </c>
      <c r="T445" t="str">
        <f t="shared" si="82"/>
        <v>Retail</v>
      </c>
    </row>
    <row r="446" spans="8:20" x14ac:dyDescent="0.3">
      <c r="H446">
        <f t="shared" si="83"/>
        <v>0</v>
      </c>
      <c r="I446">
        <f t="shared" si="72"/>
        <v>0</v>
      </c>
      <c r="J446">
        <f t="shared" si="73"/>
        <v>0</v>
      </c>
      <c r="K446" t="str">
        <f t="shared" si="74"/>
        <v>January</v>
      </c>
      <c r="L446" t="str">
        <f t="shared" si="75"/>
        <v>Q1</v>
      </c>
      <c r="M446" s="2">
        <f t="shared" si="76"/>
        <v>1900</v>
      </c>
      <c r="N446" t="str">
        <f ca="1">IF(COUNTIFS(A$2:A446,A446,O$2:O446,O446)&gt;1,"Repeat","New")</f>
        <v>New</v>
      </c>
      <c r="O446" s="2" t="e">
        <f t="shared" ca="1" si="77"/>
        <v>#VALUE!</v>
      </c>
      <c r="P446" s="3" t="e">
        <f t="shared" ca="1" si="78"/>
        <v>#VALUE!</v>
      </c>
      <c r="Q446" t="str">
        <f t="shared" si="79"/>
        <v>Jan-00</v>
      </c>
      <c r="R446" t="str">
        <f t="shared" si="80"/>
        <v>Q1</v>
      </c>
      <c r="S446">
        <f t="shared" si="81"/>
        <v>1900</v>
      </c>
      <c r="T446" t="str">
        <f t="shared" si="82"/>
        <v>Retail</v>
      </c>
    </row>
    <row r="447" spans="8:20" x14ac:dyDescent="0.3">
      <c r="H447">
        <f t="shared" si="83"/>
        <v>0</v>
      </c>
      <c r="I447">
        <f t="shared" si="72"/>
        <v>0</v>
      </c>
      <c r="J447">
        <f t="shared" si="73"/>
        <v>0</v>
      </c>
      <c r="K447" t="str">
        <f t="shared" si="74"/>
        <v>January</v>
      </c>
      <c r="L447" t="str">
        <f t="shared" si="75"/>
        <v>Q1</v>
      </c>
      <c r="M447" s="2">
        <f t="shared" si="76"/>
        <v>1900</v>
      </c>
      <c r="N447" t="str">
        <f ca="1">IF(COUNTIFS(A$2:A447,A447,O$2:O447,O447)&gt;1,"Repeat","New")</f>
        <v>New</v>
      </c>
      <c r="O447" s="2" t="e">
        <f t="shared" ca="1" si="77"/>
        <v>#VALUE!</v>
      </c>
      <c r="P447" s="3" t="e">
        <f t="shared" ca="1" si="78"/>
        <v>#VALUE!</v>
      </c>
      <c r="Q447" t="str">
        <f t="shared" si="79"/>
        <v>Jan-00</v>
      </c>
      <c r="R447" t="str">
        <f t="shared" si="80"/>
        <v>Q1</v>
      </c>
      <c r="S447">
        <f t="shared" si="81"/>
        <v>1900</v>
      </c>
      <c r="T447" t="str">
        <f t="shared" si="82"/>
        <v>Retail</v>
      </c>
    </row>
    <row r="448" spans="8:20" x14ac:dyDescent="0.3">
      <c r="H448">
        <f t="shared" si="83"/>
        <v>0</v>
      </c>
      <c r="I448">
        <f t="shared" si="72"/>
        <v>0</v>
      </c>
      <c r="J448">
        <f t="shared" si="73"/>
        <v>0</v>
      </c>
      <c r="K448" t="str">
        <f t="shared" si="74"/>
        <v>January</v>
      </c>
      <c r="L448" t="str">
        <f t="shared" si="75"/>
        <v>Q1</v>
      </c>
      <c r="M448" s="2">
        <f t="shared" si="76"/>
        <v>1900</v>
      </c>
      <c r="N448" t="str">
        <f ca="1">IF(COUNTIFS(A$2:A448,A448,O$2:O448,O448)&gt;1,"Repeat","New")</f>
        <v>New</v>
      </c>
      <c r="O448" s="2" t="e">
        <f t="shared" ca="1" si="77"/>
        <v>#VALUE!</v>
      </c>
      <c r="P448" s="3" t="e">
        <f t="shared" ca="1" si="78"/>
        <v>#VALUE!</v>
      </c>
      <c r="Q448" t="str">
        <f t="shared" si="79"/>
        <v>Jan-00</v>
      </c>
      <c r="R448" t="str">
        <f t="shared" si="80"/>
        <v>Q1</v>
      </c>
      <c r="S448">
        <f t="shared" si="81"/>
        <v>1900</v>
      </c>
      <c r="T448" t="str">
        <f t="shared" si="82"/>
        <v>Retail</v>
      </c>
    </row>
    <row r="449" spans="8:20" x14ac:dyDescent="0.3">
      <c r="H449">
        <f t="shared" si="83"/>
        <v>0</v>
      </c>
      <c r="I449">
        <f t="shared" si="72"/>
        <v>0</v>
      </c>
      <c r="J449">
        <f t="shared" si="73"/>
        <v>0</v>
      </c>
      <c r="K449" t="str">
        <f t="shared" si="74"/>
        <v>January</v>
      </c>
      <c r="L449" t="str">
        <f t="shared" si="75"/>
        <v>Q1</v>
      </c>
      <c r="M449" s="2">
        <f t="shared" si="76"/>
        <v>1900</v>
      </c>
      <c r="N449" t="str">
        <f ca="1">IF(COUNTIFS(A$2:A449,A449,O$2:O449,O449)&gt;1,"Repeat","New")</f>
        <v>New</v>
      </c>
      <c r="O449" s="2" t="e">
        <f t="shared" ca="1" si="77"/>
        <v>#VALUE!</v>
      </c>
      <c r="P449" s="3" t="e">
        <f t="shared" ca="1" si="78"/>
        <v>#VALUE!</v>
      </c>
      <c r="Q449" t="str">
        <f t="shared" si="79"/>
        <v>Jan-00</v>
      </c>
      <c r="R449" t="str">
        <f t="shared" si="80"/>
        <v>Q1</v>
      </c>
      <c r="S449">
        <f t="shared" si="81"/>
        <v>1900</v>
      </c>
      <c r="T449" t="str">
        <f t="shared" si="82"/>
        <v>Retail</v>
      </c>
    </row>
    <row r="450" spans="8:20" x14ac:dyDescent="0.3">
      <c r="H450">
        <f t="shared" si="83"/>
        <v>0</v>
      </c>
      <c r="I450">
        <f t="shared" ref="I450:I513" si="84">H450-(D450*F450)</f>
        <v>0</v>
      </c>
      <c r="J450">
        <f t="shared" ref="J450:J513" si="85">IF(H450&gt;0,I450/H450,0)</f>
        <v>0</v>
      </c>
      <c r="K450" t="str">
        <f t="shared" ref="K450:K513" si="86">TEXT(A450,"mmmm")</f>
        <v>January</v>
      </c>
      <c r="L450" t="str">
        <f t="shared" ref="L450:L513" si="87">"Q"&amp;ROUNDUP(MONTH(A450)/3,0)</f>
        <v>Q1</v>
      </c>
      <c r="M450" s="2">
        <f t="shared" ref="M450:M513" si="88">YEAR(A450)</f>
        <v>1900</v>
      </c>
      <c r="N450" t="str">
        <f ca="1">IF(COUNTIFS(A$2:A450,A450,O$2:O450,O450)&gt;1,"Repeat","New")</f>
        <v>New</v>
      </c>
      <c r="O450" s="2" t="e">
        <f t="shared" ref="O450:O501" ca="1" si="89">M450-N450</f>
        <v>#VALUE!</v>
      </c>
      <c r="P450" s="3" t="e">
        <f t="shared" ref="P450:P501" ca="1" si="90">IF(M450&gt;0,O450/M450,0)</f>
        <v>#VALUE!</v>
      </c>
      <c r="Q450" t="str">
        <f t="shared" ref="Q450:Q501" si="91">TEXT(B450, "mmm-yy")</f>
        <v>Jan-00</v>
      </c>
      <c r="R450" t="str">
        <f t="shared" ref="R450:R501" si="92">"Q"&amp;INT((MONTH(B450)-1)/3)+1</f>
        <v>Q1</v>
      </c>
      <c r="S450">
        <f t="shared" ref="S450:S501" si="93">YEAR(B450)</f>
        <v>1900</v>
      </c>
      <c r="T450" t="str">
        <f t="shared" ref="T450:T501" si="94">IF(M450&gt;5000, "Enterprise", "Retail")</f>
        <v>Retail</v>
      </c>
    </row>
    <row r="451" spans="8:20" x14ac:dyDescent="0.3">
      <c r="H451">
        <f t="shared" ref="H451:H514" si="95">(E451*F451)*(1-G451)</f>
        <v>0</v>
      </c>
      <c r="I451">
        <f t="shared" si="84"/>
        <v>0</v>
      </c>
      <c r="J451">
        <f t="shared" si="85"/>
        <v>0</v>
      </c>
      <c r="K451" t="str">
        <f t="shared" si="86"/>
        <v>January</v>
      </c>
      <c r="L451" t="str">
        <f t="shared" si="87"/>
        <v>Q1</v>
      </c>
      <c r="M451" s="2">
        <f t="shared" si="88"/>
        <v>1900</v>
      </c>
      <c r="N451" t="str">
        <f ca="1">IF(COUNTIFS(A$2:A451,A451,O$2:O451,O451)&gt;1,"Repeat","New")</f>
        <v>New</v>
      </c>
      <c r="O451" s="2" t="e">
        <f t="shared" ca="1" si="89"/>
        <v>#VALUE!</v>
      </c>
      <c r="P451" s="3" t="e">
        <f t="shared" ca="1" si="90"/>
        <v>#VALUE!</v>
      </c>
      <c r="Q451" t="str">
        <f t="shared" si="91"/>
        <v>Jan-00</v>
      </c>
      <c r="R451" t="str">
        <f t="shared" si="92"/>
        <v>Q1</v>
      </c>
      <c r="S451">
        <f t="shared" si="93"/>
        <v>1900</v>
      </c>
      <c r="T451" t="str">
        <f t="shared" si="94"/>
        <v>Retail</v>
      </c>
    </row>
    <row r="452" spans="8:20" x14ac:dyDescent="0.3">
      <c r="H452">
        <f t="shared" si="95"/>
        <v>0</v>
      </c>
      <c r="I452">
        <f t="shared" si="84"/>
        <v>0</v>
      </c>
      <c r="J452">
        <f t="shared" si="85"/>
        <v>0</v>
      </c>
      <c r="K452" t="str">
        <f t="shared" si="86"/>
        <v>January</v>
      </c>
      <c r="L452" t="str">
        <f t="shared" si="87"/>
        <v>Q1</v>
      </c>
      <c r="M452" s="2">
        <f t="shared" si="88"/>
        <v>1900</v>
      </c>
      <c r="N452" t="str">
        <f ca="1">IF(COUNTIFS(A$2:A452,A452,O$2:O452,O452)&gt;1,"Repeat","New")</f>
        <v>New</v>
      </c>
      <c r="O452" s="2" t="e">
        <f t="shared" ca="1" si="89"/>
        <v>#VALUE!</v>
      </c>
      <c r="P452" s="3" t="e">
        <f t="shared" ca="1" si="90"/>
        <v>#VALUE!</v>
      </c>
      <c r="Q452" t="str">
        <f t="shared" si="91"/>
        <v>Jan-00</v>
      </c>
      <c r="R452" t="str">
        <f t="shared" si="92"/>
        <v>Q1</v>
      </c>
      <c r="S452">
        <f t="shared" si="93"/>
        <v>1900</v>
      </c>
      <c r="T452" t="str">
        <f t="shared" si="94"/>
        <v>Retail</v>
      </c>
    </row>
    <row r="453" spans="8:20" x14ac:dyDescent="0.3">
      <c r="H453">
        <f t="shared" si="95"/>
        <v>0</v>
      </c>
      <c r="I453">
        <f t="shared" si="84"/>
        <v>0</v>
      </c>
      <c r="J453">
        <f t="shared" si="85"/>
        <v>0</v>
      </c>
      <c r="K453" t="str">
        <f t="shared" si="86"/>
        <v>January</v>
      </c>
      <c r="L453" t="str">
        <f t="shared" si="87"/>
        <v>Q1</v>
      </c>
      <c r="M453" s="2">
        <f t="shared" si="88"/>
        <v>1900</v>
      </c>
      <c r="N453" t="str">
        <f ca="1">IF(COUNTIFS(A$2:A453,A453,O$2:O453,O453)&gt;1,"Repeat","New")</f>
        <v>New</v>
      </c>
      <c r="O453" s="2" t="e">
        <f t="shared" ca="1" si="89"/>
        <v>#VALUE!</v>
      </c>
      <c r="P453" s="3" t="e">
        <f t="shared" ca="1" si="90"/>
        <v>#VALUE!</v>
      </c>
      <c r="Q453" t="str">
        <f t="shared" si="91"/>
        <v>Jan-00</v>
      </c>
      <c r="R453" t="str">
        <f t="shared" si="92"/>
        <v>Q1</v>
      </c>
      <c r="S453">
        <f t="shared" si="93"/>
        <v>1900</v>
      </c>
      <c r="T453" t="str">
        <f t="shared" si="94"/>
        <v>Retail</v>
      </c>
    </row>
    <row r="454" spans="8:20" x14ac:dyDescent="0.3">
      <c r="H454">
        <f t="shared" si="95"/>
        <v>0</v>
      </c>
      <c r="I454">
        <f t="shared" si="84"/>
        <v>0</v>
      </c>
      <c r="J454">
        <f t="shared" si="85"/>
        <v>0</v>
      </c>
      <c r="K454" t="str">
        <f t="shared" si="86"/>
        <v>January</v>
      </c>
      <c r="L454" t="str">
        <f t="shared" si="87"/>
        <v>Q1</v>
      </c>
      <c r="M454" s="2">
        <f t="shared" si="88"/>
        <v>1900</v>
      </c>
      <c r="N454" t="str">
        <f ca="1">IF(COUNTIFS(A$2:A454,A454,O$2:O454,O454)&gt;1,"Repeat","New")</f>
        <v>New</v>
      </c>
      <c r="O454" s="2" t="e">
        <f t="shared" ca="1" si="89"/>
        <v>#VALUE!</v>
      </c>
      <c r="P454" s="3" t="e">
        <f t="shared" ca="1" si="90"/>
        <v>#VALUE!</v>
      </c>
      <c r="Q454" t="str">
        <f t="shared" si="91"/>
        <v>Jan-00</v>
      </c>
      <c r="R454" t="str">
        <f t="shared" si="92"/>
        <v>Q1</v>
      </c>
      <c r="S454">
        <f t="shared" si="93"/>
        <v>1900</v>
      </c>
      <c r="T454" t="str">
        <f t="shared" si="94"/>
        <v>Retail</v>
      </c>
    </row>
    <row r="455" spans="8:20" x14ac:dyDescent="0.3">
      <c r="H455">
        <f t="shared" si="95"/>
        <v>0</v>
      </c>
      <c r="I455">
        <f t="shared" si="84"/>
        <v>0</v>
      </c>
      <c r="J455">
        <f t="shared" si="85"/>
        <v>0</v>
      </c>
      <c r="K455" t="str">
        <f t="shared" si="86"/>
        <v>January</v>
      </c>
      <c r="L455" t="str">
        <f t="shared" si="87"/>
        <v>Q1</v>
      </c>
      <c r="M455" s="2">
        <f t="shared" si="88"/>
        <v>1900</v>
      </c>
      <c r="N455" t="str">
        <f ca="1">IF(COUNTIFS(A$2:A455,A455,O$2:O455,O455)&gt;1,"Repeat","New")</f>
        <v>New</v>
      </c>
      <c r="O455" s="2" t="e">
        <f t="shared" ca="1" si="89"/>
        <v>#VALUE!</v>
      </c>
      <c r="P455" s="3" t="e">
        <f t="shared" ca="1" si="90"/>
        <v>#VALUE!</v>
      </c>
      <c r="Q455" t="str">
        <f t="shared" si="91"/>
        <v>Jan-00</v>
      </c>
      <c r="R455" t="str">
        <f t="shared" si="92"/>
        <v>Q1</v>
      </c>
      <c r="S455">
        <f t="shared" si="93"/>
        <v>1900</v>
      </c>
      <c r="T455" t="str">
        <f t="shared" si="94"/>
        <v>Retail</v>
      </c>
    </row>
    <row r="456" spans="8:20" x14ac:dyDescent="0.3">
      <c r="H456">
        <f t="shared" si="95"/>
        <v>0</v>
      </c>
      <c r="I456">
        <f t="shared" si="84"/>
        <v>0</v>
      </c>
      <c r="J456">
        <f t="shared" si="85"/>
        <v>0</v>
      </c>
      <c r="K456" t="str">
        <f t="shared" si="86"/>
        <v>January</v>
      </c>
      <c r="L456" t="str">
        <f t="shared" si="87"/>
        <v>Q1</v>
      </c>
      <c r="M456" s="2">
        <f t="shared" si="88"/>
        <v>1900</v>
      </c>
      <c r="N456" t="str">
        <f ca="1">IF(COUNTIFS(A$2:A456,A456,O$2:O456,O456)&gt;1,"Repeat","New")</f>
        <v>New</v>
      </c>
      <c r="O456" s="2" t="e">
        <f t="shared" ca="1" si="89"/>
        <v>#VALUE!</v>
      </c>
      <c r="P456" s="3" t="e">
        <f t="shared" ca="1" si="90"/>
        <v>#VALUE!</v>
      </c>
      <c r="Q456" t="str">
        <f t="shared" si="91"/>
        <v>Jan-00</v>
      </c>
      <c r="R456" t="str">
        <f t="shared" si="92"/>
        <v>Q1</v>
      </c>
      <c r="S456">
        <f t="shared" si="93"/>
        <v>1900</v>
      </c>
      <c r="T456" t="str">
        <f t="shared" si="94"/>
        <v>Retail</v>
      </c>
    </row>
    <row r="457" spans="8:20" x14ac:dyDescent="0.3">
      <c r="H457">
        <f t="shared" si="95"/>
        <v>0</v>
      </c>
      <c r="I457">
        <f t="shared" si="84"/>
        <v>0</v>
      </c>
      <c r="J457">
        <f t="shared" si="85"/>
        <v>0</v>
      </c>
      <c r="K457" t="str">
        <f t="shared" si="86"/>
        <v>January</v>
      </c>
      <c r="L457" t="str">
        <f t="shared" si="87"/>
        <v>Q1</v>
      </c>
      <c r="M457" s="2">
        <f t="shared" si="88"/>
        <v>1900</v>
      </c>
      <c r="N457" t="str">
        <f ca="1">IF(COUNTIFS(A$2:A457,A457,O$2:O457,O457)&gt;1,"Repeat","New")</f>
        <v>New</v>
      </c>
      <c r="O457" s="2" t="e">
        <f t="shared" ca="1" si="89"/>
        <v>#VALUE!</v>
      </c>
      <c r="P457" s="3" t="e">
        <f t="shared" ca="1" si="90"/>
        <v>#VALUE!</v>
      </c>
      <c r="Q457" t="str">
        <f t="shared" si="91"/>
        <v>Jan-00</v>
      </c>
      <c r="R457" t="str">
        <f t="shared" si="92"/>
        <v>Q1</v>
      </c>
      <c r="S457">
        <f t="shared" si="93"/>
        <v>1900</v>
      </c>
      <c r="T457" t="str">
        <f t="shared" si="94"/>
        <v>Retail</v>
      </c>
    </row>
    <row r="458" spans="8:20" x14ac:dyDescent="0.3">
      <c r="H458">
        <f t="shared" si="95"/>
        <v>0</v>
      </c>
      <c r="I458">
        <f t="shared" si="84"/>
        <v>0</v>
      </c>
      <c r="J458">
        <f t="shared" si="85"/>
        <v>0</v>
      </c>
      <c r="K458" t="str">
        <f t="shared" si="86"/>
        <v>January</v>
      </c>
      <c r="L458" t="str">
        <f t="shared" si="87"/>
        <v>Q1</v>
      </c>
      <c r="M458" s="2">
        <f t="shared" si="88"/>
        <v>1900</v>
      </c>
      <c r="N458" t="str">
        <f ca="1">IF(COUNTIFS(A$2:A458,A458,O$2:O458,O458)&gt;1,"Repeat","New")</f>
        <v>New</v>
      </c>
      <c r="O458" s="2" t="e">
        <f t="shared" ca="1" si="89"/>
        <v>#VALUE!</v>
      </c>
      <c r="P458" s="3" t="e">
        <f t="shared" ca="1" si="90"/>
        <v>#VALUE!</v>
      </c>
      <c r="Q458" t="str">
        <f t="shared" si="91"/>
        <v>Jan-00</v>
      </c>
      <c r="R458" t="str">
        <f t="shared" si="92"/>
        <v>Q1</v>
      </c>
      <c r="S458">
        <f t="shared" si="93"/>
        <v>1900</v>
      </c>
      <c r="T458" t="str">
        <f t="shared" si="94"/>
        <v>Retail</v>
      </c>
    </row>
    <row r="459" spans="8:20" x14ac:dyDescent="0.3">
      <c r="H459">
        <f t="shared" si="95"/>
        <v>0</v>
      </c>
      <c r="I459">
        <f t="shared" si="84"/>
        <v>0</v>
      </c>
      <c r="J459">
        <f t="shared" si="85"/>
        <v>0</v>
      </c>
      <c r="K459" t="str">
        <f t="shared" si="86"/>
        <v>January</v>
      </c>
      <c r="L459" t="str">
        <f t="shared" si="87"/>
        <v>Q1</v>
      </c>
      <c r="M459" s="2">
        <f t="shared" si="88"/>
        <v>1900</v>
      </c>
      <c r="N459" t="str">
        <f ca="1">IF(COUNTIFS(A$2:A459,A459,O$2:O459,O459)&gt;1,"Repeat","New")</f>
        <v>New</v>
      </c>
      <c r="O459" s="2" t="e">
        <f t="shared" ca="1" si="89"/>
        <v>#VALUE!</v>
      </c>
      <c r="P459" s="3" t="e">
        <f t="shared" ca="1" si="90"/>
        <v>#VALUE!</v>
      </c>
      <c r="Q459" t="str">
        <f t="shared" si="91"/>
        <v>Jan-00</v>
      </c>
      <c r="R459" t="str">
        <f t="shared" si="92"/>
        <v>Q1</v>
      </c>
      <c r="S459">
        <f t="shared" si="93"/>
        <v>1900</v>
      </c>
      <c r="T459" t="str">
        <f t="shared" si="94"/>
        <v>Retail</v>
      </c>
    </row>
    <row r="460" spans="8:20" x14ac:dyDescent="0.3">
      <c r="H460">
        <f t="shared" si="95"/>
        <v>0</v>
      </c>
      <c r="I460">
        <f t="shared" si="84"/>
        <v>0</v>
      </c>
      <c r="J460">
        <f t="shared" si="85"/>
        <v>0</v>
      </c>
      <c r="K460" t="str">
        <f t="shared" si="86"/>
        <v>January</v>
      </c>
      <c r="L460" t="str">
        <f t="shared" si="87"/>
        <v>Q1</v>
      </c>
      <c r="M460" s="2">
        <f t="shared" si="88"/>
        <v>1900</v>
      </c>
      <c r="N460" t="str">
        <f ca="1">IF(COUNTIFS(A$2:A460,A460,O$2:O460,O460)&gt;1,"Repeat","New")</f>
        <v>New</v>
      </c>
      <c r="O460" s="2" t="e">
        <f t="shared" ca="1" si="89"/>
        <v>#VALUE!</v>
      </c>
      <c r="P460" s="3" t="e">
        <f t="shared" ca="1" si="90"/>
        <v>#VALUE!</v>
      </c>
      <c r="Q460" t="str">
        <f t="shared" si="91"/>
        <v>Jan-00</v>
      </c>
      <c r="R460" t="str">
        <f t="shared" si="92"/>
        <v>Q1</v>
      </c>
      <c r="S460">
        <f t="shared" si="93"/>
        <v>1900</v>
      </c>
      <c r="T460" t="str">
        <f t="shared" si="94"/>
        <v>Retail</v>
      </c>
    </row>
    <row r="461" spans="8:20" x14ac:dyDescent="0.3">
      <c r="H461">
        <f t="shared" si="95"/>
        <v>0</v>
      </c>
      <c r="I461">
        <f t="shared" si="84"/>
        <v>0</v>
      </c>
      <c r="J461">
        <f t="shared" si="85"/>
        <v>0</v>
      </c>
      <c r="K461" t="str">
        <f t="shared" si="86"/>
        <v>January</v>
      </c>
      <c r="L461" t="str">
        <f t="shared" si="87"/>
        <v>Q1</v>
      </c>
      <c r="M461" s="2">
        <f t="shared" si="88"/>
        <v>1900</v>
      </c>
      <c r="N461" t="str">
        <f ca="1">IF(COUNTIFS(A$2:A461,A461,O$2:O461,O461)&gt;1,"Repeat","New")</f>
        <v>New</v>
      </c>
      <c r="O461" s="2" t="e">
        <f t="shared" ca="1" si="89"/>
        <v>#VALUE!</v>
      </c>
      <c r="P461" s="3" t="e">
        <f t="shared" ca="1" si="90"/>
        <v>#VALUE!</v>
      </c>
      <c r="Q461" t="str">
        <f t="shared" si="91"/>
        <v>Jan-00</v>
      </c>
      <c r="R461" t="str">
        <f t="shared" si="92"/>
        <v>Q1</v>
      </c>
      <c r="S461">
        <f t="shared" si="93"/>
        <v>1900</v>
      </c>
      <c r="T461" t="str">
        <f t="shared" si="94"/>
        <v>Retail</v>
      </c>
    </row>
    <row r="462" spans="8:20" x14ac:dyDescent="0.3">
      <c r="H462">
        <f t="shared" si="95"/>
        <v>0</v>
      </c>
      <c r="I462">
        <f t="shared" si="84"/>
        <v>0</v>
      </c>
      <c r="J462">
        <f t="shared" si="85"/>
        <v>0</v>
      </c>
      <c r="K462" t="str">
        <f t="shared" si="86"/>
        <v>January</v>
      </c>
      <c r="L462" t="str">
        <f t="shared" si="87"/>
        <v>Q1</v>
      </c>
      <c r="M462" s="2">
        <f t="shared" si="88"/>
        <v>1900</v>
      </c>
      <c r="N462" t="str">
        <f ca="1">IF(COUNTIFS(A$2:A462,A462,O$2:O462,O462)&gt;1,"Repeat","New")</f>
        <v>New</v>
      </c>
      <c r="O462" s="2" t="e">
        <f t="shared" ca="1" si="89"/>
        <v>#VALUE!</v>
      </c>
      <c r="P462" s="3" t="e">
        <f t="shared" ca="1" si="90"/>
        <v>#VALUE!</v>
      </c>
      <c r="Q462" t="str">
        <f t="shared" si="91"/>
        <v>Jan-00</v>
      </c>
      <c r="R462" t="str">
        <f t="shared" si="92"/>
        <v>Q1</v>
      </c>
      <c r="S462">
        <f t="shared" si="93"/>
        <v>1900</v>
      </c>
      <c r="T462" t="str">
        <f t="shared" si="94"/>
        <v>Retail</v>
      </c>
    </row>
    <row r="463" spans="8:20" x14ac:dyDescent="0.3">
      <c r="H463">
        <f t="shared" si="95"/>
        <v>0</v>
      </c>
      <c r="I463">
        <f t="shared" si="84"/>
        <v>0</v>
      </c>
      <c r="J463">
        <f t="shared" si="85"/>
        <v>0</v>
      </c>
      <c r="K463" t="str">
        <f t="shared" si="86"/>
        <v>January</v>
      </c>
      <c r="L463" t="str">
        <f t="shared" si="87"/>
        <v>Q1</v>
      </c>
      <c r="M463" s="2">
        <f t="shared" si="88"/>
        <v>1900</v>
      </c>
      <c r="N463" t="str">
        <f ca="1">IF(COUNTIFS(A$2:A463,A463,O$2:O463,O463)&gt;1,"Repeat","New")</f>
        <v>New</v>
      </c>
      <c r="O463" s="2" t="e">
        <f t="shared" ca="1" si="89"/>
        <v>#VALUE!</v>
      </c>
      <c r="P463" s="3" t="e">
        <f t="shared" ca="1" si="90"/>
        <v>#VALUE!</v>
      </c>
      <c r="Q463" t="str">
        <f t="shared" si="91"/>
        <v>Jan-00</v>
      </c>
      <c r="R463" t="str">
        <f t="shared" si="92"/>
        <v>Q1</v>
      </c>
      <c r="S463">
        <f t="shared" si="93"/>
        <v>1900</v>
      </c>
      <c r="T463" t="str">
        <f t="shared" si="94"/>
        <v>Retail</v>
      </c>
    </row>
    <row r="464" spans="8:20" x14ac:dyDescent="0.3">
      <c r="H464">
        <f t="shared" si="95"/>
        <v>0</v>
      </c>
      <c r="I464">
        <f t="shared" si="84"/>
        <v>0</v>
      </c>
      <c r="J464">
        <f t="shared" si="85"/>
        <v>0</v>
      </c>
      <c r="K464" t="str">
        <f t="shared" si="86"/>
        <v>January</v>
      </c>
      <c r="L464" t="str">
        <f t="shared" si="87"/>
        <v>Q1</v>
      </c>
      <c r="M464" s="2">
        <f t="shared" si="88"/>
        <v>1900</v>
      </c>
      <c r="N464" t="str">
        <f ca="1">IF(COUNTIFS(A$2:A464,A464,O$2:O464,O464)&gt;1,"Repeat","New")</f>
        <v>New</v>
      </c>
      <c r="O464" s="2" t="e">
        <f t="shared" ca="1" si="89"/>
        <v>#VALUE!</v>
      </c>
      <c r="P464" s="3" t="e">
        <f t="shared" ca="1" si="90"/>
        <v>#VALUE!</v>
      </c>
      <c r="Q464" t="str">
        <f t="shared" si="91"/>
        <v>Jan-00</v>
      </c>
      <c r="R464" t="str">
        <f t="shared" si="92"/>
        <v>Q1</v>
      </c>
      <c r="S464">
        <f t="shared" si="93"/>
        <v>1900</v>
      </c>
      <c r="T464" t="str">
        <f t="shared" si="94"/>
        <v>Retail</v>
      </c>
    </row>
    <row r="465" spans="8:20" x14ac:dyDescent="0.3">
      <c r="H465">
        <f t="shared" si="95"/>
        <v>0</v>
      </c>
      <c r="I465">
        <f t="shared" si="84"/>
        <v>0</v>
      </c>
      <c r="J465">
        <f t="shared" si="85"/>
        <v>0</v>
      </c>
      <c r="K465" t="str">
        <f t="shared" si="86"/>
        <v>January</v>
      </c>
      <c r="L465" t="str">
        <f t="shared" si="87"/>
        <v>Q1</v>
      </c>
      <c r="M465" s="2">
        <f t="shared" si="88"/>
        <v>1900</v>
      </c>
      <c r="N465" t="str">
        <f ca="1">IF(COUNTIFS(A$2:A465,A465,O$2:O465,O465)&gt;1,"Repeat","New")</f>
        <v>New</v>
      </c>
      <c r="O465" s="2" t="e">
        <f t="shared" ca="1" si="89"/>
        <v>#VALUE!</v>
      </c>
      <c r="P465" s="3" t="e">
        <f t="shared" ca="1" si="90"/>
        <v>#VALUE!</v>
      </c>
      <c r="Q465" t="str">
        <f t="shared" si="91"/>
        <v>Jan-00</v>
      </c>
      <c r="R465" t="str">
        <f t="shared" si="92"/>
        <v>Q1</v>
      </c>
      <c r="S465">
        <f t="shared" si="93"/>
        <v>1900</v>
      </c>
      <c r="T465" t="str">
        <f t="shared" si="94"/>
        <v>Retail</v>
      </c>
    </row>
    <row r="466" spans="8:20" x14ac:dyDescent="0.3">
      <c r="H466">
        <f t="shared" si="95"/>
        <v>0</v>
      </c>
      <c r="I466">
        <f t="shared" si="84"/>
        <v>0</v>
      </c>
      <c r="J466">
        <f t="shared" si="85"/>
        <v>0</v>
      </c>
      <c r="K466" t="str">
        <f t="shared" si="86"/>
        <v>January</v>
      </c>
      <c r="L466" t="str">
        <f t="shared" si="87"/>
        <v>Q1</v>
      </c>
      <c r="M466" s="2">
        <f t="shared" si="88"/>
        <v>1900</v>
      </c>
      <c r="N466" t="str">
        <f ca="1">IF(COUNTIFS(A$2:A466,A466,O$2:O466,O466)&gt;1,"Repeat","New")</f>
        <v>New</v>
      </c>
      <c r="O466" s="2" t="e">
        <f t="shared" ca="1" si="89"/>
        <v>#VALUE!</v>
      </c>
      <c r="P466" s="3" t="e">
        <f t="shared" ca="1" si="90"/>
        <v>#VALUE!</v>
      </c>
      <c r="Q466" t="str">
        <f t="shared" si="91"/>
        <v>Jan-00</v>
      </c>
      <c r="R466" t="str">
        <f t="shared" si="92"/>
        <v>Q1</v>
      </c>
      <c r="S466">
        <f t="shared" si="93"/>
        <v>1900</v>
      </c>
      <c r="T466" t="str">
        <f t="shared" si="94"/>
        <v>Retail</v>
      </c>
    </row>
    <row r="467" spans="8:20" x14ac:dyDescent="0.3">
      <c r="H467">
        <f t="shared" si="95"/>
        <v>0</v>
      </c>
      <c r="I467">
        <f t="shared" si="84"/>
        <v>0</v>
      </c>
      <c r="J467">
        <f t="shared" si="85"/>
        <v>0</v>
      </c>
      <c r="K467" t="str">
        <f t="shared" si="86"/>
        <v>January</v>
      </c>
      <c r="L467" t="str">
        <f t="shared" si="87"/>
        <v>Q1</v>
      </c>
      <c r="M467" s="2">
        <f t="shared" si="88"/>
        <v>1900</v>
      </c>
      <c r="N467" t="str">
        <f ca="1">IF(COUNTIFS(A$2:A467,A467,O$2:O467,O467)&gt;1,"Repeat","New")</f>
        <v>New</v>
      </c>
      <c r="O467" s="2" t="e">
        <f t="shared" ca="1" si="89"/>
        <v>#VALUE!</v>
      </c>
      <c r="P467" s="3" t="e">
        <f t="shared" ca="1" si="90"/>
        <v>#VALUE!</v>
      </c>
      <c r="Q467" t="str">
        <f t="shared" si="91"/>
        <v>Jan-00</v>
      </c>
      <c r="R467" t="str">
        <f t="shared" si="92"/>
        <v>Q1</v>
      </c>
      <c r="S467">
        <f t="shared" si="93"/>
        <v>1900</v>
      </c>
      <c r="T467" t="str">
        <f t="shared" si="94"/>
        <v>Retail</v>
      </c>
    </row>
    <row r="468" spans="8:20" x14ac:dyDescent="0.3">
      <c r="H468">
        <f t="shared" si="95"/>
        <v>0</v>
      </c>
      <c r="I468">
        <f t="shared" si="84"/>
        <v>0</v>
      </c>
      <c r="J468">
        <f t="shared" si="85"/>
        <v>0</v>
      </c>
      <c r="K468" t="str">
        <f t="shared" si="86"/>
        <v>January</v>
      </c>
      <c r="L468" t="str">
        <f t="shared" si="87"/>
        <v>Q1</v>
      </c>
      <c r="M468" s="2">
        <f t="shared" si="88"/>
        <v>1900</v>
      </c>
      <c r="N468" t="str">
        <f ca="1">IF(COUNTIFS(A$2:A468,A468,O$2:O468,O468)&gt;1,"Repeat","New")</f>
        <v>New</v>
      </c>
      <c r="O468" s="2" t="e">
        <f t="shared" ca="1" si="89"/>
        <v>#VALUE!</v>
      </c>
      <c r="P468" s="3" t="e">
        <f t="shared" ca="1" si="90"/>
        <v>#VALUE!</v>
      </c>
      <c r="Q468" t="str">
        <f t="shared" si="91"/>
        <v>Jan-00</v>
      </c>
      <c r="R468" t="str">
        <f t="shared" si="92"/>
        <v>Q1</v>
      </c>
      <c r="S468">
        <f t="shared" si="93"/>
        <v>1900</v>
      </c>
      <c r="T468" t="str">
        <f t="shared" si="94"/>
        <v>Retail</v>
      </c>
    </row>
    <row r="469" spans="8:20" x14ac:dyDescent="0.3">
      <c r="H469">
        <f t="shared" si="95"/>
        <v>0</v>
      </c>
      <c r="I469">
        <f t="shared" si="84"/>
        <v>0</v>
      </c>
      <c r="J469">
        <f t="shared" si="85"/>
        <v>0</v>
      </c>
      <c r="K469" t="str">
        <f t="shared" si="86"/>
        <v>January</v>
      </c>
      <c r="L469" t="str">
        <f t="shared" si="87"/>
        <v>Q1</v>
      </c>
      <c r="M469" s="2">
        <f t="shared" si="88"/>
        <v>1900</v>
      </c>
      <c r="N469" t="str">
        <f ca="1">IF(COUNTIFS(A$2:A469,A469,O$2:O469,O469)&gt;1,"Repeat","New")</f>
        <v>New</v>
      </c>
      <c r="O469" s="2" t="e">
        <f t="shared" ca="1" si="89"/>
        <v>#VALUE!</v>
      </c>
      <c r="P469" s="3" t="e">
        <f t="shared" ca="1" si="90"/>
        <v>#VALUE!</v>
      </c>
      <c r="Q469" t="str">
        <f t="shared" si="91"/>
        <v>Jan-00</v>
      </c>
      <c r="R469" t="str">
        <f t="shared" si="92"/>
        <v>Q1</v>
      </c>
      <c r="S469">
        <f t="shared" si="93"/>
        <v>1900</v>
      </c>
      <c r="T469" t="str">
        <f t="shared" si="94"/>
        <v>Retail</v>
      </c>
    </row>
    <row r="470" spans="8:20" x14ac:dyDescent="0.3">
      <c r="H470">
        <f t="shared" si="95"/>
        <v>0</v>
      </c>
      <c r="I470">
        <f t="shared" si="84"/>
        <v>0</v>
      </c>
      <c r="J470">
        <f t="shared" si="85"/>
        <v>0</v>
      </c>
      <c r="K470" t="str">
        <f t="shared" si="86"/>
        <v>January</v>
      </c>
      <c r="L470" t="str">
        <f t="shared" si="87"/>
        <v>Q1</v>
      </c>
      <c r="M470" s="2">
        <f t="shared" si="88"/>
        <v>1900</v>
      </c>
      <c r="N470" t="str">
        <f ca="1">IF(COUNTIFS(A$2:A470,A470,O$2:O470,O470)&gt;1,"Repeat","New")</f>
        <v>New</v>
      </c>
      <c r="O470" s="2" t="e">
        <f t="shared" ca="1" si="89"/>
        <v>#VALUE!</v>
      </c>
      <c r="P470" s="3" t="e">
        <f t="shared" ca="1" si="90"/>
        <v>#VALUE!</v>
      </c>
      <c r="Q470" t="str">
        <f t="shared" si="91"/>
        <v>Jan-00</v>
      </c>
      <c r="R470" t="str">
        <f t="shared" si="92"/>
        <v>Q1</v>
      </c>
      <c r="S470">
        <f t="shared" si="93"/>
        <v>1900</v>
      </c>
      <c r="T470" t="str">
        <f t="shared" si="94"/>
        <v>Retail</v>
      </c>
    </row>
    <row r="471" spans="8:20" x14ac:dyDescent="0.3">
      <c r="H471">
        <f t="shared" si="95"/>
        <v>0</v>
      </c>
      <c r="I471">
        <f t="shared" si="84"/>
        <v>0</v>
      </c>
      <c r="J471">
        <f t="shared" si="85"/>
        <v>0</v>
      </c>
      <c r="K471" t="str">
        <f t="shared" si="86"/>
        <v>January</v>
      </c>
      <c r="L471" t="str">
        <f t="shared" si="87"/>
        <v>Q1</v>
      </c>
      <c r="M471" s="2">
        <f t="shared" si="88"/>
        <v>1900</v>
      </c>
      <c r="N471" t="str">
        <f ca="1">IF(COUNTIFS(A$2:A471,A471,O$2:O471,O471)&gt;1,"Repeat","New")</f>
        <v>New</v>
      </c>
      <c r="O471" s="2" t="e">
        <f t="shared" ca="1" si="89"/>
        <v>#VALUE!</v>
      </c>
      <c r="P471" s="3" t="e">
        <f t="shared" ca="1" si="90"/>
        <v>#VALUE!</v>
      </c>
      <c r="Q471" t="str">
        <f t="shared" si="91"/>
        <v>Jan-00</v>
      </c>
      <c r="R471" t="str">
        <f t="shared" si="92"/>
        <v>Q1</v>
      </c>
      <c r="S471">
        <f t="shared" si="93"/>
        <v>1900</v>
      </c>
      <c r="T471" t="str">
        <f t="shared" si="94"/>
        <v>Retail</v>
      </c>
    </row>
    <row r="472" spans="8:20" x14ac:dyDescent="0.3">
      <c r="H472">
        <f t="shared" si="95"/>
        <v>0</v>
      </c>
      <c r="I472">
        <f t="shared" si="84"/>
        <v>0</v>
      </c>
      <c r="J472">
        <f t="shared" si="85"/>
        <v>0</v>
      </c>
      <c r="K472" t="str">
        <f t="shared" si="86"/>
        <v>January</v>
      </c>
      <c r="L472" t="str">
        <f t="shared" si="87"/>
        <v>Q1</v>
      </c>
      <c r="M472" s="2">
        <f t="shared" si="88"/>
        <v>1900</v>
      </c>
      <c r="N472" t="str">
        <f ca="1">IF(COUNTIFS(A$2:A472,A472,O$2:O472,O472)&gt;1,"Repeat","New")</f>
        <v>New</v>
      </c>
      <c r="O472" s="2" t="e">
        <f t="shared" ca="1" si="89"/>
        <v>#VALUE!</v>
      </c>
      <c r="P472" s="3" t="e">
        <f t="shared" ca="1" si="90"/>
        <v>#VALUE!</v>
      </c>
      <c r="Q472" t="str">
        <f t="shared" si="91"/>
        <v>Jan-00</v>
      </c>
      <c r="R472" t="str">
        <f t="shared" si="92"/>
        <v>Q1</v>
      </c>
      <c r="S472">
        <f t="shared" si="93"/>
        <v>1900</v>
      </c>
      <c r="T472" t="str">
        <f t="shared" si="94"/>
        <v>Retail</v>
      </c>
    </row>
    <row r="473" spans="8:20" x14ac:dyDescent="0.3">
      <c r="H473">
        <f t="shared" si="95"/>
        <v>0</v>
      </c>
      <c r="I473">
        <f t="shared" si="84"/>
        <v>0</v>
      </c>
      <c r="J473">
        <f t="shared" si="85"/>
        <v>0</v>
      </c>
      <c r="K473" t="str">
        <f t="shared" si="86"/>
        <v>January</v>
      </c>
      <c r="L473" t="str">
        <f t="shared" si="87"/>
        <v>Q1</v>
      </c>
      <c r="M473" s="2">
        <f t="shared" si="88"/>
        <v>1900</v>
      </c>
      <c r="N473" t="str">
        <f ca="1">IF(COUNTIFS(A$2:A473,A473,O$2:O473,O473)&gt;1,"Repeat","New")</f>
        <v>New</v>
      </c>
      <c r="O473" s="2" t="e">
        <f t="shared" ca="1" si="89"/>
        <v>#VALUE!</v>
      </c>
      <c r="P473" s="3" t="e">
        <f t="shared" ca="1" si="90"/>
        <v>#VALUE!</v>
      </c>
      <c r="Q473" t="str">
        <f t="shared" si="91"/>
        <v>Jan-00</v>
      </c>
      <c r="R473" t="str">
        <f t="shared" si="92"/>
        <v>Q1</v>
      </c>
      <c r="S473">
        <f t="shared" si="93"/>
        <v>1900</v>
      </c>
      <c r="T473" t="str">
        <f t="shared" si="94"/>
        <v>Retail</v>
      </c>
    </row>
    <row r="474" spans="8:20" x14ac:dyDescent="0.3">
      <c r="H474">
        <f t="shared" si="95"/>
        <v>0</v>
      </c>
      <c r="I474">
        <f t="shared" si="84"/>
        <v>0</v>
      </c>
      <c r="J474">
        <f t="shared" si="85"/>
        <v>0</v>
      </c>
      <c r="K474" t="str">
        <f t="shared" si="86"/>
        <v>January</v>
      </c>
      <c r="L474" t="str">
        <f t="shared" si="87"/>
        <v>Q1</v>
      </c>
      <c r="M474" s="2">
        <f t="shared" si="88"/>
        <v>1900</v>
      </c>
      <c r="N474" t="str">
        <f ca="1">IF(COUNTIFS(A$2:A474,A474,O$2:O474,O474)&gt;1,"Repeat","New")</f>
        <v>New</v>
      </c>
      <c r="O474" s="2" t="e">
        <f t="shared" ca="1" si="89"/>
        <v>#VALUE!</v>
      </c>
      <c r="P474" s="3" t="e">
        <f t="shared" ca="1" si="90"/>
        <v>#VALUE!</v>
      </c>
      <c r="Q474" t="str">
        <f t="shared" si="91"/>
        <v>Jan-00</v>
      </c>
      <c r="R474" t="str">
        <f t="shared" si="92"/>
        <v>Q1</v>
      </c>
      <c r="S474">
        <f t="shared" si="93"/>
        <v>1900</v>
      </c>
      <c r="T474" t="str">
        <f t="shared" si="94"/>
        <v>Retail</v>
      </c>
    </row>
    <row r="475" spans="8:20" x14ac:dyDescent="0.3">
      <c r="H475">
        <f t="shared" si="95"/>
        <v>0</v>
      </c>
      <c r="I475">
        <f t="shared" si="84"/>
        <v>0</v>
      </c>
      <c r="J475">
        <f t="shared" si="85"/>
        <v>0</v>
      </c>
      <c r="K475" t="str">
        <f t="shared" si="86"/>
        <v>January</v>
      </c>
      <c r="L475" t="str">
        <f t="shared" si="87"/>
        <v>Q1</v>
      </c>
      <c r="M475" s="2">
        <f t="shared" si="88"/>
        <v>1900</v>
      </c>
      <c r="N475" t="str">
        <f ca="1">IF(COUNTIFS(A$2:A475,A475,O$2:O475,O475)&gt;1,"Repeat","New")</f>
        <v>New</v>
      </c>
      <c r="O475" s="2" t="e">
        <f t="shared" ca="1" si="89"/>
        <v>#VALUE!</v>
      </c>
      <c r="P475" s="3" t="e">
        <f t="shared" ca="1" si="90"/>
        <v>#VALUE!</v>
      </c>
      <c r="Q475" t="str">
        <f t="shared" si="91"/>
        <v>Jan-00</v>
      </c>
      <c r="R475" t="str">
        <f t="shared" si="92"/>
        <v>Q1</v>
      </c>
      <c r="S475">
        <f t="shared" si="93"/>
        <v>1900</v>
      </c>
      <c r="T475" t="str">
        <f t="shared" si="94"/>
        <v>Retail</v>
      </c>
    </row>
    <row r="476" spans="8:20" x14ac:dyDescent="0.3">
      <c r="H476">
        <f t="shared" si="95"/>
        <v>0</v>
      </c>
      <c r="I476">
        <f t="shared" si="84"/>
        <v>0</v>
      </c>
      <c r="J476">
        <f t="shared" si="85"/>
        <v>0</v>
      </c>
      <c r="K476" t="str">
        <f t="shared" si="86"/>
        <v>January</v>
      </c>
      <c r="L476" t="str">
        <f t="shared" si="87"/>
        <v>Q1</v>
      </c>
      <c r="M476" s="2">
        <f t="shared" si="88"/>
        <v>1900</v>
      </c>
      <c r="N476" t="str">
        <f ca="1">IF(COUNTIFS(A$2:A476,A476,O$2:O476,O476)&gt;1,"Repeat","New")</f>
        <v>New</v>
      </c>
      <c r="O476" s="2" t="e">
        <f t="shared" ca="1" si="89"/>
        <v>#VALUE!</v>
      </c>
      <c r="P476" s="3" t="e">
        <f t="shared" ca="1" si="90"/>
        <v>#VALUE!</v>
      </c>
      <c r="Q476" t="str">
        <f t="shared" si="91"/>
        <v>Jan-00</v>
      </c>
      <c r="R476" t="str">
        <f t="shared" si="92"/>
        <v>Q1</v>
      </c>
      <c r="S476">
        <f t="shared" si="93"/>
        <v>1900</v>
      </c>
      <c r="T476" t="str">
        <f t="shared" si="94"/>
        <v>Retail</v>
      </c>
    </row>
    <row r="477" spans="8:20" x14ac:dyDescent="0.3">
      <c r="H477">
        <f t="shared" si="95"/>
        <v>0</v>
      </c>
      <c r="I477">
        <f t="shared" si="84"/>
        <v>0</v>
      </c>
      <c r="J477">
        <f t="shared" si="85"/>
        <v>0</v>
      </c>
      <c r="K477" t="str">
        <f t="shared" si="86"/>
        <v>January</v>
      </c>
      <c r="L477" t="str">
        <f t="shared" si="87"/>
        <v>Q1</v>
      </c>
      <c r="M477" s="2">
        <f t="shared" si="88"/>
        <v>1900</v>
      </c>
      <c r="N477" t="str">
        <f ca="1">IF(COUNTIFS(A$2:A477,A477,O$2:O477,O477)&gt;1,"Repeat","New")</f>
        <v>New</v>
      </c>
      <c r="O477" s="2" t="e">
        <f t="shared" ca="1" si="89"/>
        <v>#VALUE!</v>
      </c>
      <c r="P477" s="3" t="e">
        <f t="shared" ca="1" si="90"/>
        <v>#VALUE!</v>
      </c>
      <c r="Q477" t="str">
        <f t="shared" si="91"/>
        <v>Jan-00</v>
      </c>
      <c r="R477" t="str">
        <f t="shared" si="92"/>
        <v>Q1</v>
      </c>
      <c r="S477">
        <f t="shared" si="93"/>
        <v>1900</v>
      </c>
      <c r="T477" t="str">
        <f t="shared" si="94"/>
        <v>Retail</v>
      </c>
    </row>
    <row r="478" spans="8:20" x14ac:dyDescent="0.3">
      <c r="H478">
        <f t="shared" si="95"/>
        <v>0</v>
      </c>
      <c r="I478">
        <f t="shared" si="84"/>
        <v>0</v>
      </c>
      <c r="J478">
        <f t="shared" si="85"/>
        <v>0</v>
      </c>
      <c r="K478" t="str">
        <f t="shared" si="86"/>
        <v>January</v>
      </c>
      <c r="L478" t="str">
        <f t="shared" si="87"/>
        <v>Q1</v>
      </c>
      <c r="M478" s="2">
        <f t="shared" si="88"/>
        <v>1900</v>
      </c>
      <c r="N478" t="str">
        <f ca="1">IF(COUNTIFS(A$2:A478,A478,O$2:O478,O478)&gt;1,"Repeat","New")</f>
        <v>New</v>
      </c>
      <c r="O478" s="2" t="e">
        <f t="shared" ca="1" si="89"/>
        <v>#VALUE!</v>
      </c>
      <c r="P478" s="3" t="e">
        <f t="shared" ca="1" si="90"/>
        <v>#VALUE!</v>
      </c>
      <c r="Q478" t="str">
        <f t="shared" si="91"/>
        <v>Jan-00</v>
      </c>
      <c r="R478" t="str">
        <f t="shared" si="92"/>
        <v>Q1</v>
      </c>
      <c r="S478">
        <f t="shared" si="93"/>
        <v>1900</v>
      </c>
      <c r="T478" t="str">
        <f t="shared" si="94"/>
        <v>Retail</v>
      </c>
    </row>
    <row r="479" spans="8:20" x14ac:dyDescent="0.3">
      <c r="H479">
        <f t="shared" si="95"/>
        <v>0</v>
      </c>
      <c r="I479">
        <f t="shared" si="84"/>
        <v>0</v>
      </c>
      <c r="J479">
        <f t="shared" si="85"/>
        <v>0</v>
      </c>
      <c r="K479" t="str">
        <f t="shared" si="86"/>
        <v>January</v>
      </c>
      <c r="L479" t="str">
        <f t="shared" si="87"/>
        <v>Q1</v>
      </c>
      <c r="M479" s="2">
        <f t="shared" si="88"/>
        <v>1900</v>
      </c>
      <c r="N479" t="str">
        <f ca="1">IF(COUNTIFS(A$2:A479,A479,O$2:O479,O479)&gt;1,"Repeat","New")</f>
        <v>New</v>
      </c>
      <c r="O479" s="2" t="e">
        <f t="shared" ca="1" si="89"/>
        <v>#VALUE!</v>
      </c>
      <c r="P479" s="3" t="e">
        <f t="shared" ca="1" si="90"/>
        <v>#VALUE!</v>
      </c>
      <c r="Q479" t="str">
        <f t="shared" si="91"/>
        <v>Jan-00</v>
      </c>
      <c r="R479" t="str">
        <f t="shared" si="92"/>
        <v>Q1</v>
      </c>
      <c r="S479">
        <f t="shared" si="93"/>
        <v>1900</v>
      </c>
      <c r="T479" t="str">
        <f t="shared" si="94"/>
        <v>Retail</v>
      </c>
    </row>
    <row r="480" spans="8:20" x14ac:dyDescent="0.3">
      <c r="H480">
        <f t="shared" si="95"/>
        <v>0</v>
      </c>
      <c r="I480">
        <f t="shared" si="84"/>
        <v>0</v>
      </c>
      <c r="J480">
        <f t="shared" si="85"/>
        <v>0</v>
      </c>
      <c r="K480" t="str">
        <f t="shared" si="86"/>
        <v>January</v>
      </c>
      <c r="L480" t="str">
        <f t="shared" si="87"/>
        <v>Q1</v>
      </c>
      <c r="M480" s="2">
        <f t="shared" si="88"/>
        <v>1900</v>
      </c>
      <c r="N480" t="str">
        <f ca="1">IF(COUNTIFS(A$2:A480,A480,O$2:O480,O480)&gt;1,"Repeat","New")</f>
        <v>New</v>
      </c>
      <c r="O480" s="2" t="e">
        <f t="shared" ca="1" si="89"/>
        <v>#VALUE!</v>
      </c>
      <c r="P480" s="3" t="e">
        <f t="shared" ca="1" si="90"/>
        <v>#VALUE!</v>
      </c>
      <c r="Q480" t="str">
        <f t="shared" si="91"/>
        <v>Jan-00</v>
      </c>
      <c r="R480" t="str">
        <f t="shared" si="92"/>
        <v>Q1</v>
      </c>
      <c r="S480">
        <f t="shared" si="93"/>
        <v>1900</v>
      </c>
      <c r="T480" t="str">
        <f t="shared" si="94"/>
        <v>Retail</v>
      </c>
    </row>
    <row r="481" spans="8:20" x14ac:dyDescent="0.3">
      <c r="H481">
        <f t="shared" si="95"/>
        <v>0</v>
      </c>
      <c r="I481">
        <f t="shared" si="84"/>
        <v>0</v>
      </c>
      <c r="J481">
        <f t="shared" si="85"/>
        <v>0</v>
      </c>
      <c r="K481" t="str">
        <f t="shared" si="86"/>
        <v>January</v>
      </c>
      <c r="L481" t="str">
        <f t="shared" si="87"/>
        <v>Q1</v>
      </c>
      <c r="M481" s="2">
        <f t="shared" si="88"/>
        <v>1900</v>
      </c>
      <c r="N481" t="str">
        <f ca="1">IF(COUNTIFS(A$2:A481,A481,O$2:O481,O481)&gt;1,"Repeat","New")</f>
        <v>New</v>
      </c>
      <c r="O481" s="2" t="e">
        <f t="shared" ca="1" si="89"/>
        <v>#VALUE!</v>
      </c>
      <c r="P481" s="3" t="e">
        <f t="shared" ca="1" si="90"/>
        <v>#VALUE!</v>
      </c>
      <c r="Q481" t="str">
        <f t="shared" si="91"/>
        <v>Jan-00</v>
      </c>
      <c r="R481" t="str">
        <f t="shared" si="92"/>
        <v>Q1</v>
      </c>
      <c r="S481">
        <f t="shared" si="93"/>
        <v>1900</v>
      </c>
      <c r="T481" t="str">
        <f t="shared" si="94"/>
        <v>Retail</v>
      </c>
    </row>
    <row r="482" spans="8:20" x14ac:dyDescent="0.3">
      <c r="H482">
        <f t="shared" si="95"/>
        <v>0</v>
      </c>
      <c r="I482">
        <f t="shared" si="84"/>
        <v>0</v>
      </c>
      <c r="J482">
        <f t="shared" si="85"/>
        <v>0</v>
      </c>
      <c r="K482" t="str">
        <f t="shared" si="86"/>
        <v>January</v>
      </c>
      <c r="L482" t="str">
        <f t="shared" si="87"/>
        <v>Q1</v>
      </c>
      <c r="M482" s="2">
        <f t="shared" si="88"/>
        <v>1900</v>
      </c>
      <c r="N482" t="str">
        <f ca="1">IF(COUNTIFS(A$2:A482,A482,O$2:O482,O482)&gt;1,"Repeat","New")</f>
        <v>New</v>
      </c>
      <c r="O482" s="2" t="e">
        <f t="shared" ca="1" si="89"/>
        <v>#VALUE!</v>
      </c>
      <c r="P482" s="3" t="e">
        <f t="shared" ca="1" si="90"/>
        <v>#VALUE!</v>
      </c>
      <c r="Q482" t="str">
        <f t="shared" si="91"/>
        <v>Jan-00</v>
      </c>
      <c r="R482" t="str">
        <f t="shared" si="92"/>
        <v>Q1</v>
      </c>
      <c r="S482">
        <f t="shared" si="93"/>
        <v>1900</v>
      </c>
      <c r="T482" t="str">
        <f t="shared" si="94"/>
        <v>Retail</v>
      </c>
    </row>
    <row r="483" spans="8:20" x14ac:dyDescent="0.3">
      <c r="H483">
        <f t="shared" si="95"/>
        <v>0</v>
      </c>
      <c r="I483">
        <f t="shared" si="84"/>
        <v>0</v>
      </c>
      <c r="J483">
        <f t="shared" si="85"/>
        <v>0</v>
      </c>
      <c r="K483" t="str">
        <f t="shared" si="86"/>
        <v>January</v>
      </c>
      <c r="L483" t="str">
        <f t="shared" si="87"/>
        <v>Q1</v>
      </c>
      <c r="M483" s="2">
        <f t="shared" si="88"/>
        <v>1900</v>
      </c>
      <c r="N483" t="str">
        <f ca="1">IF(COUNTIFS(A$2:A483,A483,O$2:O483,O483)&gt;1,"Repeat","New")</f>
        <v>New</v>
      </c>
      <c r="O483" s="2" t="e">
        <f t="shared" ca="1" si="89"/>
        <v>#VALUE!</v>
      </c>
      <c r="P483" s="3" t="e">
        <f t="shared" ca="1" si="90"/>
        <v>#VALUE!</v>
      </c>
      <c r="Q483" t="str">
        <f t="shared" si="91"/>
        <v>Jan-00</v>
      </c>
      <c r="R483" t="str">
        <f t="shared" si="92"/>
        <v>Q1</v>
      </c>
      <c r="S483">
        <f t="shared" si="93"/>
        <v>1900</v>
      </c>
      <c r="T483" t="str">
        <f t="shared" si="94"/>
        <v>Retail</v>
      </c>
    </row>
    <row r="484" spans="8:20" x14ac:dyDescent="0.3">
      <c r="H484">
        <f t="shared" si="95"/>
        <v>0</v>
      </c>
      <c r="I484">
        <f t="shared" si="84"/>
        <v>0</v>
      </c>
      <c r="J484">
        <f t="shared" si="85"/>
        <v>0</v>
      </c>
      <c r="K484" t="str">
        <f t="shared" si="86"/>
        <v>January</v>
      </c>
      <c r="L484" t="str">
        <f t="shared" si="87"/>
        <v>Q1</v>
      </c>
      <c r="M484" s="2">
        <f t="shared" si="88"/>
        <v>1900</v>
      </c>
      <c r="N484" t="str">
        <f ca="1">IF(COUNTIFS(A$2:A484,A484,O$2:O484,O484)&gt;1,"Repeat","New")</f>
        <v>New</v>
      </c>
      <c r="O484" s="2" t="e">
        <f t="shared" ca="1" si="89"/>
        <v>#VALUE!</v>
      </c>
      <c r="P484" s="3" t="e">
        <f t="shared" ca="1" si="90"/>
        <v>#VALUE!</v>
      </c>
      <c r="Q484" t="str">
        <f t="shared" si="91"/>
        <v>Jan-00</v>
      </c>
      <c r="R484" t="str">
        <f t="shared" si="92"/>
        <v>Q1</v>
      </c>
      <c r="S484">
        <f t="shared" si="93"/>
        <v>1900</v>
      </c>
      <c r="T484" t="str">
        <f t="shared" si="94"/>
        <v>Retail</v>
      </c>
    </row>
    <row r="485" spans="8:20" x14ac:dyDescent="0.3">
      <c r="H485">
        <f t="shared" si="95"/>
        <v>0</v>
      </c>
      <c r="I485">
        <f t="shared" si="84"/>
        <v>0</v>
      </c>
      <c r="J485">
        <f t="shared" si="85"/>
        <v>0</v>
      </c>
      <c r="K485" t="str">
        <f t="shared" si="86"/>
        <v>January</v>
      </c>
      <c r="L485" t="str">
        <f t="shared" si="87"/>
        <v>Q1</v>
      </c>
      <c r="M485" s="2">
        <f t="shared" si="88"/>
        <v>1900</v>
      </c>
      <c r="N485" t="str">
        <f ca="1">IF(COUNTIFS(A$2:A485,A485,O$2:O485,O485)&gt;1,"Repeat","New")</f>
        <v>New</v>
      </c>
      <c r="O485" s="2" t="e">
        <f t="shared" ca="1" si="89"/>
        <v>#VALUE!</v>
      </c>
      <c r="P485" s="3" t="e">
        <f t="shared" ca="1" si="90"/>
        <v>#VALUE!</v>
      </c>
      <c r="Q485" t="str">
        <f t="shared" si="91"/>
        <v>Jan-00</v>
      </c>
      <c r="R485" t="str">
        <f t="shared" si="92"/>
        <v>Q1</v>
      </c>
      <c r="S485">
        <f t="shared" si="93"/>
        <v>1900</v>
      </c>
      <c r="T485" t="str">
        <f t="shared" si="94"/>
        <v>Retail</v>
      </c>
    </row>
    <row r="486" spans="8:20" x14ac:dyDescent="0.3">
      <c r="H486">
        <f t="shared" si="95"/>
        <v>0</v>
      </c>
      <c r="I486">
        <f t="shared" si="84"/>
        <v>0</v>
      </c>
      <c r="J486">
        <f t="shared" si="85"/>
        <v>0</v>
      </c>
      <c r="K486" t="str">
        <f t="shared" si="86"/>
        <v>January</v>
      </c>
      <c r="L486" t="str">
        <f t="shared" si="87"/>
        <v>Q1</v>
      </c>
      <c r="M486" s="2">
        <f t="shared" si="88"/>
        <v>1900</v>
      </c>
      <c r="N486" t="str">
        <f ca="1">IF(COUNTIFS(A$2:A486,A486,O$2:O486,O486)&gt;1,"Repeat","New")</f>
        <v>New</v>
      </c>
      <c r="O486" s="2" t="e">
        <f t="shared" ca="1" si="89"/>
        <v>#VALUE!</v>
      </c>
      <c r="P486" s="3" t="e">
        <f t="shared" ca="1" si="90"/>
        <v>#VALUE!</v>
      </c>
      <c r="Q486" t="str">
        <f t="shared" si="91"/>
        <v>Jan-00</v>
      </c>
      <c r="R486" t="str">
        <f t="shared" si="92"/>
        <v>Q1</v>
      </c>
      <c r="S486">
        <f t="shared" si="93"/>
        <v>1900</v>
      </c>
      <c r="T486" t="str">
        <f t="shared" si="94"/>
        <v>Retail</v>
      </c>
    </row>
    <row r="487" spans="8:20" x14ac:dyDescent="0.3">
      <c r="H487">
        <f t="shared" si="95"/>
        <v>0</v>
      </c>
      <c r="I487">
        <f t="shared" si="84"/>
        <v>0</v>
      </c>
      <c r="J487">
        <f t="shared" si="85"/>
        <v>0</v>
      </c>
      <c r="K487" t="str">
        <f t="shared" si="86"/>
        <v>January</v>
      </c>
      <c r="L487" t="str">
        <f t="shared" si="87"/>
        <v>Q1</v>
      </c>
      <c r="M487" s="2">
        <f t="shared" si="88"/>
        <v>1900</v>
      </c>
      <c r="N487" t="str">
        <f ca="1">IF(COUNTIFS(A$2:A487,A487,O$2:O487,O487)&gt;1,"Repeat","New")</f>
        <v>New</v>
      </c>
      <c r="O487" s="2" t="e">
        <f t="shared" ca="1" si="89"/>
        <v>#VALUE!</v>
      </c>
      <c r="P487" s="3" t="e">
        <f t="shared" ca="1" si="90"/>
        <v>#VALUE!</v>
      </c>
      <c r="Q487" t="str">
        <f t="shared" si="91"/>
        <v>Jan-00</v>
      </c>
      <c r="R487" t="str">
        <f t="shared" si="92"/>
        <v>Q1</v>
      </c>
      <c r="S487">
        <f t="shared" si="93"/>
        <v>1900</v>
      </c>
      <c r="T487" t="str">
        <f t="shared" si="94"/>
        <v>Retail</v>
      </c>
    </row>
    <row r="488" spans="8:20" x14ac:dyDescent="0.3">
      <c r="H488">
        <f t="shared" si="95"/>
        <v>0</v>
      </c>
      <c r="I488">
        <f t="shared" si="84"/>
        <v>0</v>
      </c>
      <c r="J488">
        <f t="shared" si="85"/>
        <v>0</v>
      </c>
      <c r="K488" t="str">
        <f t="shared" si="86"/>
        <v>January</v>
      </c>
      <c r="L488" t="str">
        <f t="shared" si="87"/>
        <v>Q1</v>
      </c>
      <c r="M488" s="2">
        <f t="shared" si="88"/>
        <v>1900</v>
      </c>
      <c r="N488" t="str">
        <f ca="1">IF(COUNTIFS(A$2:A488,A488,O$2:O488,O488)&gt;1,"Repeat","New")</f>
        <v>New</v>
      </c>
      <c r="O488" s="2" t="e">
        <f t="shared" ca="1" si="89"/>
        <v>#VALUE!</v>
      </c>
      <c r="P488" s="3" t="e">
        <f t="shared" ca="1" si="90"/>
        <v>#VALUE!</v>
      </c>
      <c r="Q488" t="str">
        <f t="shared" si="91"/>
        <v>Jan-00</v>
      </c>
      <c r="R488" t="str">
        <f t="shared" si="92"/>
        <v>Q1</v>
      </c>
      <c r="S488">
        <f t="shared" si="93"/>
        <v>1900</v>
      </c>
      <c r="T488" t="str">
        <f t="shared" si="94"/>
        <v>Retail</v>
      </c>
    </row>
    <row r="489" spans="8:20" x14ac:dyDescent="0.3">
      <c r="H489">
        <f t="shared" si="95"/>
        <v>0</v>
      </c>
      <c r="I489">
        <f t="shared" si="84"/>
        <v>0</v>
      </c>
      <c r="J489">
        <f t="shared" si="85"/>
        <v>0</v>
      </c>
      <c r="K489" t="str">
        <f t="shared" si="86"/>
        <v>January</v>
      </c>
      <c r="L489" t="str">
        <f t="shared" si="87"/>
        <v>Q1</v>
      </c>
      <c r="M489" s="2">
        <f t="shared" si="88"/>
        <v>1900</v>
      </c>
      <c r="N489" t="str">
        <f ca="1">IF(COUNTIFS(A$2:A489,A489,O$2:O489,O489)&gt;1,"Repeat","New")</f>
        <v>New</v>
      </c>
      <c r="O489" s="2" t="e">
        <f t="shared" ca="1" si="89"/>
        <v>#VALUE!</v>
      </c>
      <c r="P489" s="3" t="e">
        <f t="shared" ca="1" si="90"/>
        <v>#VALUE!</v>
      </c>
      <c r="Q489" t="str">
        <f t="shared" si="91"/>
        <v>Jan-00</v>
      </c>
      <c r="R489" t="str">
        <f t="shared" si="92"/>
        <v>Q1</v>
      </c>
      <c r="S489">
        <f t="shared" si="93"/>
        <v>1900</v>
      </c>
      <c r="T489" t="str">
        <f t="shared" si="94"/>
        <v>Retail</v>
      </c>
    </row>
    <row r="490" spans="8:20" x14ac:dyDescent="0.3">
      <c r="H490">
        <f t="shared" si="95"/>
        <v>0</v>
      </c>
      <c r="I490">
        <f t="shared" si="84"/>
        <v>0</v>
      </c>
      <c r="J490">
        <f t="shared" si="85"/>
        <v>0</v>
      </c>
      <c r="K490" t="str">
        <f t="shared" si="86"/>
        <v>January</v>
      </c>
      <c r="L490" t="str">
        <f t="shared" si="87"/>
        <v>Q1</v>
      </c>
      <c r="M490" s="2">
        <f t="shared" si="88"/>
        <v>1900</v>
      </c>
      <c r="N490" t="str">
        <f ca="1">IF(COUNTIFS(A$2:A490,A490,O$2:O490,O490)&gt;1,"Repeat","New")</f>
        <v>New</v>
      </c>
      <c r="O490" s="2" t="e">
        <f t="shared" ca="1" si="89"/>
        <v>#VALUE!</v>
      </c>
      <c r="P490" s="3" t="e">
        <f t="shared" ca="1" si="90"/>
        <v>#VALUE!</v>
      </c>
      <c r="Q490" t="str">
        <f t="shared" si="91"/>
        <v>Jan-00</v>
      </c>
      <c r="R490" t="str">
        <f t="shared" si="92"/>
        <v>Q1</v>
      </c>
      <c r="S490">
        <f t="shared" si="93"/>
        <v>1900</v>
      </c>
      <c r="T490" t="str">
        <f t="shared" si="94"/>
        <v>Retail</v>
      </c>
    </row>
    <row r="491" spans="8:20" x14ac:dyDescent="0.3">
      <c r="H491">
        <f t="shared" si="95"/>
        <v>0</v>
      </c>
      <c r="I491">
        <f t="shared" si="84"/>
        <v>0</v>
      </c>
      <c r="J491">
        <f t="shared" si="85"/>
        <v>0</v>
      </c>
      <c r="K491" t="str">
        <f t="shared" si="86"/>
        <v>January</v>
      </c>
      <c r="L491" t="str">
        <f t="shared" si="87"/>
        <v>Q1</v>
      </c>
      <c r="M491" s="2">
        <f t="shared" si="88"/>
        <v>1900</v>
      </c>
      <c r="N491" t="str">
        <f ca="1">IF(COUNTIFS(A$2:A491,A491,O$2:O491,O491)&gt;1,"Repeat","New")</f>
        <v>New</v>
      </c>
      <c r="O491" s="2" t="e">
        <f t="shared" ca="1" si="89"/>
        <v>#VALUE!</v>
      </c>
      <c r="P491" s="3" t="e">
        <f t="shared" ca="1" si="90"/>
        <v>#VALUE!</v>
      </c>
      <c r="Q491" t="str">
        <f t="shared" si="91"/>
        <v>Jan-00</v>
      </c>
      <c r="R491" t="str">
        <f t="shared" si="92"/>
        <v>Q1</v>
      </c>
      <c r="S491">
        <f t="shared" si="93"/>
        <v>1900</v>
      </c>
      <c r="T491" t="str">
        <f t="shared" si="94"/>
        <v>Retail</v>
      </c>
    </row>
    <row r="492" spans="8:20" x14ac:dyDescent="0.3">
      <c r="H492">
        <f t="shared" si="95"/>
        <v>0</v>
      </c>
      <c r="I492">
        <f t="shared" si="84"/>
        <v>0</v>
      </c>
      <c r="J492">
        <f t="shared" si="85"/>
        <v>0</v>
      </c>
      <c r="K492" t="str">
        <f t="shared" si="86"/>
        <v>January</v>
      </c>
      <c r="L492" t="str">
        <f t="shared" si="87"/>
        <v>Q1</v>
      </c>
      <c r="M492" s="2">
        <f t="shared" si="88"/>
        <v>1900</v>
      </c>
      <c r="N492" t="str">
        <f ca="1">IF(COUNTIFS(A$2:A492,A492,O$2:O492,O492)&gt;1,"Repeat","New")</f>
        <v>New</v>
      </c>
      <c r="O492" s="2" t="e">
        <f t="shared" ca="1" si="89"/>
        <v>#VALUE!</v>
      </c>
      <c r="P492" s="3" t="e">
        <f t="shared" ca="1" si="90"/>
        <v>#VALUE!</v>
      </c>
      <c r="Q492" t="str">
        <f t="shared" si="91"/>
        <v>Jan-00</v>
      </c>
      <c r="R492" t="str">
        <f t="shared" si="92"/>
        <v>Q1</v>
      </c>
      <c r="S492">
        <f t="shared" si="93"/>
        <v>1900</v>
      </c>
      <c r="T492" t="str">
        <f t="shared" si="94"/>
        <v>Retail</v>
      </c>
    </row>
    <row r="493" spans="8:20" x14ac:dyDescent="0.3">
      <c r="H493">
        <f t="shared" si="95"/>
        <v>0</v>
      </c>
      <c r="I493">
        <f t="shared" si="84"/>
        <v>0</v>
      </c>
      <c r="J493">
        <f t="shared" si="85"/>
        <v>0</v>
      </c>
      <c r="K493" t="str">
        <f t="shared" si="86"/>
        <v>January</v>
      </c>
      <c r="L493" t="str">
        <f t="shared" si="87"/>
        <v>Q1</v>
      </c>
      <c r="M493" s="2">
        <f t="shared" si="88"/>
        <v>1900</v>
      </c>
      <c r="N493" t="str">
        <f ca="1">IF(COUNTIFS(A$2:A493,A493,O$2:O493,O493)&gt;1,"Repeat","New")</f>
        <v>New</v>
      </c>
      <c r="O493" s="2" t="e">
        <f t="shared" ca="1" si="89"/>
        <v>#VALUE!</v>
      </c>
      <c r="P493" s="3" t="e">
        <f t="shared" ca="1" si="90"/>
        <v>#VALUE!</v>
      </c>
      <c r="Q493" t="str">
        <f t="shared" si="91"/>
        <v>Jan-00</v>
      </c>
      <c r="R493" t="str">
        <f t="shared" si="92"/>
        <v>Q1</v>
      </c>
      <c r="S493">
        <f t="shared" si="93"/>
        <v>1900</v>
      </c>
      <c r="T493" t="str">
        <f t="shared" si="94"/>
        <v>Retail</v>
      </c>
    </row>
    <row r="494" spans="8:20" x14ac:dyDescent="0.3">
      <c r="H494">
        <f t="shared" si="95"/>
        <v>0</v>
      </c>
      <c r="I494">
        <f t="shared" si="84"/>
        <v>0</v>
      </c>
      <c r="J494">
        <f t="shared" si="85"/>
        <v>0</v>
      </c>
      <c r="K494" t="str">
        <f t="shared" si="86"/>
        <v>January</v>
      </c>
      <c r="L494" t="str">
        <f t="shared" si="87"/>
        <v>Q1</v>
      </c>
      <c r="M494" s="2">
        <f t="shared" si="88"/>
        <v>1900</v>
      </c>
      <c r="N494" t="str">
        <f ca="1">IF(COUNTIFS(A$2:A494,A494,O$2:O494,O494)&gt;1,"Repeat","New")</f>
        <v>New</v>
      </c>
      <c r="O494" s="2" t="e">
        <f t="shared" ca="1" si="89"/>
        <v>#VALUE!</v>
      </c>
      <c r="P494" s="3" t="e">
        <f t="shared" ca="1" si="90"/>
        <v>#VALUE!</v>
      </c>
      <c r="Q494" t="str">
        <f t="shared" si="91"/>
        <v>Jan-00</v>
      </c>
      <c r="R494" t="str">
        <f t="shared" si="92"/>
        <v>Q1</v>
      </c>
      <c r="S494">
        <f t="shared" si="93"/>
        <v>1900</v>
      </c>
      <c r="T494" t="str">
        <f t="shared" si="94"/>
        <v>Retail</v>
      </c>
    </row>
    <row r="495" spans="8:20" x14ac:dyDescent="0.3">
      <c r="H495">
        <f t="shared" si="95"/>
        <v>0</v>
      </c>
      <c r="I495">
        <f t="shared" si="84"/>
        <v>0</v>
      </c>
      <c r="J495">
        <f t="shared" si="85"/>
        <v>0</v>
      </c>
      <c r="K495" t="str">
        <f t="shared" si="86"/>
        <v>January</v>
      </c>
      <c r="L495" t="str">
        <f t="shared" si="87"/>
        <v>Q1</v>
      </c>
      <c r="M495" s="2">
        <f t="shared" si="88"/>
        <v>1900</v>
      </c>
      <c r="N495" t="str">
        <f ca="1">IF(COUNTIFS(A$2:A495,A495,O$2:O495,O495)&gt;1,"Repeat","New")</f>
        <v>New</v>
      </c>
      <c r="O495" s="2" t="e">
        <f t="shared" ca="1" si="89"/>
        <v>#VALUE!</v>
      </c>
      <c r="P495" s="3" t="e">
        <f t="shared" ca="1" si="90"/>
        <v>#VALUE!</v>
      </c>
      <c r="Q495" t="str">
        <f t="shared" si="91"/>
        <v>Jan-00</v>
      </c>
      <c r="R495" t="str">
        <f t="shared" si="92"/>
        <v>Q1</v>
      </c>
      <c r="S495">
        <f t="shared" si="93"/>
        <v>1900</v>
      </c>
      <c r="T495" t="str">
        <f t="shared" si="94"/>
        <v>Retail</v>
      </c>
    </row>
    <row r="496" spans="8:20" x14ac:dyDescent="0.3">
      <c r="H496">
        <f t="shared" si="95"/>
        <v>0</v>
      </c>
      <c r="I496">
        <f t="shared" si="84"/>
        <v>0</v>
      </c>
      <c r="J496">
        <f t="shared" si="85"/>
        <v>0</v>
      </c>
      <c r="K496" t="str">
        <f t="shared" si="86"/>
        <v>January</v>
      </c>
      <c r="L496" t="str">
        <f t="shared" si="87"/>
        <v>Q1</v>
      </c>
      <c r="M496" s="2">
        <f t="shared" si="88"/>
        <v>1900</v>
      </c>
      <c r="N496" t="str">
        <f ca="1">IF(COUNTIFS(A$2:A496,A496,O$2:O496,O496)&gt;1,"Repeat","New")</f>
        <v>New</v>
      </c>
      <c r="O496" s="2" t="e">
        <f t="shared" ca="1" si="89"/>
        <v>#VALUE!</v>
      </c>
      <c r="P496" s="3" t="e">
        <f t="shared" ca="1" si="90"/>
        <v>#VALUE!</v>
      </c>
      <c r="Q496" t="str">
        <f t="shared" si="91"/>
        <v>Jan-00</v>
      </c>
      <c r="R496" t="str">
        <f t="shared" si="92"/>
        <v>Q1</v>
      </c>
      <c r="S496">
        <f t="shared" si="93"/>
        <v>1900</v>
      </c>
      <c r="T496" t="str">
        <f t="shared" si="94"/>
        <v>Retail</v>
      </c>
    </row>
    <row r="497" spans="8:20" x14ac:dyDescent="0.3">
      <c r="H497">
        <f t="shared" si="95"/>
        <v>0</v>
      </c>
      <c r="I497">
        <f t="shared" si="84"/>
        <v>0</v>
      </c>
      <c r="J497">
        <f t="shared" si="85"/>
        <v>0</v>
      </c>
      <c r="K497" t="str">
        <f t="shared" si="86"/>
        <v>January</v>
      </c>
      <c r="L497" t="str">
        <f t="shared" si="87"/>
        <v>Q1</v>
      </c>
      <c r="M497" s="2">
        <f t="shared" si="88"/>
        <v>1900</v>
      </c>
      <c r="N497" t="str">
        <f ca="1">IF(COUNTIFS(A$2:A497,A497,O$2:O497,O497)&gt;1,"Repeat","New")</f>
        <v>New</v>
      </c>
      <c r="O497" s="2" t="e">
        <f t="shared" ca="1" si="89"/>
        <v>#VALUE!</v>
      </c>
      <c r="P497" s="3" t="e">
        <f t="shared" ca="1" si="90"/>
        <v>#VALUE!</v>
      </c>
      <c r="Q497" t="str">
        <f t="shared" si="91"/>
        <v>Jan-00</v>
      </c>
      <c r="R497" t="str">
        <f t="shared" si="92"/>
        <v>Q1</v>
      </c>
      <c r="S497">
        <f t="shared" si="93"/>
        <v>1900</v>
      </c>
      <c r="T497" t="str">
        <f t="shared" si="94"/>
        <v>Retail</v>
      </c>
    </row>
    <row r="498" spans="8:20" x14ac:dyDescent="0.3">
      <c r="H498">
        <f t="shared" si="95"/>
        <v>0</v>
      </c>
      <c r="I498">
        <f t="shared" si="84"/>
        <v>0</v>
      </c>
      <c r="J498">
        <f t="shared" si="85"/>
        <v>0</v>
      </c>
      <c r="K498" t="str">
        <f t="shared" si="86"/>
        <v>January</v>
      </c>
      <c r="L498" t="str">
        <f t="shared" si="87"/>
        <v>Q1</v>
      </c>
      <c r="M498" s="2">
        <f t="shared" si="88"/>
        <v>1900</v>
      </c>
      <c r="N498" t="str">
        <f ca="1">IF(COUNTIFS(A$2:A498,A498,O$2:O498,O498)&gt;1,"Repeat","New")</f>
        <v>New</v>
      </c>
      <c r="O498" s="2" t="e">
        <f t="shared" ca="1" si="89"/>
        <v>#VALUE!</v>
      </c>
      <c r="P498" s="3" t="e">
        <f t="shared" ca="1" si="90"/>
        <v>#VALUE!</v>
      </c>
      <c r="Q498" t="str">
        <f t="shared" si="91"/>
        <v>Jan-00</v>
      </c>
      <c r="R498" t="str">
        <f t="shared" si="92"/>
        <v>Q1</v>
      </c>
      <c r="S498">
        <f t="shared" si="93"/>
        <v>1900</v>
      </c>
      <c r="T498" t="str">
        <f t="shared" si="94"/>
        <v>Retail</v>
      </c>
    </row>
    <row r="499" spans="8:20" x14ac:dyDescent="0.3">
      <c r="H499">
        <f t="shared" si="95"/>
        <v>0</v>
      </c>
      <c r="I499">
        <f t="shared" si="84"/>
        <v>0</v>
      </c>
      <c r="J499">
        <f t="shared" si="85"/>
        <v>0</v>
      </c>
      <c r="K499" t="str">
        <f t="shared" si="86"/>
        <v>January</v>
      </c>
      <c r="L499" t="str">
        <f t="shared" si="87"/>
        <v>Q1</v>
      </c>
      <c r="M499" s="2">
        <f t="shared" si="88"/>
        <v>1900</v>
      </c>
      <c r="N499" t="str">
        <f ca="1">IF(COUNTIFS(A$2:A499,A499,O$2:O499,O499)&gt;1,"Repeat","New")</f>
        <v>New</v>
      </c>
      <c r="O499" s="2" t="e">
        <f t="shared" ca="1" si="89"/>
        <v>#VALUE!</v>
      </c>
      <c r="P499" s="3" t="e">
        <f t="shared" ca="1" si="90"/>
        <v>#VALUE!</v>
      </c>
      <c r="Q499" t="str">
        <f t="shared" si="91"/>
        <v>Jan-00</v>
      </c>
      <c r="R499" t="str">
        <f t="shared" si="92"/>
        <v>Q1</v>
      </c>
      <c r="S499">
        <f t="shared" si="93"/>
        <v>1900</v>
      </c>
      <c r="T499" t="str">
        <f t="shared" si="94"/>
        <v>Retail</v>
      </c>
    </row>
    <row r="500" spans="8:20" x14ac:dyDescent="0.3">
      <c r="H500">
        <f t="shared" si="95"/>
        <v>0</v>
      </c>
      <c r="I500">
        <f t="shared" si="84"/>
        <v>0</v>
      </c>
      <c r="J500">
        <f t="shared" si="85"/>
        <v>0</v>
      </c>
      <c r="K500" t="str">
        <f t="shared" si="86"/>
        <v>January</v>
      </c>
      <c r="L500" t="str">
        <f t="shared" si="87"/>
        <v>Q1</v>
      </c>
      <c r="M500" s="2">
        <f t="shared" si="88"/>
        <v>1900</v>
      </c>
      <c r="N500" t="str">
        <f ca="1">IF(COUNTIFS(A$2:A500,A500,O$2:O500,O500)&gt;1,"Repeat","New")</f>
        <v>New</v>
      </c>
      <c r="O500" s="2" t="e">
        <f t="shared" ca="1" si="89"/>
        <v>#VALUE!</v>
      </c>
      <c r="P500" s="3" t="e">
        <f t="shared" ca="1" si="90"/>
        <v>#VALUE!</v>
      </c>
      <c r="Q500" t="str">
        <f t="shared" si="91"/>
        <v>Jan-00</v>
      </c>
      <c r="R500" t="str">
        <f t="shared" si="92"/>
        <v>Q1</v>
      </c>
      <c r="S500">
        <f t="shared" si="93"/>
        <v>1900</v>
      </c>
      <c r="T500" t="str">
        <f t="shared" si="94"/>
        <v>Retail</v>
      </c>
    </row>
    <row r="501" spans="8:20" x14ac:dyDescent="0.3">
      <c r="H501">
        <f t="shared" si="95"/>
        <v>0</v>
      </c>
      <c r="I501">
        <f t="shared" si="84"/>
        <v>0</v>
      </c>
      <c r="J501">
        <f t="shared" si="85"/>
        <v>0</v>
      </c>
      <c r="K501" t="str">
        <f t="shared" si="86"/>
        <v>January</v>
      </c>
      <c r="L501" t="str">
        <f t="shared" si="87"/>
        <v>Q1</v>
      </c>
      <c r="M501" s="2">
        <f t="shared" si="88"/>
        <v>1900</v>
      </c>
      <c r="N501" t="str">
        <f ca="1">IF(COUNTIFS(A$2:A501,A501,O$2:O501,O501)&gt;1,"Repeat","New")</f>
        <v>New</v>
      </c>
      <c r="O501" s="2" t="e">
        <f t="shared" ca="1" si="89"/>
        <v>#VALUE!</v>
      </c>
      <c r="P501" s="3" t="e">
        <f t="shared" ca="1" si="90"/>
        <v>#VALUE!</v>
      </c>
      <c r="Q501" t="str">
        <f t="shared" si="91"/>
        <v>Jan-00</v>
      </c>
      <c r="R501" t="str">
        <f t="shared" si="92"/>
        <v>Q1</v>
      </c>
      <c r="S501">
        <f t="shared" si="93"/>
        <v>1900</v>
      </c>
      <c r="T501" t="str">
        <f t="shared" si="94"/>
        <v>Retail</v>
      </c>
    </row>
    <row r="502" spans="8:20" x14ac:dyDescent="0.3">
      <c r="H502">
        <f t="shared" si="95"/>
        <v>0</v>
      </c>
      <c r="I502">
        <f t="shared" si="84"/>
        <v>0</v>
      </c>
      <c r="J502">
        <f t="shared" si="85"/>
        <v>0</v>
      </c>
      <c r="K502" t="str">
        <f t="shared" si="86"/>
        <v>January</v>
      </c>
      <c r="L502" t="str">
        <f t="shared" si="87"/>
        <v>Q1</v>
      </c>
      <c r="M502" s="2">
        <f t="shared" si="88"/>
        <v>1900</v>
      </c>
      <c r="N502" t="str">
        <f ca="1">IF(COUNTIFS(A$2:A502,A502,O$2:O502,O502)&gt;1,"Repeat","New")</f>
        <v>New</v>
      </c>
      <c r="O502" s="2" t="e">
        <f t="shared" ref="O502:O565" ca="1" si="96">M502-N502</f>
        <v>#VALUE!</v>
      </c>
      <c r="P502" s="3" t="e">
        <f t="shared" ref="P502:P565" ca="1" si="97">IF(M502&gt;0,O502/M502,0)</f>
        <v>#VALUE!</v>
      </c>
      <c r="Q502" s="6" t="str">
        <f t="shared" ref="Q502:Q565" si="98">TEXT(B502, "mmm-yy")</f>
        <v>Jan-00</v>
      </c>
      <c r="R502" s="6" t="str">
        <f t="shared" ref="R502:R565" si="99">"Q"&amp;INT((MONTH(B502)-1)/3)+1</f>
        <v>Q1</v>
      </c>
      <c r="S502" s="6">
        <f t="shared" ref="S502:S565" si="100">YEAR(B502)</f>
        <v>1900</v>
      </c>
      <c r="T502" s="6" t="str">
        <f t="shared" ref="T502:T565" si="101">IF(M502&gt;5000, "Enterprise", "Retail")</f>
        <v>Retail</v>
      </c>
    </row>
    <row r="503" spans="8:20" x14ac:dyDescent="0.3">
      <c r="H503">
        <f t="shared" si="95"/>
        <v>0</v>
      </c>
      <c r="I503">
        <f t="shared" si="84"/>
        <v>0</v>
      </c>
      <c r="J503">
        <f t="shared" si="85"/>
        <v>0</v>
      </c>
      <c r="K503" t="str">
        <f t="shared" si="86"/>
        <v>January</v>
      </c>
      <c r="L503" t="str">
        <f t="shared" si="87"/>
        <v>Q1</v>
      </c>
      <c r="M503" s="2">
        <f t="shared" si="88"/>
        <v>1900</v>
      </c>
      <c r="N503" t="str">
        <f ca="1">IF(COUNTIFS(A$2:A503,A503,O$2:O503,O503)&gt;1,"Repeat","New")</f>
        <v>New</v>
      </c>
      <c r="O503" s="2" t="e">
        <f t="shared" ca="1" si="96"/>
        <v>#VALUE!</v>
      </c>
      <c r="P503" s="3" t="e">
        <f t="shared" ca="1" si="97"/>
        <v>#VALUE!</v>
      </c>
      <c r="Q503" s="6" t="str">
        <f t="shared" si="98"/>
        <v>Jan-00</v>
      </c>
      <c r="R503" s="6" t="str">
        <f t="shared" si="99"/>
        <v>Q1</v>
      </c>
      <c r="S503" s="6">
        <f t="shared" si="100"/>
        <v>1900</v>
      </c>
      <c r="T503" s="6" t="str">
        <f t="shared" si="101"/>
        <v>Retail</v>
      </c>
    </row>
    <row r="504" spans="8:20" x14ac:dyDescent="0.3">
      <c r="H504">
        <f t="shared" si="95"/>
        <v>0</v>
      </c>
      <c r="I504">
        <f t="shared" si="84"/>
        <v>0</v>
      </c>
      <c r="J504">
        <f t="shared" si="85"/>
        <v>0</v>
      </c>
      <c r="K504" t="str">
        <f t="shared" si="86"/>
        <v>January</v>
      </c>
      <c r="L504" t="str">
        <f t="shared" si="87"/>
        <v>Q1</v>
      </c>
      <c r="M504" s="2">
        <f t="shared" si="88"/>
        <v>1900</v>
      </c>
      <c r="N504" t="str">
        <f ca="1">IF(COUNTIFS(A$2:A504,A504,O$2:O504,O504)&gt;1,"Repeat","New")</f>
        <v>New</v>
      </c>
      <c r="O504" s="2" t="e">
        <f t="shared" ca="1" si="96"/>
        <v>#VALUE!</v>
      </c>
      <c r="P504" s="3" t="e">
        <f t="shared" ca="1" si="97"/>
        <v>#VALUE!</v>
      </c>
      <c r="Q504" s="6" t="str">
        <f t="shared" si="98"/>
        <v>Jan-00</v>
      </c>
      <c r="R504" s="6" t="str">
        <f t="shared" si="99"/>
        <v>Q1</v>
      </c>
      <c r="S504" s="6">
        <f t="shared" si="100"/>
        <v>1900</v>
      </c>
      <c r="T504" s="6" t="str">
        <f t="shared" si="101"/>
        <v>Retail</v>
      </c>
    </row>
    <row r="505" spans="8:20" x14ac:dyDescent="0.3">
      <c r="H505">
        <f t="shared" si="95"/>
        <v>0</v>
      </c>
      <c r="I505">
        <f t="shared" si="84"/>
        <v>0</v>
      </c>
      <c r="J505">
        <f t="shared" si="85"/>
        <v>0</v>
      </c>
      <c r="K505" t="str">
        <f t="shared" si="86"/>
        <v>January</v>
      </c>
      <c r="L505" t="str">
        <f t="shared" si="87"/>
        <v>Q1</v>
      </c>
      <c r="M505" s="2">
        <f t="shared" si="88"/>
        <v>1900</v>
      </c>
      <c r="N505" t="str">
        <f ca="1">IF(COUNTIFS(A$2:A505,A505,O$2:O505,O505)&gt;1,"Repeat","New")</f>
        <v>New</v>
      </c>
      <c r="O505" s="2" t="e">
        <f t="shared" ca="1" si="96"/>
        <v>#VALUE!</v>
      </c>
      <c r="P505" s="3" t="e">
        <f t="shared" ca="1" si="97"/>
        <v>#VALUE!</v>
      </c>
      <c r="Q505" s="6" t="str">
        <f t="shared" si="98"/>
        <v>Jan-00</v>
      </c>
      <c r="R505" s="6" t="str">
        <f t="shared" si="99"/>
        <v>Q1</v>
      </c>
      <c r="S505" s="6">
        <f t="shared" si="100"/>
        <v>1900</v>
      </c>
      <c r="T505" s="6" t="str">
        <f t="shared" si="101"/>
        <v>Retail</v>
      </c>
    </row>
    <row r="506" spans="8:20" x14ac:dyDescent="0.3">
      <c r="H506">
        <f t="shared" si="95"/>
        <v>0</v>
      </c>
      <c r="I506">
        <f t="shared" si="84"/>
        <v>0</v>
      </c>
      <c r="J506">
        <f t="shared" si="85"/>
        <v>0</v>
      </c>
      <c r="K506" t="str">
        <f t="shared" si="86"/>
        <v>January</v>
      </c>
      <c r="L506" t="str">
        <f t="shared" si="87"/>
        <v>Q1</v>
      </c>
      <c r="M506" s="2">
        <f t="shared" si="88"/>
        <v>1900</v>
      </c>
      <c r="N506" t="str">
        <f ca="1">IF(COUNTIFS(A$2:A506,A506,O$2:O506,O506)&gt;1,"Repeat","New")</f>
        <v>New</v>
      </c>
      <c r="O506" s="2" t="e">
        <f t="shared" ca="1" si="96"/>
        <v>#VALUE!</v>
      </c>
      <c r="P506" s="3" t="e">
        <f t="shared" ca="1" si="97"/>
        <v>#VALUE!</v>
      </c>
      <c r="Q506" s="6" t="str">
        <f t="shared" si="98"/>
        <v>Jan-00</v>
      </c>
      <c r="R506" s="6" t="str">
        <f t="shared" si="99"/>
        <v>Q1</v>
      </c>
      <c r="S506" s="6">
        <f t="shared" si="100"/>
        <v>1900</v>
      </c>
      <c r="T506" s="6" t="str">
        <f t="shared" si="101"/>
        <v>Retail</v>
      </c>
    </row>
    <row r="507" spans="8:20" x14ac:dyDescent="0.3">
      <c r="H507">
        <f t="shared" si="95"/>
        <v>0</v>
      </c>
      <c r="I507">
        <f t="shared" si="84"/>
        <v>0</v>
      </c>
      <c r="J507">
        <f t="shared" si="85"/>
        <v>0</v>
      </c>
      <c r="K507" t="str">
        <f t="shared" si="86"/>
        <v>January</v>
      </c>
      <c r="L507" t="str">
        <f t="shared" si="87"/>
        <v>Q1</v>
      </c>
      <c r="M507" s="2">
        <f t="shared" si="88"/>
        <v>1900</v>
      </c>
      <c r="N507" t="str">
        <f ca="1">IF(COUNTIFS(A$2:A507,A507,O$2:O507,O507)&gt;1,"Repeat","New")</f>
        <v>New</v>
      </c>
      <c r="O507" s="2" t="e">
        <f t="shared" ca="1" si="96"/>
        <v>#VALUE!</v>
      </c>
      <c r="P507" s="3" t="e">
        <f t="shared" ca="1" si="97"/>
        <v>#VALUE!</v>
      </c>
      <c r="Q507" s="6" t="str">
        <f t="shared" si="98"/>
        <v>Jan-00</v>
      </c>
      <c r="R507" s="6" t="str">
        <f t="shared" si="99"/>
        <v>Q1</v>
      </c>
      <c r="S507" s="6">
        <f t="shared" si="100"/>
        <v>1900</v>
      </c>
      <c r="T507" s="6" t="str">
        <f t="shared" si="101"/>
        <v>Retail</v>
      </c>
    </row>
    <row r="508" spans="8:20" x14ac:dyDescent="0.3">
      <c r="H508">
        <f t="shared" si="95"/>
        <v>0</v>
      </c>
      <c r="I508">
        <f t="shared" si="84"/>
        <v>0</v>
      </c>
      <c r="J508">
        <f t="shared" si="85"/>
        <v>0</v>
      </c>
      <c r="K508" t="str">
        <f t="shared" si="86"/>
        <v>January</v>
      </c>
      <c r="L508" t="str">
        <f t="shared" si="87"/>
        <v>Q1</v>
      </c>
      <c r="M508" s="2">
        <f t="shared" si="88"/>
        <v>1900</v>
      </c>
      <c r="N508" t="str">
        <f ca="1">IF(COUNTIFS(A$2:A508,A508,O$2:O508,O508)&gt;1,"Repeat","New")</f>
        <v>New</v>
      </c>
      <c r="O508" s="2" t="e">
        <f t="shared" ca="1" si="96"/>
        <v>#VALUE!</v>
      </c>
      <c r="P508" s="3" t="e">
        <f t="shared" ca="1" si="97"/>
        <v>#VALUE!</v>
      </c>
      <c r="Q508" s="6" t="str">
        <f t="shared" si="98"/>
        <v>Jan-00</v>
      </c>
      <c r="R508" s="6" t="str">
        <f t="shared" si="99"/>
        <v>Q1</v>
      </c>
      <c r="S508" s="6">
        <f t="shared" si="100"/>
        <v>1900</v>
      </c>
      <c r="T508" s="6" t="str">
        <f t="shared" si="101"/>
        <v>Retail</v>
      </c>
    </row>
    <row r="509" spans="8:20" x14ac:dyDescent="0.3">
      <c r="H509">
        <f t="shared" si="95"/>
        <v>0</v>
      </c>
      <c r="I509">
        <f t="shared" si="84"/>
        <v>0</v>
      </c>
      <c r="J509">
        <f t="shared" si="85"/>
        <v>0</v>
      </c>
      <c r="K509" t="str">
        <f t="shared" si="86"/>
        <v>January</v>
      </c>
      <c r="L509" t="str">
        <f t="shared" si="87"/>
        <v>Q1</v>
      </c>
      <c r="M509" s="2">
        <f t="shared" si="88"/>
        <v>1900</v>
      </c>
      <c r="N509" t="str">
        <f ca="1">IF(COUNTIFS(A$2:A509,A509,O$2:O509,O509)&gt;1,"Repeat","New")</f>
        <v>New</v>
      </c>
      <c r="O509" s="2" t="e">
        <f t="shared" ca="1" si="96"/>
        <v>#VALUE!</v>
      </c>
      <c r="P509" s="3" t="e">
        <f t="shared" ca="1" si="97"/>
        <v>#VALUE!</v>
      </c>
      <c r="Q509" s="6" t="str">
        <f t="shared" si="98"/>
        <v>Jan-00</v>
      </c>
      <c r="R509" s="6" t="str">
        <f t="shared" si="99"/>
        <v>Q1</v>
      </c>
      <c r="S509" s="6">
        <f t="shared" si="100"/>
        <v>1900</v>
      </c>
      <c r="T509" s="6" t="str">
        <f t="shared" si="101"/>
        <v>Retail</v>
      </c>
    </row>
    <row r="510" spans="8:20" x14ac:dyDescent="0.3">
      <c r="H510">
        <f t="shared" si="95"/>
        <v>0</v>
      </c>
      <c r="I510">
        <f t="shared" si="84"/>
        <v>0</v>
      </c>
      <c r="J510">
        <f t="shared" si="85"/>
        <v>0</v>
      </c>
      <c r="K510" t="str">
        <f t="shared" si="86"/>
        <v>January</v>
      </c>
      <c r="L510" t="str">
        <f t="shared" si="87"/>
        <v>Q1</v>
      </c>
      <c r="M510" s="2">
        <f t="shared" si="88"/>
        <v>1900</v>
      </c>
      <c r="N510" t="str">
        <f ca="1">IF(COUNTIFS(A$2:A510,A510,O$2:O510,O510)&gt;1,"Repeat","New")</f>
        <v>New</v>
      </c>
      <c r="O510" s="2" t="e">
        <f t="shared" ca="1" si="96"/>
        <v>#VALUE!</v>
      </c>
      <c r="P510" s="3" t="e">
        <f t="shared" ca="1" si="97"/>
        <v>#VALUE!</v>
      </c>
      <c r="Q510" s="6" t="str">
        <f t="shared" si="98"/>
        <v>Jan-00</v>
      </c>
      <c r="R510" s="6" t="str">
        <f t="shared" si="99"/>
        <v>Q1</v>
      </c>
      <c r="S510" s="6">
        <f t="shared" si="100"/>
        <v>1900</v>
      </c>
      <c r="T510" s="6" t="str">
        <f t="shared" si="101"/>
        <v>Retail</v>
      </c>
    </row>
    <row r="511" spans="8:20" x14ac:dyDescent="0.3">
      <c r="H511">
        <f t="shared" si="95"/>
        <v>0</v>
      </c>
      <c r="I511">
        <f t="shared" si="84"/>
        <v>0</v>
      </c>
      <c r="J511">
        <f t="shared" si="85"/>
        <v>0</v>
      </c>
      <c r="K511" t="str">
        <f t="shared" si="86"/>
        <v>January</v>
      </c>
      <c r="L511" t="str">
        <f t="shared" si="87"/>
        <v>Q1</v>
      </c>
      <c r="M511" s="2">
        <f t="shared" si="88"/>
        <v>1900</v>
      </c>
      <c r="N511" t="str">
        <f ca="1">IF(COUNTIFS(A$2:A511,A511,O$2:O511,O511)&gt;1,"Repeat","New")</f>
        <v>New</v>
      </c>
      <c r="O511" s="2" t="e">
        <f t="shared" ca="1" si="96"/>
        <v>#VALUE!</v>
      </c>
      <c r="P511" s="3" t="e">
        <f t="shared" ca="1" si="97"/>
        <v>#VALUE!</v>
      </c>
      <c r="Q511" s="6" t="str">
        <f t="shared" si="98"/>
        <v>Jan-00</v>
      </c>
      <c r="R511" s="6" t="str">
        <f t="shared" si="99"/>
        <v>Q1</v>
      </c>
      <c r="S511" s="6">
        <f t="shared" si="100"/>
        <v>1900</v>
      </c>
      <c r="T511" s="6" t="str">
        <f t="shared" si="101"/>
        <v>Retail</v>
      </c>
    </row>
    <row r="512" spans="8:20" x14ac:dyDescent="0.3">
      <c r="H512">
        <f t="shared" si="95"/>
        <v>0</v>
      </c>
      <c r="I512">
        <f t="shared" si="84"/>
        <v>0</v>
      </c>
      <c r="J512">
        <f t="shared" si="85"/>
        <v>0</v>
      </c>
      <c r="K512" t="str">
        <f t="shared" si="86"/>
        <v>January</v>
      </c>
      <c r="L512" t="str">
        <f t="shared" si="87"/>
        <v>Q1</v>
      </c>
      <c r="M512" s="2">
        <f t="shared" si="88"/>
        <v>1900</v>
      </c>
      <c r="N512" t="str">
        <f ca="1">IF(COUNTIFS(A$2:A512,A512,O$2:O512,O512)&gt;1,"Repeat","New")</f>
        <v>New</v>
      </c>
      <c r="O512" s="2" t="e">
        <f t="shared" ca="1" si="96"/>
        <v>#VALUE!</v>
      </c>
      <c r="P512" s="3" t="e">
        <f t="shared" ca="1" si="97"/>
        <v>#VALUE!</v>
      </c>
      <c r="Q512" s="6" t="str">
        <f t="shared" si="98"/>
        <v>Jan-00</v>
      </c>
      <c r="R512" s="6" t="str">
        <f t="shared" si="99"/>
        <v>Q1</v>
      </c>
      <c r="S512" s="6">
        <f t="shared" si="100"/>
        <v>1900</v>
      </c>
      <c r="T512" s="6" t="str">
        <f t="shared" si="101"/>
        <v>Retail</v>
      </c>
    </row>
    <row r="513" spans="8:20" x14ac:dyDescent="0.3">
      <c r="H513">
        <f t="shared" si="95"/>
        <v>0</v>
      </c>
      <c r="I513">
        <f t="shared" si="84"/>
        <v>0</v>
      </c>
      <c r="J513">
        <f t="shared" si="85"/>
        <v>0</v>
      </c>
      <c r="K513" t="str">
        <f t="shared" si="86"/>
        <v>January</v>
      </c>
      <c r="L513" t="str">
        <f t="shared" si="87"/>
        <v>Q1</v>
      </c>
      <c r="M513" s="2">
        <f t="shared" si="88"/>
        <v>1900</v>
      </c>
      <c r="N513" t="str">
        <f ca="1">IF(COUNTIFS(A$2:A513,A513,O$2:O513,O513)&gt;1,"Repeat","New")</f>
        <v>New</v>
      </c>
      <c r="O513" s="2" t="e">
        <f t="shared" ca="1" si="96"/>
        <v>#VALUE!</v>
      </c>
      <c r="P513" s="3" t="e">
        <f t="shared" ca="1" si="97"/>
        <v>#VALUE!</v>
      </c>
      <c r="Q513" s="6" t="str">
        <f t="shared" si="98"/>
        <v>Jan-00</v>
      </c>
      <c r="R513" s="6" t="str">
        <f t="shared" si="99"/>
        <v>Q1</v>
      </c>
      <c r="S513" s="6">
        <f t="shared" si="100"/>
        <v>1900</v>
      </c>
      <c r="T513" s="6" t="str">
        <f t="shared" si="101"/>
        <v>Retail</v>
      </c>
    </row>
    <row r="514" spans="8:20" x14ac:dyDescent="0.3">
      <c r="H514">
        <f t="shared" si="95"/>
        <v>0</v>
      </c>
      <c r="I514">
        <f t="shared" ref="I514:I577" si="102">H514-(D514*F514)</f>
        <v>0</v>
      </c>
      <c r="J514">
        <f t="shared" ref="J514:J577" si="103">IF(H514&gt;0,I514/H514,0)</f>
        <v>0</v>
      </c>
      <c r="K514" t="str">
        <f t="shared" ref="K514:K577" si="104">TEXT(A514,"mmmm")</f>
        <v>January</v>
      </c>
      <c r="L514" t="str">
        <f t="shared" ref="L514:L577" si="105">"Q"&amp;ROUNDUP(MONTH(A514)/3,0)</f>
        <v>Q1</v>
      </c>
      <c r="M514" s="2">
        <f t="shared" ref="M514:M577" si="106">YEAR(A514)</f>
        <v>1900</v>
      </c>
      <c r="N514" t="str">
        <f ca="1">IF(COUNTIFS(A$2:A514,A514,O$2:O514,O514)&gt;1,"Repeat","New")</f>
        <v>New</v>
      </c>
      <c r="O514" s="2" t="e">
        <f t="shared" ca="1" si="96"/>
        <v>#VALUE!</v>
      </c>
      <c r="P514" s="3" t="e">
        <f t="shared" ca="1" si="97"/>
        <v>#VALUE!</v>
      </c>
      <c r="Q514" s="6" t="str">
        <f t="shared" si="98"/>
        <v>Jan-00</v>
      </c>
      <c r="R514" s="6" t="str">
        <f t="shared" si="99"/>
        <v>Q1</v>
      </c>
      <c r="S514" s="6">
        <f t="shared" si="100"/>
        <v>1900</v>
      </c>
      <c r="T514" s="6" t="str">
        <f t="shared" si="101"/>
        <v>Retail</v>
      </c>
    </row>
    <row r="515" spans="8:20" x14ac:dyDescent="0.3">
      <c r="H515">
        <f t="shared" ref="H515:H578" si="107">(E515*F515)*(1-G515)</f>
        <v>0</v>
      </c>
      <c r="I515">
        <f t="shared" si="102"/>
        <v>0</v>
      </c>
      <c r="J515">
        <f t="shared" si="103"/>
        <v>0</v>
      </c>
      <c r="K515" t="str">
        <f t="shared" si="104"/>
        <v>January</v>
      </c>
      <c r="L515" t="str">
        <f t="shared" si="105"/>
        <v>Q1</v>
      </c>
      <c r="M515" s="2">
        <f t="shared" si="106"/>
        <v>1900</v>
      </c>
      <c r="N515" t="str">
        <f ca="1">IF(COUNTIFS(A$2:A515,A515,O$2:O515,O515)&gt;1,"Repeat","New")</f>
        <v>New</v>
      </c>
      <c r="O515" s="2" t="e">
        <f t="shared" ca="1" si="96"/>
        <v>#VALUE!</v>
      </c>
      <c r="P515" s="3" t="e">
        <f t="shared" ca="1" si="97"/>
        <v>#VALUE!</v>
      </c>
      <c r="Q515" s="6" t="str">
        <f t="shared" si="98"/>
        <v>Jan-00</v>
      </c>
      <c r="R515" s="6" t="str">
        <f t="shared" si="99"/>
        <v>Q1</v>
      </c>
      <c r="S515" s="6">
        <f t="shared" si="100"/>
        <v>1900</v>
      </c>
      <c r="T515" s="6" t="str">
        <f t="shared" si="101"/>
        <v>Retail</v>
      </c>
    </row>
    <row r="516" spans="8:20" x14ac:dyDescent="0.3">
      <c r="H516">
        <f t="shared" si="107"/>
        <v>0</v>
      </c>
      <c r="I516">
        <f t="shared" si="102"/>
        <v>0</v>
      </c>
      <c r="J516">
        <f t="shared" si="103"/>
        <v>0</v>
      </c>
      <c r="K516" t="str">
        <f t="shared" si="104"/>
        <v>January</v>
      </c>
      <c r="L516" t="str">
        <f t="shared" si="105"/>
        <v>Q1</v>
      </c>
      <c r="M516" s="2">
        <f t="shared" si="106"/>
        <v>1900</v>
      </c>
      <c r="N516" t="str">
        <f ca="1">IF(COUNTIFS(A$2:A516,A516,O$2:O516,O516)&gt;1,"Repeat","New")</f>
        <v>New</v>
      </c>
      <c r="O516" s="2" t="e">
        <f t="shared" ca="1" si="96"/>
        <v>#VALUE!</v>
      </c>
      <c r="P516" s="3" t="e">
        <f t="shared" ca="1" si="97"/>
        <v>#VALUE!</v>
      </c>
      <c r="Q516" s="6" t="str">
        <f t="shared" si="98"/>
        <v>Jan-00</v>
      </c>
      <c r="R516" s="6" t="str">
        <f t="shared" si="99"/>
        <v>Q1</v>
      </c>
      <c r="S516" s="6">
        <f t="shared" si="100"/>
        <v>1900</v>
      </c>
      <c r="T516" s="6" t="str">
        <f t="shared" si="101"/>
        <v>Retail</v>
      </c>
    </row>
    <row r="517" spans="8:20" x14ac:dyDescent="0.3">
      <c r="H517">
        <f t="shared" si="107"/>
        <v>0</v>
      </c>
      <c r="I517">
        <f t="shared" si="102"/>
        <v>0</v>
      </c>
      <c r="J517">
        <f t="shared" si="103"/>
        <v>0</v>
      </c>
      <c r="K517" t="str">
        <f t="shared" si="104"/>
        <v>January</v>
      </c>
      <c r="L517" t="str">
        <f t="shared" si="105"/>
        <v>Q1</v>
      </c>
      <c r="M517" s="2">
        <f t="shared" si="106"/>
        <v>1900</v>
      </c>
      <c r="N517" t="str">
        <f ca="1">IF(COUNTIFS(A$2:A517,A517,O$2:O517,O517)&gt;1,"Repeat","New")</f>
        <v>New</v>
      </c>
      <c r="O517" s="2" t="e">
        <f t="shared" ca="1" si="96"/>
        <v>#VALUE!</v>
      </c>
      <c r="P517" s="3" t="e">
        <f t="shared" ca="1" si="97"/>
        <v>#VALUE!</v>
      </c>
      <c r="Q517" s="6" t="str">
        <f t="shared" si="98"/>
        <v>Jan-00</v>
      </c>
      <c r="R517" s="6" t="str">
        <f t="shared" si="99"/>
        <v>Q1</v>
      </c>
      <c r="S517" s="6">
        <f t="shared" si="100"/>
        <v>1900</v>
      </c>
      <c r="T517" s="6" t="str">
        <f t="shared" si="101"/>
        <v>Retail</v>
      </c>
    </row>
    <row r="518" spans="8:20" x14ac:dyDescent="0.3">
      <c r="H518">
        <f t="shared" si="107"/>
        <v>0</v>
      </c>
      <c r="I518">
        <f t="shared" si="102"/>
        <v>0</v>
      </c>
      <c r="J518">
        <f t="shared" si="103"/>
        <v>0</v>
      </c>
      <c r="K518" t="str">
        <f t="shared" si="104"/>
        <v>January</v>
      </c>
      <c r="L518" t="str">
        <f t="shared" si="105"/>
        <v>Q1</v>
      </c>
      <c r="M518" s="2">
        <f t="shared" si="106"/>
        <v>1900</v>
      </c>
      <c r="N518" t="str">
        <f ca="1">IF(COUNTIFS(A$2:A518,A518,O$2:O518,O518)&gt;1,"Repeat","New")</f>
        <v>New</v>
      </c>
      <c r="O518" s="2" t="e">
        <f t="shared" ca="1" si="96"/>
        <v>#VALUE!</v>
      </c>
      <c r="P518" s="3" t="e">
        <f t="shared" ca="1" si="97"/>
        <v>#VALUE!</v>
      </c>
      <c r="Q518" s="6" t="str">
        <f t="shared" si="98"/>
        <v>Jan-00</v>
      </c>
      <c r="R518" s="6" t="str">
        <f t="shared" si="99"/>
        <v>Q1</v>
      </c>
      <c r="S518" s="6">
        <f t="shared" si="100"/>
        <v>1900</v>
      </c>
      <c r="T518" s="6" t="str">
        <f t="shared" si="101"/>
        <v>Retail</v>
      </c>
    </row>
    <row r="519" spans="8:20" x14ac:dyDescent="0.3">
      <c r="H519">
        <f t="shared" si="107"/>
        <v>0</v>
      </c>
      <c r="I519">
        <f t="shared" si="102"/>
        <v>0</v>
      </c>
      <c r="J519">
        <f t="shared" si="103"/>
        <v>0</v>
      </c>
      <c r="K519" t="str">
        <f t="shared" si="104"/>
        <v>January</v>
      </c>
      <c r="L519" t="str">
        <f t="shared" si="105"/>
        <v>Q1</v>
      </c>
      <c r="M519" s="2">
        <f t="shared" si="106"/>
        <v>1900</v>
      </c>
      <c r="N519" t="str">
        <f ca="1">IF(COUNTIFS(A$2:A519,A519,O$2:O519,O519)&gt;1,"Repeat","New")</f>
        <v>New</v>
      </c>
      <c r="O519" s="2" t="e">
        <f t="shared" ca="1" si="96"/>
        <v>#VALUE!</v>
      </c>
      <c r="P519" s="3" t="e">
        <f t="shared" ca="1" si="97"/>
        <v>#VALUE!</v>
      </c>
      <c r="Q519" s="6" t="str">
        <f t="shared" si="98"/>
        <v>Jan-00</v>
      </c>
      <c r="R519" s="6" t="str">
        <f t="shared" si="99"/>
        <v>Q1</v>
      </c>
      <c r="S519" s="6">
        <f t="shared" si="100"/>
        <v>1900</v>
      </c>
      <c r="T519" s="6" t="str">
        <f t="shared" si="101"/>
        <v>Retail</v>
      </c>
    </row>
    <row r="520" spans="8:20" x14ac:dyDescent="0.3">
      <c r="H520">
        <f t="shared" si="107"/>
        <v>0</v>
      </c>
      <c r="I520">
        <f t="shared" si="102"/>
        <v>0</v>
      </c>
      <c r="J520">
        <f t="shared" si="103"/>
        <v>0</v>
      </c>
      <c r="K520" t="str">
        <f t="shared" si="104"/>
        <v>January</v>
      </c>
      <c r="L520" t="str">
        <f t="shared" si="105"/>
        <v>Q1</v>
      </c>
      <c r="M520" s="2">
        <f t="shared" si="106"/>
        <v>1900</v>
      </c>
      <c r="N520" t="str">
        <f ca="1">IF(COUNTIFS(A$2:A520,A520,O$2:O520,O520)&gt;1,"Repeat","New")</f>
        <v>New</v>
      </c>
      <c r="O520" s="2" t="e">
        <f t="shared" ca="1" si="96"/>
        <v>#VALUE!</v>
      </c>
      <c r="P520" s="3" t="e">
        <f t="shared" ca="1" si="97"/>
        <v>#VALUE!</v>
      </c>
      <c r="Q520" s="6" t="str">
        <f t="shared" si="98"/>
        <v>Jan-00</v>
      </c>
      <c r="R520" s="6" t="str">
        <f t="shared" si="99"/>
        <v>Q1</v>
      </c>
      <c r="S520" s="6">
        <f t="shared" si="100"/>
        <v>1900</v>
      </c>
      <c r="T520" s="6" t="str">
        <f t="shared" si="101"/>
        <v>Retail</v>
      </c>
    </row>
    <row r="521" spans="8:20" x14ac:dyDescent="0.3">
      <c r="H521">
        <f t="shared" si="107"/>
        <v>0</v>
      </c>
      <c r="I521">
        <f t="shared" si="102"/>
        <v>0</v>
      </c>
      <c r="J521">
        <f t="shared" si="103"/>
        <v>0</v>
      </c>
      <c r="K521" t="str">
        <f t="shared" si="104"/>
        <v>January</v>
      </c>
      <c r="L521" t="str">
        <f t="shared" si="105"/>
        <v>Q1</v>
      </c>
      <c r="M521" s="2">
        <f t="shared" si="106"/>
        <v>1900</v>
      </c>
      <c r="N521" t="str">
        <f ca="1">IF(COUNTIFS(A$2:A521,A521,O$2:O521,O521)&gt;1,"Repeat","New")</f>
        <v>New</v>
      </c>
      <c r="O521" s="2" t="e">
        <f t="shared" ca="1" si="96"/>
        <v>#VALUE!</v>
      </c>
      <c r="P521" s="3" t="e">
        <f t="shared" ca="1" si="97"/>
        <v>#VALUE!</v>
      </c>
      <c r="Q521" s="6" t="str">
        <f t="shared" si="98"/>
        <v>Jan-00</v>
      </c>
      <c r="R521" s="6" t="str">
        <f t="shared" si="99"/>
        <v>Q1</v>
      </c>
      <c r="S521" s="6">
        <f t="shared" si="100"/>
        <v>1900</v>
      </c>
      <c r="T521" s="6" t="str">
        <f t="shared" si="101"/>
        <v>Retail</v>
      </c>
    </row>
    <row r="522" spans="8:20" x14ac:dyDescent="0.3">
      <c r="H522">
        <f t="shared" si="107"/>
        <v>0</v>
      </c>
      <c r="I522">
        <f t="shared" si="102"/>
        <v>0</v>
      </c>
      <c r="J522">
        <f t="shared" si="103"/>
        <v>0</v>
      </c>
      <c r="K522" t="str">
        <f t="shared" si="104"/>
        <v>January</v>
      </c>
      <c r="L522" t="str">
        <f t="shared" si="105"/>
        <v>Q1</v>
      </c>
      <c r="M522" s="2">
        <f t="shared" si="106"/>
        <v>1900</v>
      </c>
      <c r="N522" t="str">
        <f ca="1">IF(COUNTIFS(A$2:A522,A522,O$2:O522,O522)&gt;1,"Repeat","New")</f>
        <v>New</v>
      </c>
      <c r="O522" s="2" t="e">
        <f t="shared" ca="1" si="96"/>
        <v>#VALUE!</v>
      </c>
      <c r="P522" s="3" t="e">
        <f t="shared" ca="1" si="97"/>
        <v>#VALUE!</v>
      </c>
      <c r="Q522" s="6" t="str">
        <f t="shared" si="98"/>
        <v>Jan-00</v>
      </c>
      <c r="R522" s="6" t="str">
        <f t="shared" si="99"/>
        <v>Q1</v>
      </c>
      <c r="S522" s="6">
        <f t="shared" si="100"/>
        <v>1900</v>
      </c>
      <c r="T522" s="6" t="str">
        <f t="shared" si="101"/>
        <v>Retail</v>
      </c>
    </row>
    <row r="523" spans="8:20" x14ac:dyDescent="0.3">
      <c r="H523">
        <f t="shared" si="107"/>
        <v>0</v>
      </c>
      <c r="I523">
        <f t="shared" si="102"/>
        <v>0</v>
      </c>
      <c r="J523">
        <f t="shared" si="103"/>
        <v>0</v>
      </c>
      <c r="K523" t="str">
        <f t="shared" si="104"/>
        <v>January</v>
      </c>
      <c r="L523" t="str">
        <f t="shared" si="105"/>
        <v>Q1</v>
      </c>
      <c r="M523" s="2">
        <f t="shared" si="106"/>
        <v>1900</v>
      </c>
      <c r="N523" t="str">
        <f ca="1">IF(COUNTIFS(A$2:A523,A523,O$2:O523,O523)&gt;1,"Repeat","New")</f>
        <v>New</v>
      </c>
      <c r="O523" s="2" t="e">
        <f t="shared" ca="1" si="96"/>
        <v>#VALUE!</v>
      </c>
      <c r="P523" s="3" t="e">
        <f t="shared" ca="1" si="97"/>
        <v>#VALUE!</v>
      </c>
      <c r="Q523" s="6" t="str">
        <f t="shared" si="98"/>
        <v>Jan-00</v>
      </c>
      <c r="R523" s="6" t="str">
        <f t="shared" si="99"/>
        <v>Q1</v>
      </c>
      <c r="S523" s="6">
        <f t="shared" si="100"/>
        <v>1900</v>
      </c>
      <c r="T523" s="6" t="str">
        <f t="shared" si="101"/>
        <v>Retail</v>
      </c>
    </row>
    <row r="524" spans="8:20" x14ac:dyDescent="0.3">
      <c r="H524">
        <f t="shared" si="107"/>
        <v>0</v>
      </c>
      <c r="I524">
        <f t="shared" si="102"/>
        <v>0</v>
      </c>
      <c r="J524">
        <f t="shared" si="103"/>
        <v>0</v>
      </c>
      <c r="K524" t="str">
        <f t="shared" si="104"/>
        <v>January</v>
      </c>
      <c r="L524" t="str">
        <f t="shared" si="105"/>
        <v>Q1</v>
      </c>
      <c r="M524" s="2">
        <f t="shared" si="106"/>
        <v>1900</v>
      </c>
      <c r="N524" t="str">
        <f ca="1">IF(COUNTIFS(A$2:A524,A524,O$2:O524,O524)&gt;1,"Repeat","New")</f>
        <v>New</v>
      </c>
      <c r="O524" s="2" t="e">
        <f t="shared" ca="1" si="96"/>
        <v>#VALUE!</v>
      </c>
      <c r="P524" s="3" t="e">
        <f t="shared" ca="1" si="97"/>
        <v>#VALUE!</v>
      </c>
      <c r="Q524" s="6" t="str">
        <f t="shared" si="98"/>
        <v>Jan-00</v>
      </c>
      <c r="R524" s="6" t="str">
        <f t="shared" si="99"/>
        <v>Q1</v>
      </c>
      <c r="S524" s="6">
        <f t="shared" si="100"/>
        <v>1900</v>
      </c>
      <c r="T524" s="6" t="str">
        <f t="shared" si="101"/>
        <v>Retail</v>
      </c>
    </row>
    <row r="525" spans="8:20" x14ac:dyDescent="0.3">
      <c r="H525">
        <f t="shared" si="107"/>
        <v>0</v>
      </c>
      <c r="I525">
        <f t="shared" si="102"/>
        <v>0</v>
      </c>
      <c r="J525">
        <f t="shared" si="103"/>
        <v>0</v>
      </c>
      <c r="K525" t="str">
        <f t="shared" si="104"/>
        <v>January</v>
      </c>
      <c r="L525" t="str">
        <f t="shared" si="105"/>
        <v>Q1</v>
      </c>
      <c r="M525" s="2">
        <f t="shared" si="106"/>
        <v>1900</v>
      </c>
      <c r="N525" t="str">
        <f ca="1">IF(COUNTIFS(A$2:A525,A525,O$2:O525,O525)&gt;1,"Repeat","New")</f>
        <v>New</v>
      </c>
      <c r="O525" s="2" t="e">
        <f t="shared" ca="1" si="96"/>
        <v>#VALUE!</v>
      </c>
      <c r="P525" s="3" t="e">
        <f t="shared" ca="1" si="97"/>
        <v>#VALUE!</v>
      </c>
      <c r="Q525" s="6" t="str">
        <f t="shared" si="98"/>
        <v>Jan-00</v>
      </c>
      <c r="R525" s="6" t="str">
        <f t="shared" si="99"/>
        <v>Q1</v>
      </c>
      <c r="S525" s="6">
        <f t="shared" si="100"/>
        <v>1900</v>
      </c>
      <c r="T525" s="6" t="str">
        <f t="shared" si="101"/>
        <v>Retail</v>
      </c>
    </row>
    <row r="526" spans="8:20" x14ac:dyDescent="0.3">
      <c r="H526">
        <f t="shared" si="107"/>
        <v>0</v>
      </c>
      <c r="I526">
        <f t="shared" si="102"/>
        <v>0</v>
      </c>
      <c r="J526">
        <f t="shared" si="103"/>
        <v>0</v>
      </c>
      <c r="K526" t="str">
        <f t="shared" si="104"/>
        <v>January</v>
      </c>
      <c r="L526" t="str">
        <f t="shared" si="105"/>
        <v>Q1</v>
      </c>
      <c r="M526" s="2">
        <f t="shared" si="106"/>
        <v>1900</v>
      </c>
      <c r="N526" t="str">
        <f ca="1">IF(COUNTIFS(A$2:A526,A526,O$2:O526,O526)&gt;1,"Repeat","New")</f>
        <v>New</v>
      </c>
      <c r="O526" s="2" t="e">
        <f t="shared" ca="1" si="96"/>
        <v>#VALUE!</v>
      </c>
      <c r="P526" s="3" t="e">
        <f t="shared" ca="1" si="97"/>
        <v>#VALUE!</v>
      </c>
      <c r="Q526" s="6" t="str">
        <f t="shared" si="98"/>
        <v>Jan-00</v>
      </c>
      <c r="R526" s="6" t="str">
        <f t="shared" si="99"/>
        <v>Q1</v>
      </c>
      <c r="S526" s="6">
        <f t="shared" si="100"/>
        <v>1900</v>
      </c>
      <c r="T526" s="6" t="str">
        <f t="shared" si="101"/>
        <v>Retail</v>
      </c>
    </row>
    <row r="527" spans="8:20" x14ac:dyDescent="0.3">
      <c r="H527">
        <f t="shared" si="107"/>
        <v>0</v>
      </c>
      <c r="I527">
        <f t="shared" si="102"/>
        <v>0</v>
      </c>
      <c r="J527">
        <f t="shared" si="103"/>
        <v>0</v>
      </c>
      <c r="K527" t="str">
        <f t="shared" si="104"/>
        <v>January</v>
      </c>
      <c r="L527" t="str">
        <f t="shared" si="105"/>
        <v>Q1</v>
      </c>
      <c r="M527" s="2">
        <f t="shared" si="106"/>
        <v>1900</v>
      </c>
      <c r="N527" t="str">
        <f ca="1">IF(COUNTIFS(A$2:A527,A527,O$2:O527,O527)&gt;1,"Repeat","New")</f>
        <v>New</v>
      </c>
      <c r="O527" s="2" t="e">
        <f t="shared" ca="1" si="96"/>
        <v>#VALUE!</v>
      </c>
      <c r="P527" s="3" t="e">
        <f t="shared" ca="1" si="97"/>
        <v>#VALUE!</v>
      </c>
      <c r="Q527" s="6" t="str">
        <f t="shared" si="98"/>
        <v>Jan-00</v>
      </c>
      <c r="R527" s="6" t="str">
        <f t="shared" si="99"/>
        <v>Q1</v>
      </c>
      <c r="S527" s="6">
        <f t="shared" si="100"/>
        <v>1900</v>
      </c>
      <c r="T527" s="6" t="str">
        <f t="shared" si="101"/>
        <v>Retail</v>
      </c>
    </row>
    <row r="528" spans="8:20" x14ac:dyDescent="0.3">
      <c r="H528">
        <f t="shared" si="107"/>
        <v>0</v>
      </c>
      <c r="I528">
        <f t="shared" si="102"/>
        <v>0</v>
      </c>
      <c r="J528">
        <f t="shared" si="103"/>
        <v>0</v>
      </c>
      <c r="K528" t="str">
        <f t="shared" si="104"/>
        <v>January</v>
      </c>
      <c r="L528" t="str">
        <f t="shared" si="105"/>
        <v>Q1</v>
      </c>
      <c r="M528" s="2">
        <f t="shared" si="106"/>
        <v>1900</v>
      </c>
      <c r="N528" t="str">
        <f ca="1">IF(COUNTIFS(A$2:A528,A528,O$2:O528,O528)&gt;1,"Repeat","New")</f>
        <v>New</v>
      </c>
      <c r="O528" s="2" t="e">
        <f t="shared" ca="1" si="96"/>
        <v>#VALUE!</v>
      </c>
      <c r="P528" s="3" t="e">
        <f t="shared" ca="1" si="97"/>
        <v>#VALUE!</v>
      </c>
      <c r="Q528" s="6" t="str">
        <f t="shared" si="98"/>
        <v>Jan-00</v>
      </c>
      <c r="R528" s="6" t="str">
        <f t="shared" si="99"/>
        <v>Q1</v>
      </c>
      <c r="S528" s="6">
        <f t="shared" si="100"/>
        <v>1900</v>
      </c>
      <c r="T528" s="6" t="str">
        <f t="shared" si="101"/>
        <v>Retail</v>
      </c>
    </row>
    <row r="529" spans="8:20" x14ac:dyDescent="0.3">
      <c r="H529">
        <f t="shared" si="107"/>
        <v>0</v>
      </c>
      <c r="I529">
        <f t="shared" si="102"/>
        <v>0</v>
      </c>
      <c r="J529">
        <f t="shared" si="103"/>
        <v>0</v>
      </c>
      <c r="K529" t="str">
        <f t="shared" si="104"/>
        <v>January</v>
      </c>
      <c r="L529" t="str">
        <f t="shared" si="105"/>
        <v>Q1</v>
      </c>
      <c r="M529" s="2">
        <f t="shared" si="106"/>
        <v>1900</v>
      </c>
      <c r="N529" t="str">
        <f ca="1">IF(COUNTIFS(A$2:A529,A529,O$2:O529,O529)&gt;1,"Repeat","New")</f>
        <v>New</v>
      </c>
      <c r="O529" s="2" t="e">
        <f t="shared" ca="1" si="96"/>
        <v>#VALUE!</v>
      </c>
      <c r="P529" s="3" t="e">
        <f t="shared" ca="1" si="97"/>
        <v>#VALUE!</v>
      </c>
      <c r="Q529" s="6" t="str">
        <f t="shared" si="98"/>
        <v>Jan-00</v>
      </c>
      <c r="R529" s="6" t="str">
        <f t="shared" si="99"/>
        <v>Q1</v>
      </c>
      <c r="S529" s="6">
        <f t="shared" si="100"/>
        <v>1900</v>
      </c>
      <c r="T529" s="6" t="str">
        <f t="shared" si="101"/>
        <v>Retail</v>
      </c>
    </row>
    <row r="530" spans="8:20" x14ac:dyDescent="0.3">
      <c r="H530">
        <f t="shared" si="107"/>
        <v>0</v>
      </c>
      <c r="I530">
        <f t="shared" si="102"/>
        <v>0</v>
      </c>
      <c r="J530">
        <f t="shared" si="103"/>
        <v>0</v>
      </c>
      <c r="K530" t="str">
        <f t="shared" si="104"/>
        <v>January</v>
      </c>
      <c r="L530" t="str">
        <f t="shared" si="105"/>
        <v>Q1</v>
      </c>
      <c r="M530" s="2">
        <f t="shared" si="106"/>
        <v>1900</v>
      </c>
      <c r="N530" t="str">
        <f ca="1">IF(COUNTIFS(A$2:A530,A530,O$2:O530,O530)&gt;1,"Repeat","New")</f>
        <v>New</v>
      </c>
      <c r="O530" s="2" t="e">
        <f t="shared" ca="1" si="96"/>
        <v>#VALUE!</v>
      </c>
      <c r="P530" s="3" t="e">
        <f t="shared" ca="1" si="97"/>
        <v>#VALUE!</v>
      </c>
      <c r="Q530" s="6" t="str">
        <f t="shared" si="98"/>
        <v>Jan-00</v>
      </c>
      <c r="R530" s="6" t="str">
        <f t="shared" si="99"/>
        <v>Q1</v>
      </c>
      <c r="S530" s="6">
        <f t="shared" si="100"/>
        <v>1900</v>
      </c>
      <c r="T530" s="6" t="str">
        <f t="shared" si="101"/>
        <v>Retail</v>
      </c>
    </row>
    <row r="531" spans="8:20" x14ac:dyDescent="0.3">
      <c r="H531">
        <f t="shared" si="107"/>
        <v>0</v>
      </c>
      <c r="I531">
        <f t="shared" si="102"/>
        <v>0</v>
      </c>
      <c r="J531">
        <f t="shared" si="103"/>
        <v>0</v>
      </c>
      <c r="K531" t="str">
        <f t="shared" si="104"/>
        <v>January</v>
      </c>
      <c r="L531" t="str">
        <f t="shared" si="105"/>
        <v>Q1</v>
      </c>
      <c r="M531" s="2">
        <f t="shared" si="106"/>
        <v>1900</v>
      </c>
      <c r="N531" t="str">
        <f ca="1">IF(COUNTIFS(A$2:A531,A531,O$2:O531,O531)&gt;1,"Repeat","New")</f>
        <v>New</v>
      </c>
      <c r="O531" s="2" t="e">
        <f t="shared" ca="1" si="96"/>
        <v>#VALUE!</v>
      </c>
      <c r="P531" s="3" t="e">
        <f t="shared" ca="1" si="97"/>
        <v>#VALUE!</v>
      </c>
      <c r="Q531" s="6" t="str">
        <f t="shared" si="98"/>
        <v>Jan-00</v>
      </c>
      <c r="R531" s="6" t="str">
        <f t="shared" si="99"/>
        <v>Q1</v>
      </c>
      <c r="S531" s="6">
        <f t="shared" si="100"/>
        <v>1900</v>
      </c>
      <c r="T531" s="6" t="str">
        <f t="shared" si="101"/>
        <v>Retail</v>
      </c>
    </row>
    <row r="532" spans="8:20" x14ac:dyDescent="0.3">
      <c r="H532">
        <f t="shared" si="107"/>
        <v>0</v>
      </c>
      <c r="I532">
        <f t="shared" si="102"/>
        <v>0</v>
      </c>
      <c r="J532">
        <f t="shared" si="103"/>
        <v>0</v>
      </c>
      <c r="K532" t="str">
        <f t="shared" si="104"/>
        <v>January</v>
      </c>
      <c r="L532" t="str">
        <f t="shared" si="105"/>
        <v>Q1</v>
      </c>
      <c r="M532" s="2">
        <f t="shared" si="106"/>
        <v>1900</v>
      </c>
      <c r="N532" t="str">
        <f ca="1">IF(COUNTIFS(A$2:A532,A532,O$2:O532,O532)&gt;1,"Repeat","New")</f>
        <v>New</v>
      </c>
      <c r="O532" s="2" t="e">
        <f t="shared" ca="1" si="96"/>
        <v>#VALUE!</v>
      </c>
      <c r="P532" s="3" t="e">
        <f t="shared" ca="1" si="97"/>
        <v>#VALUE!</v>
      </c>
      <c r="Q532" s="6" t="str">
        <f t="shared" si="98"/>
        <v>Jan-00</v>
      </c>
      <c r="R532" s="6" t="str">
        <f t="shared" si="99"/>
        <v>Q1</v>
      </c>
      <c r="S532" s="6">
        <f t="shared" si="100"/>
        <v>1900</v>
      </c>
      <c r="T532" s="6" t="str">
        <f t="shared" si="101"/>
        <v>Retail</v>
      </c>
    </row>
    <row r="533" spans="8:20" x14ac:dyDescent="0.3">
      <c r="H533">
        <f t="shared" si="107"/>
        <v>0</v>
      </c>
      <c r="I533">
        <f t="shared" si="102"/>
        <v>0</v>
      </c>
      <c r="J533">
        <f t="shared" si="103"/>
        <v>0</v>
      </c>
      <c r="K533" t="str">
        <f t="shared" si="104"/>
        <v>January</v>
      </c>
      <c r="L533" t="str">
        <f t="shared" si="105"/>
        <v>Q1</v>
      </c>
      <c r="M533" s="2">
        <f t="shared" si="106"/>
        <v>1900</v>
      </c>
      <c r="N533" t="str">
        <f ca="1">IF(COUNTIFS(A$2:A533,A533,O$2:O533,O533)&gt;1,"Repeat","New")</f>
        <v>New</v>
      </c>
      <c r="O533" s="2" t="e">
        <f t="shared" ca="1" si="96"/>
        <v>#VALUE!</v>
      </c>
      <c r="P533" s="3" t="e">
        <f t="shared" ca="1" si="97"/>
        <v>#VALUE!</v>
      </c>
      <c r="Q533" s="6" t="str">
        <f t="shared" si="98"/>
        <v>Jan-00</v>
      </c>
      <c r="R533" s="6" t="str">
        <f t="shared" si="99"/>
        <v>Q1</v>
      </c>
      <c r="S533" s="6">
        <f t="shared" si="100"/>
        <v>1900</v>
      </c>
      <c r="T533" s="6" t="str">
        <f t="shared" si="101"/>
        <v>Retail</v>
      </c>
    </row>
    <row r="534" spans="8:20" x14ac:dyDescent="0.3">
      <c r="H534">
        <f t="shared" si="107"/>
        <v>0</v>
      </c>
      <c r="I534">
        <f t="shared" si="102"/>
        <v>0</v>
      </c>
      <c r="J534">
        <f t="shared" si="103"/>
        <v>0</v>
      </c>
      <c r="K534" t="str">
        <f t="shared" si="104"/>
        <v>January</v>
      </c>
      <c r="L534" t="str">
        <f t="shared" si="105"/>
        <v>Q1</v>
      </c>
      <c r="M534" s="2">
        <f t="shared" si="106"/>
        <v>1900</v>
      </c>
      <c r="N534" t="str">
        <f ca="1">IF(COUNTIFS(A$2:A534,A534,O$2:O534,O534)&gt;1,"Repeat","New")</f>
        <v>New</v>
      </c>
      <c r="O534" s="2" t="e">
        <f t="shared" ca="1" si="96"/>
        <v>#VALUE!</v>
      </c>
      <c r="P534" s="3" t="e">
        <f t="shared" ca="1" si="97"/>
        <v>#VALUE!</v>
      </c>
      <c r="Q534" s="6" t="str">
        <f t="shared" si="98"/>
        <v>Jan-00</v>
      </c>
      <c r="R534" s="6" t="str">
        <f t="shared" si="99"/>
        <v>Q1</v>
      </c>
      <c r="S534" s="6">
        <f t="shared" si="100"/>
        <v>1900</v>
      </c>
      <c r="T534" s="6" t="str">
        <f t="shared" si="101"/>
        <v>Retail</v>
      </c>
    </row>
    <row r="535" spans="8:20" x14ac:dyDescent="0.3">
      <c r="H535">
        <f t="shared" si="107"/>
        <v>0</v>
      </c>
      <c r="I535">
        <f t="shared" si="102"/>
        <v>0</v>
      </c>
      <c r="J535">
        <f t="shared" si="103"/>
        <v>0</v>
      </c>
      <c r="K535" t="str">
        <f t="shared" si="104"/>
        <v>January</v>
      </c>
      <c r="L535" t="str">
        <f t="shared" si="105"/>
        <v>Q1</v>
      </c>
      <c r="M535" s="2">
        <f t="shared" si="106"/>
        <v>1900</v>
      </c>
      <c r="N535" t="str">
        <f ca="1">IF(COUNTIFS(A$2:A535,A535,O$2:O535,O535)&gt;1,"Repeat","New")</f>
        <v>New</v>
      </c>
      <c r="O535" s="2" t="e">
        <f t="shared" ca="1" si="96"/>
        <v>#VALUE!</v>
      </c>
      <c r="P535" s="3" t="e">
        <f t="shared" ca="1" si="97"/>
        <v>#VALUE!</v>
      </c>
      <c r="Q535" s="6" t="str">
        <f t="shared" si="98"/>
        <v>Jan-00</v>
      </c>
      <c r="R535" s="6" t="str">
        <f t="shared" si="99"/>
        <v>Q1</v>
      </c>
      <c r="S535" s="6">
        <f t="shared" si="100"/>
        <v>1900</v>
      </c>
      <c r="T535" s="6" t="str">
        <f t="shared" si="101"/>
        <v>Retail</v>
      </c>
    </row>
    <row r="536" spans="8:20" x14ac:dyDescent="0.3">
      <c r="H536">
        <f t="shared" si="107"/>
        <v>0</v>
      </c>
      <c r="I536">
        <f t="shared" si="102"/>
        <v>0</v>
      </c>
      <c r="J536">
        <f t="shared" si="103"/>
        <v>0</v>
      </c>
      <c r="K536" t="str">
        <f t="shared" si="104"/>
        <v>January</v>
      </c>
      <c r="L536" t="str">
        <f t="shared" si="105"/>
        <v>Q1</v>
      </c>
      <c r="M536" s="2">
        <f t="shared" si="106"/>
        <v>1900</v>
      </c>
      <c r="N536" t="str">
        <f ca="1">IF(COUNTIFS(A$2:A536,A536,O$2:O536,O536)&gt;1,"Repeat","New")</f>
        <v>New</v>
      </c>
      <c r="O536" s="2" t="e">
        <f t="shared" ca="1" si="96"/>
        <v>#VALUE!</v>
      </c>
      <c r="P536" s="3" t="e">
        <f t="shared" ca="1" si="97"/>
        <v>#VALUE!</v>
      </c>
      <c r="Q536" s="6" t="str">
        <f t="shared" si="98"/>
        <v>Jan-00</v>
      </c>
      <c r="R536" s="6" t="str">
        <f t="shared" si="99"/>
        <v>Q1</v>
      </c>
      <c r="S536" s="6">
        <f t="shared" si="100"/>
        <v>1900</v>
      </c>
      <c r="T536" s="6" t="str">
        <f t="shared" si="101"/>
        <v>Retail</v>
      </c>
    </row>
    <row r="537" spans="8:20" x14ac:dyDescent="0.3">
      <c r="H537">
        <f t="shared" si="107"/>
        <v>0</v>
      </c>
      <c r="I537">
        <f t="shared" si="102"/>
        <v>0</v>
      </c>
      <c r="J537">
        <f t="shared" si="103"/>
        <v>0</v>
      </c>
      <c r="K537" t="str">
        <f t="shared" si="104"/>
        <v>January</v>
      </c>
      <c r="L537" t="str">
        <f t="shared" si="105"/>
        <v>Q1</v>
      </c>
      <c r="M537" s="2">
        <f t="shared" si="106"/>
        <v>1900</v>
      </c>
      <c r="N537" t="str">
        <f ca="1">IF(COUNTIFS(A$2:A537,A537,O$2:O537,O537)&gt;1,"Repeat","New")</f>
        <v>New</v>
      </c>
      <c r="O537" s="2" t="e">
        <f t="shared" ca="1" si="96"/>
        <v>#VALUE!</v>
      </c>
      <c r="P537" s="3" t="e">
        <f t="shared" ca="1" si="97"/>
        <v>#VALUE!</v>
      </c>
      <c r="Q537" s="6" t="str">
        <f t="shared" si="98"/>
        <v>Jan-00</v>
      </c>
      <c r="R537" s="6" t="str">
        <f t="shared" si="99"/>
        <v>Q1</v>
      </c>
      <c r="S537" s="6">
        <f t="shared" si="100"/>
        <v>1900</v>
      </c>
      <c r="T537" s="6" t="str">
        <f t="shared" si="101"/>
        <v>Retail</v>
      </c>
    </row>
    <row r="538" spans="8:20" x14ac:dyDescent="0.3">
      <c r="H538">
        <f t="shared" si="107"/>
        <v>0</v>
      </c>
      <c r="I538">
        <f t="shared" si="102"/>
        <v>0</v>
      </c>
      <c r="J538">
        <f t="shared" si="103"/>
        <v>0</v>
      </c>
      <c r="K538" t="str">
        <f t="shared" si="104"/>
        <v>January</v>
      </c>
      <c r="L538" t="str">
        <f t="shared" si="105"/>
        <v>Q1</v>
      </c>
      <c r="M538" s="2">
        <f t="shared" si="106"/>
        <v>1900</v>
      </c>
      <c r="N538" t="str">
        <f ca="1">IF(COUNTIFS(A$2:A538,A538,O$2:O538,O538)&gt;1,"Repeat","New")</f>
        <v>New</v>
      </c>
      <c r="O538" s="2" t="e">
        <f t="shared" ca="1" si="96"/>
        <v>#VALUE!</v>
      </c>
      <c r="P538" s="3" t="e">
        <f t="shared" ca="1" si="97"/>
        <v>#VALUE!</v>
      </c>
      <c r="Q538" s="6" t="str">
        <f t="shared" si="98"/>
        <v>Jan-00</v>
      </c>
      <c r="R538" s="6" t="str">
        <f t="shared" si="99"/>
        <v>Q1</v>
      </c>
      <c r="S538" s="6">
        <f t="shared" si="100"/>
        <v>1900</v>
      </c>
      <c r="T538" s="6" t="str">
        <f t="shared" si="101"/>
        <v>Retail</v>
      </c>
    </row>
    <row r="539" spans="8:20" x14ac:dyDescent="0.3">
      <c r="H539">
        <f t="shared" si="107"/>
        <v>0</v>
      </c>
      <c r="I539">
        <f t="shared" si="102"/>
        <v>0</v>
      </c>
      <c r="J539">
        <f t="shared" si="103"/>
        <v>0</v>
      </c>
      <c r="K539" t="str">
        <f t="shared" si="104"/>
        <v>January</v>
      </c>
      <c r="L539" t="str">
        <f t="shared" si="105"/>
        <v>Q1</v>
      </c>
      <c r="M539" s="2">
        <f t="shared" si="106"/>
        <v>1900</v>
      </c>
      <c r="N539" t="str">
        <f ca="1">IF(COUNTIFS(A$2:A539,A539,O$2:O539,O539)&gt;1,"Repeat","New")</f>
        <v>New</v>
      </c>
      <c r="O539" s="2" t="e">
        <f t="shared" ca="1" si="96"/>
        <v>#VALUE!</v>
      </c>
      <c r="P539" s="3" t="e">
        <f t="shared" ca="1" si="97"/>
        <v>#VALUE!</v>
      </c>
      <c r="Q539" s="6" t="str">
        <f t="shared" si="98"/>
        <v>Jan-00</v>
      </c>
      <c r="R539" s="6" t="str">
        <f t="shared" si="99"/>
        <v>Q1</v>
      </c>
      <c r="S539" s="6">
        <f t="shared" si="100"/>
        <v>1900</v>
      </c>
      <c r="T539" s="6" t="str">
        <f t="shared" si="101"/>
        <v>Retail</v>
      </c>
    </row>
    <row r="540" spans="8:20" x14ac:dyDescent="0.3">
      <c r="H540">
        <f t="shared" si="107"/>
        <v>0</v>
      </c>
      <c r="I540">
        <f t="shared" si="102"/>
        <v>0</v>
      </c>
      <c r="J540">
        <f t="shared" si="103"/>
        <v>0</v>
      </c>
      <c r="K540" t="str">
        <f t="shared" si="104"/>
        <v>January</v>
      </c>
      <c r="L540" t="str">
        <f t="shared" si="105"/>
        <v>Q1</v>
      </c>
      <c r="M540" s="2">
        <f t="shared" si="106"/>
        <v>1900</v>
      </c>
      <c r="N540" t="str">
        <f ca="1">IF(COUNTIFS(A$2:A540,A540,O$2:O540,O540)&gt;1,"Repeat","New")</f>
        <v>New</v>
      </c>
      <c r="O540" s="2" t="e">
        <f t="shared" ca="1" si="96"/>
        <v>#VALUE!</v>
      </c>
      <c r="P540" s="3" t="e">
        <f t="shared" ca="1" si="97"/>
        <v>#VALUE!</v>
      </c>
      <c r="Q540" s="6" t="str">
        <f t="shared" si="98"/>
        <v>Jan-00</v>
      </c>
      <c r="R540" s="6" t="str">
        <f t="shared" si="99"/>
        <v>Q1</v>
      </c>
      <c r="S540" s="6">
        <f t="shared" si="100"/>
        <v>1900</v>
      </c>
      <c r="T540" s="6" t="str">
        <f t="shared" si="101"/>
        <v>Retail</v>
      </c>
    </row>
    <row r="541" spans="8:20" x14ac:dyDescent="0.3">
      <c r="H541">
        <f t="shared" si="107"/>
        <v>0</v>
      </c>
      <c r="I541">
        <f t="shared" si="102"/>
        <v>0</v>
      </c>
      <c r="J541">
        <f t="shared" si="103"/>
        <v>0</v>
      </c>
      <c r="K541" t="str">
        <f t="shared" si="104"/>
        <v>January</v>
      </c>
      <c r="L541" t="str">
        <f t="shared" si="105"/>
        <v>Q1</v>
      </c>
      <c r="M541" s="2">
        <f t="shared" si="106"/>
        <v>1900</v>
      </c>
      <c r="N541" t="str">
        <f ca="1">IF(COUNTIFS(A$2:A541,A541,O$2:O541,O541)&gt;1,"Repeat","New")</f>
        <v>New</v>
      </c>
      <c r="O541" s="2" t="e">
        <f t="shared" ca="1" si="96"/>
        <v>#VALUE!</v>
      </c>
      <c r="P541" s="3" t="e">
        <f t="shared" ca="1" si="97"/>
        <v>#VALUE!</v>
      </c>
      <c r="Q541" s="6" t="str">
        <f t="shared" si="98"/>
        <v>Jan-00</v>
      </c>
      <c r="R541" s="6" t="str">
        <f t="shared" si="99"/>
        <v>Q1</v>
      </c>
      <c r="S541" s="6">
        <f t="shared" si="100"/>
        <v>1900</v>
      </c>
      <c r="T541" s="6" t="str">
        <f t="shared" si="101"/>
        <v>Retail</v>
      </c>
    </row>
    <row r="542" spans="8:20" x14ac:dyDescent="0.3">
      <c r="H542">
        <f t="shared" si="107"/>
        <v>0</v>
      </c>
      <c r="I542">
        <f t="shared" si="102"/>
        <v>0</v>
      </c>
      <c r="J542">
        <f t="shared" si="103"/>
        <v>0</v>
      </c>
      <c r="K542" t="str">
        <f t="shared" si="104"/>
        <v>January</v>
      </c>
      <c r="L542" t="str">
        <f t="shared" si="105"/>
        <v>Q1</v>
      </c>
      <c r="M542" s="2">
        <f t="shared" si="106"/>
        <v>1900</v>
      </c>
      <c r="N542" t="str">
        <f ca="1">IF(COUNTIFS(A$2:A542,A542,O$2:O542,O542)&gt;1,"Repeat","New")</f>
        <v>New</v>
      </c>
      <c r="O542" s="2" t="e">
        <f t="shared" ca="1" si="96"/>
        <v>#VALUE!</v>
      </c>
      <c r="P542" s="3" t="e">
        <f t="shared" ca="1" si="97"/>
        <v>#VALUE!</v>
      </c>
      <c r="Q542" s="6" t="str">
        <f t="shared" si="98"/>
        <v>Jan-00</v>
      </c>
      <c r="R542" s="6" t="str">
        <f t="shared" si="99"/>
        <v>Q1</v>
      </c>
      <c r="S542" s="6">
        <f t="shared" si="100"/>
        <v>1900</v>
      </c>
      <c r="T542" s="6" t="str">
        <f t="shared" si="101"/>
        <v>Retail</v>
      </c>
    </row>
    <row r="543" spans="8:20" x14ac:dyDescent="0.3">
      <c r="H543">
        <f t="shared" si="107"/>
        <v>0</v>
      </c>
      <c r="I543">
        <f t="shared" si="102"/>
        <v>0</v>
      </c>
      <c r="J543">
        <f t="shared" si="103"/>
        <v>0</v>
      </c>
      <c r="K543" t="str">
        <f t="shared" si="104"/>
        <v>January</v>
      </c>
      <c r="L543" t="str">
        <f t="shared" si="105"/>
        <v>Q1</v>
      </c>
      <c r="M543" s="2">
        <f t="shared" si="106"/>
        <v>1900</v>
      </c>
      <c r="N543" t="str">
        <f ca="1">IF(COUNTIFS(A$2:A543,A543,O$2:O543,O543)&gt;1,"Repeat","New")</f>
        <v>New</v>
      </c>
      <c r="O543" s="2" t="e">
        <f t="shared" ca="1" si="96"/>
        <v>#VALUE!</v>
      </c>
      <c r="P543" s="3" t="e">
        <f t="shared" ca="1" si="97"/>
        <v>#VALUE!</v>
      </c>
      <c r="Q543" s="6" t="str">
        <f t="shared" si="98"/>
        <v>Jan-00</v>
      </c>
      <c r="R543" s="6" t="str">
        <f t="shared" si="99"/>
        <v>Q1</v>
      </c>
      <c r="S543" s="6">
        <f t="shared" si="100"/>
        <v>1900</v>
      </c>
      <c r="T543" s="6" t="str">
        <f t="shared" si="101"/>
        <v>Retail</v>
      </c>
    </row>
    <row r="544" spans="8:20" x14ac:dyDescent="0.3">
      <c r="H544">
        <f t="shared" si="107"/>
        <v>0</v>
      </c>
      <c r="I544">
        <f t="shared" si="102"/>
        <v>0</v>
      </c>
      <c r="J544">
        <f t="shared" si="103"/>
        <v>0</v>
      </c>
      <c r="K544" t="str">
        <f t="shared" si="104"/>
        <v>January</v>
      </c>
      <c r="L544" t="str">
        <f t="shared" si="105"/>
        <v>Q1</v>
      </c>
      <c r="M544" s="2">
        <f t="shared" si="106"/>
        <v>1900</v>
      </c>
      <c r="N544" t="str">
        <f ca="1">IF(COUNTIFS(A$2:A544,A544,O$2:O544,O544)&gt;1,"Repeat","New")</f>
        <v>New</v>
      </c>
      <c r="O544" s="2" t="e">
        <f t="shared" ca="1" si="96"/>
        <v>#VALUE!</v>
      </c>
      <c r="P544" s="3" t="e">
        <f t="shared" ca="1" si="97"/>
        <v>#VALUE!</v>
      </c>
      <c r="Q544" s="6" t="str">
        <f t="shared" si="98"/>
        <v>Jan-00</v>
      </c>
      <c r="R544" s="6" t="str">
        <f t="shared" si="99"/>
        <v>Q1</v>
      </c>
      <c r="S544" s="6">
        <f t="shared" si="100"/>
        <v>1900</v>
      </c>
      <c r="T544" s="6" t="str">
        <f t="shared" si="101"/>
        <v>Retail</v>
      </c>
    </row>
    <row r="545" spans="8:20" x14ac:dyDescent="0.3">
      <c r="H545">
        <f t="shared" si="107"/>
        <v>0</v>
      </c>
      <c r="I545">
        <f t="shared" si="102"/>
        <v>0</v>
      </c>
      <c r="J545">
        <f t="shared" si="103"/>
        <v>0</v>
      </c>
      <c r="K545" t="str">
        <f t="shared" si="104"/>
        <v>January</v>
      </c>
      <c r="L545" t="str">
        <f t="shared" si="105"/>
        <v>Q1</v>
      </c>
      <c r="M545" s="2">
        <f t="shared" si="106"/>
        <v>1900</v>
      </c>
      <c r="N545" t="str">
        <f ca="1">IF(COUNTIFS(A$2:A545,A545,O$2:O545,O545)&gt;1,"Repeat","New")</f>
        <v>New</v>
      </c>
      <c r="O545" s="2" t="e">
        <f t="shared" ca="1" si="96"/>
        <v>#VALUE!</v>
      </c>
      <c r="P545" s="3" t="e">
        <f t="shared" ca="1" si="97"/>
        <v>#VALUE!</v>
      </c>
      <c r="Q545" s="6" t="str">
        <f t="shared" si="98"/>
        <v>Jan-00</v>
      </c>
      <c r="R545" s="6" t="str">
        <f t="shared" si="99"/>
        <v>Q1</v>
      </c>
      <c r="S545" s="6">
        <f t="shared" si="100"/>
        <v>1900</v>
      </c>
      <c r="T545" s="6" t="str">
        <f t="shared" si="101"/>
        <v>Retail</v>
      </c>
    </row>
    <row r="546" spans="8:20" x14ac:dyDescent="0.3">
      <c r="H546">
        <f t="shared" si="107"/>
        <v>0</v>
      </c>
      <c r="I546">
        <f t="shared" si="102"/>
        <v>0</v>
      </c>
      <c r="J546">
        <f t="shared" si="103"/>
        <v>0</v>
      </c>
      <c r="K546" t="str">
        <f t="shared" si="104"/>
        <v>January</v>
      </c>
      <c r="L546" t="str">
        <f t="shared" si="105"/>
        <v>Q1</v>
      </c>
      <c r="M546" s="2">
        <f t="shared" si="106"/>
        <v>1900</v>
      </c>
      <c r="N546" t="str">
        <f ca="1">IF(COUNTIFS(A$2:A546,A546,O$2:O546,O546)&gt;1,"Repeat","New")</f>
        <v>New</v>
      </c>
      <c r="O546" s="2" t="e">
        <f t="shared" ca="1" si="96"/>
        <v>#VALUE!</v>
      </c>
      <c r="P546" s="3" t="e">
        <f t="shared" ca="1" si="97"/>
        <v>#VALUE!</v>
      </c>
      <c r="Q546" s="6" t="str">
        <f t="shared" si="98"/>
        <v>Jan-00</v>
      </c>
      <c r="R546" s="6" t="str">
        <f t="shared" si="99"/>
        <v>Q1</v>
      </c>
      <c r="S546" s="6">
        <f t="shared" si="100"/>
        <v>1900</v>
      </c>
      <c r="T546" s="6" t="str">
        <f t="shared" si="101"/>
        <v>Retail</v>
      </c>
    </row>
    <row r="547" spans="8:20" x14ac:dyDescent="0.3">
      <c r="H547">
        <f t="shared" si="107"/>
        <v>0</v>
      </c>
      <c r="I547">
        <f t="shared" si="102"/>
        <v>0</v>
      </c>
      <c r="J547">
        <f t="shared" si="103"/>
        <v>0</v>
      </c>
      <c r="K547" t="str">
        <f t="shared" si="104"/>
        <v>January</v>
      </c>
      <c r="L547" t="str">
        <f t="shared" si="105"/>
        <v>Q1</v>
      </c>
      <c r="M547" s="2">
        <f t="shared" si="106"/>
        <v>1900</v>
      </c>
      <c r="N547" t="str">
        <f ca="1">IF(COUNTIFS(A$2:A547,A547,O$2:O547,O547)&gt;1,"Repeat","New")</f>
        <v>New</v>
      </c>
      <c r="O547" s="2" t="e">
        <f t="shared" ca="1" si="96"/>
        <v>#VALUE!</v>
      </c>
      <c r="P547" s="3" t="e">
        <f t="shared" ca="1" si="97"/>
        <v>#VALUE!</v>
      </c>
      <c r="Q547" s="6" t="str">
        <f t="shared" si="98"/>
        <v>Jan-00</v>
      </c>
      <c r="R547" s="6" t="str">
        <f t="shared" si="99"/>
        <v>Q1</v>
      </c>
      <c r="S547" s="6">
        <f t="shared" si="100"/>
        <v>1900</v>
      </c>
      <c r="T547" s="6" t="str">
        <f t="shared" si="101"/>
        <v>Retail</v>
      </c>
    </row>
    <row r="548" spans="8:20" x14ac:dyDescent="0.3">
      <c r="H548">
        <f t="shared" si="107"/>
        <v>0</v>
      </c>
      <c r="I548">
        <f t="shared" si="102"/>
        <v>0</v>
      </c>
      <c r="J548">
        <f t="shared" si="103"/>
        <v>0</v>
      </c>
      <c r="K548" t="str">
        <f t="shared" si="104"/>
        <v>January</v>
      </c>
      <c r="L548" t="str">
        <f t="shared" si="105"/>
        <v>Q1</v>
      </c>
      <c r="M548" s="2">
        <f t="shared" si="106"/>
        <v>1900</v>
      </c>
      <c r="N548" t="str">
        <f ca="1">IF(COUNTIFS(A$2:A548,A548,O$2:O548,O548)&gt;1,"Repeat","New")</f>
        <v>New</v>
      </c>
      <c r="O548" s="2" t="e">
        <f t="shared" ca="1" si="96"/>
        <v>#VALUE!</v>
      </c>
      <c r="P548" s="3" t="e">
        <f t="shared" ca="1" si="97"/>
        <v>#VALUE!</v>
      </c>
      <c r="Q548" s="6" t="str">
        <f t="shared" si="98"/>
        <v>Jan-00</v>
      </c>
      <c r="R548" s="6" t="str">
        <f t="shared" si="99"/>
        <v>Q1</v>
      </c>
      <c r="S548" s="6">
        <f t="shared" si="100"/>
        <v>1900</v>
      </c>
      <c r="T548" s="6" t="str">
        <f t="shared" si="101"/>
        <v>Retail</v>
      </c>
    </row>
    <row r="549" spans="8:20" x14ac:dyDescent="0.3">
      <c r="H549">
        <f t="shared" si="107"/>
        <v>0</v>
      </c>
      <c r="I549">
        <f t="shared" si="102"/>
        <v>0</v>
      </c>
      <c r="J549">
        <f t="shared" si="103"/>
        <v>0</v>
      </c>
      <c r="K549" t="str">
        <f t="shared" si="104"/>
        <v>January</v>
      </c>
      <c r="L549" t="str">
        <f t="shared" si="105"/>
        <v>Q1</v>
      </c>
      <c r="M549" s="2">
        <f t="shared" si="106"/>
        <v>1900</v>
      </c>
      <c r="N549" t="str">
        <f ca="1">IF(COUNTIFS(A$2:A549,A549,O$2:O549,O549)&gt;1,"Repeat","New")</f>
        <v>New</v>
      </c>
      <c r="O549" s="2" t="e">
        <f t="shared" ca="1" si="96"/>
        <v>#VALUE!</v>
      </c>
      <c r="P549" s="3" t="e">
        <f t="shared" ca="1" si="97"/>
        <v>#VALUE!</v>
      </c>
      <c r="Q549" s="6" t="str">
        <f t="shared" si="98"/>
        <v>Jan-00</v>
      </c>
      <c r="R549" s="6" t="str">
        <f t="shared" si="99"/>
        <v>Q1</v>
      </c>
      <c r="S549" s="6">
        <f t="shared" si="100"/>
        <v>1900</v>
      </c>
      <c r="T549" s="6" t="str">
        <f t="shared" si="101"/>
        <v>Retail</v>
      </c>
    </row>
    <row r="550" spans="8:20" x14ac:dyDescent="0.3">
      <c r="H550">
        <f t="shared" si="107"/>
        <v>0</v>
      </c>
      <c r="I550">
        <f t="shared" si="102"/>
        <v>0</v>
      </c>
      <c r="J550">
        <f t="shared" si="103"/>
        <v>0</v>
      </c>
      <c r="K550" t="str">
        <f t="shared" si="104"/>
        <v>January</v>
      </c>
      <c r="L550" t="str">
        <f t="shared" si="105"/>
        <v>Q1</v>
      </c>
      <c r="M550" s="2">
        <f t="shared" si="106"/>
        <v>1900</v>
      </c>
      <c r="N550" t="str">
        <f ca="1">IF(COUNTIFS(A$2:A550,A550,O$2:O550,O550)&gt;1,"Repeat","New")</f>
        <v>New</v>
      </c>
      <c r="O550" s="2" t="e">
        <f t="shared" ca="1" si="96"/>
        <v>#VALUE!</v>
      </c>
      <c r="P550" s="3" t="e">
        <f t="shared" ca="1" si="97"/>
        <v>#VALUE!</v>
      </c>
      <c r="Q550" s="6" t="str">
        <f t="shared" si="98"/>
        <v>Jan-00</v>
      </c>
      <c r="R550" s="6" t="str">
        <f t="shared" si="99"/>
        <v>Q1</v>
      </c>
      <c r="S550" s="6">
        <f t="shared" si="100"/>
        <v>1900</v>
      </c>
      <c r="T550" s="6" t="str">
        <f t="shared" si="101"/>
        <v>Retail</v>
      </c>
    </row>
    <row r="551" spans="8:20" x14ac:dyDescent="0.3">
      <c r="H551">
        <f t="shared" si="107"/>
        <v>0</v>
      </c>
      <c r="I551">
        <f t="shared" si="102"/>
        <v>0</v>
      </c>
      <c r="J551">
        <f t="shared" si="103"/>
        <v>0</v>
      </c>
      <c r="K551" t="str">
        <f t="shared" si="104"/>
        <v>January</v>
      </c>
      <c r="L551" t="str">
        <f t="shared" si="105"/>
        <v>Q1</v>
      </c>
      <c r="M551" s="2">
        <f t="shared" si="106"/>
        <v>1900</v>
      </c>
      <c r="N551" t="str">
        <f ca="1">IF(COUNTIFS(A$2:A551,A551,O$2:O551,O551)&gt;1,"Repeat","New")</f>
        <v>New</v>
      </c>
      <c r="O551" s="2" t="e">
        <f t="shared" ca="1" si="96"/>
        <v>#VALUE!</v>
      </c>
      <c r="P551" s="3" t="e">
        <f t="shared" ca="1" si="97"/>
        <v>#VALUE!</v>
      </c>
      <c r="Q551" s="6" t="str">
        <f t="shared" si="98"/>
        <v>Jan-00</v>
      </c>
      <c r="R551" s="6" t="str">
        <f t="shared" si="99"/>
        <v>Q1</v>
      </c>
      <c r="S551" s="6">
        <f t="shared" si="100"/>
        <v>1900</v>
      </c>
      <c r="T551" s="6" t="str">
        <f t="shared" si="101"/>
        <v>Retail</v>
      </c>
    </row>
    <row r="552" spans="8:20" x14ac:dyDescent="0.3">
      <c r="H552">
        <f t="shared" si="107"/>
        <v>0</v>
      </c>
      <c r="I552">
        <f t="shared" si="102"/>
        <v>0</v>
      </c>
      <c r="J552">
        <f t="shared" si="103"/>
        <v>0</v>
      </c>
      <c r="K552" t="str">
        <f t="shared" si="104"/>
        <v>January</v>
      </c>
      <c r="L552" t="str">
        <f t="shared" si="105"/>
        <v>Q1</v>
      </c>
      <c r="M552" s="2">
        <f t="shared" si="106"/>
        <v>1900</v>
      </c>
      <c r="N552" t="str">
        <f ca="1">IF(COUNTIFS(A$2:A552,A552,O$2:O552,O552)&gt;1,"Repeat","New")</f>
        <v>New</v>
      </c>
      <c r="O552" s="2" t="e">
        <f t="shared" ca="1" si="96"/>
        <v>#VALUE!</v>
      </c>
      <c r="P552" s="3" t="e">
        <f t="shared" ca="1" si="97"/>
        <v>#VALUE!</v>
      </c>
      <c r="Q552" s="6" t="str">
        <f t="shared" si="98"/>
        <v>Jan-00</v>
      </c>
      <c r="R552" s="6" t="str">
        <f t="shared" si="99"/>
        <v>Q1</v>
      </c>
      <c r="S552" s="6">
        <f t="shared" si="100"/>
        <v>1900</v>
      </c>
      <c r="T552" s="6" t="str">
        <f t="shared" si="101"/>
        <v>Retail</v>
      </c>
    </row>
    <row r="553" spans="8:20" x14ac:dyDescent="0.3">
      <c r="H553">
        <f t="shared" si="107"/>
        <v>0</v>
      </c>
      <c r="I553">
        <f t="shared" si="102"/>
        <v>0</v>
      </c>
      <c r="J553">
        <f t="shared" si="103"/>
        <v>0</v>
      </c>
      <c r="K553" t="str">
        <f t="shared" si="104"/>
        <v>January</v>
      </c>
      <c r="L553" t="str">
        <f t="shared" si="105"/>
        <v>Q1</v>
      </c>
      <c r="M553" s="2">
        <f t="shared" si="106"/>
        <v>1900</v>
      </c>
      <c r="N553" t="str">
        <f ca="1">IF(COUNTIFS(A$2:A553,A553,O$2:O553,O553)&gt;1,"Repeat","New")</f>
        <v>New</v>
      </c>
      <c r="O553" s="2" t="e">
        <f t="shared" ca="1" si="96"/>
        <v>#VALUE!</v>
      </c>
      <c r="P553" s="3" t="e">
        <f t="shared" ca="1" si="97"/>
        <v>#VALUE!</v>
      </c>
      <c r="Q553" s="6" t="str">
        <f t="shared" si="98"/>
        <v>Jan-00</v>
      </c>
      <c r="R553" s="6" t="str">
        <f t="shared" si="99"/>
        <v>Q1</v>
      </c>
      <c r="S553" s="6">
        <f t="shared" si="100"/>
        <v>1900</v>
      </c>
      <c r="T553" s="6" t="str">
        <f t="shared" si="101"/>
        <v>Retail</v>
      </c>
    </row>
    <row r="554" spans="8:20" x14ac:dyDescent="0.3">
      <c r="H554">
        <f t="shared" si="107"/>
        <v>0</v>
      </c>
      <c r="I554">
        <f t="shared" si="102"/>
        <v>0</v>
      </c>
      <c r="J554">
        <f t="shared" si="103"/>
        <v>0</v>
      </c>
      <c r="K554" t="str">
        <f t="shared" si="104"/>
        <v>January</v>
      </c>
      <c r="L554" t="str">
        <f t="shared" si="105"/>
        <v>Q1</v>
      </c>
      <c r="M554" s="2">
        <f t="shared" si="106"/>
        <v>1900</v>
      </c>
      <c r="N554" t="str">
        <f ca="1">IF(COUNTIFS(A$2:A554,A554,O$2:O554,O554)&gt;1,"Repeat","New")</f>
        <v>New</v>
      </c>
      <c r="O554" s="2" t="e">
        <f t="shared" ca="1" si="96"/>
        <v>#VALUE!</v>
      </c>
      <c r="P554" s="3" t="e">
        <f t="shared" ca="1" si="97"/>
        <v>#VALUE!</v>
      </c>
      <c r="Q554" s="6" t="str">
        <f t="shared" si="98"/>
        <v>Jan-00</v>
      </c>
      <c r="R554" s="6" t="str">
        <f t="shared" si="99"/>
        <v>Q1</v>
      </c>
      <c r="S554" s="6">
        <f t="shared" si="100"/>
        <v>1900</v>
      </c>
      <c r="T554" s="6" t="str">
        <f t="shared" si="101"/>
        <v>Retail</v>
      </c>
    </row>
    <row r="555" spans="8:20" x14ac:dyDescent="0.3">
      <c r="H555">
        <f t="shared" si="107"/>
        <v>0</v>
      </c>
      <c r="I555">
        <f t="shared" si="102"/>
        <v>0</v>
      </c>
      <c r="J555">
        <f t="shared" si="103"/>
        <v>0</v>
      </c>
      <c r="K555" t="str">
        <f t="shared" si="104"/>
        <v>January</v>
      </c>
      <c r="L555" t="str">
        <f t="shared" si="105"/>
        <v>Q1</v>
      </c>
      <c r="M555" s="2">
        <f t="shared" si="106"/>
        <v>1900</v>
      </c>
      <c r="N555" t="str">
        <f ca="1">IF(COUNTIFS(A$2:A555,A555,O$2:O555,O555)&gt;1,"Repeat","New")</f>
        <v>New</v>
      </c>
      <c r="O555" s="2" t="e">
        <f t="shared" ca="1" si="96"/>
        <v>#VALUE!</v>
      </c>
      <c r="P555" s="3" t="e">
        <f t="shared" ca="1" si="97"/>
        <v>#VALUE!</v>
      </c>
      <c r="Q555" s="6" t="str">
        <f t="shared" si="98"/>
        <v>Jan-00</v>
      </c>
      <c r="R555" s="6" t="str">
        <f t="shared" si="99"/>
        <v>Q1</v>
      </c>
      <c r="S555" s="6">
        <f t="shared" si="100"/>
        <v>1900</v>
      </c>
      <c r="T555" s="6" t="str">
        <f t="shared" si="101"/>
        <v>Retail</v>
      </c>
    </row>
    <row r="556" spans="8:20" x14ac:dyDescent="0.3">
      <c r="H556">
        <f t="shared" si="107"/>
        <v>0</v>
      </c>
      <c r="I556">
        <f t="shared" si="102"/>
        <v>0</v>
      </c>
      <c r="J556">
        <f t="shared" si="103"/>
        <v>0</v>
      </c>
      <c r="K556" t="str">
        <f t="shared" si="104"/>
        <v>January</v>
      </c>
      <c r="L556" t="str">
        <f t="shared" si="105"/>
        <v>Q1</v>
      </c>
      <c r="M556" s="2">
        <f t="shared" si="106"/>
        <v>1900</v>
      </c>
      <c r="N556" t="str">
        <f ca="1">IF(COUNTIFS(A$2:A556,A556,O$2:O556,O556)&gt;1,"Repeat","New")</f>
        <v>New</v>
      </c>
      <c r="O556" s="2" t="e">
        <f t="shared" ca="1" si="96"/>
        <v>#VALUE!</v>
      </c>
      <c r="P556" s="3" t="e">
        <f t="shared" ca="1" si="97"/>
        <v>#VALUE!</v>
      </c>
      <c r="Q556" s="6" t="str">
        <f t="shared" si="98"/>
        <v>Jan-00</v>
      </c>
      <c r="R556" s="6" t="str">
        <f t="shared" si="99"/>
        <v>Q1</v>
      </c>
      <c r="S556" s="6">
        <f t="shared" si="100"/>
        <v>1900</v>
      </c>
      <c r="T556" s="6" t="str">
        <f t="shared" si="101"/>
        <v>Retail</v>
      </c>
    </row>
    <row r="557" spans="8:20" x14ac:dyDescent="0.3">
      <c r="H557">
        <f t="shared" si="107"/>
        <v>0</v>
      </c>
      <c r="I557">
        <f t="shared" si="102"/>
        <v>0</v>
      </c>
      <c r="J557">
        <f t="shared" si="103"/>
        <v>0</v>
      </c>
      <c r="K557" t="str">
        <f t="shared" si="104"/>
        <v>January</v>
      </c>
      <c r="L557" t="str">
        <f t="shared" si="105"/>
        <v>Q1</v>
      </c>
      <c r="M557" s="2">
        <f t="shared" si="106"/>
        <v>1900</v>
      </c>
      <c r="N557" t="str">
        <f ca="1">IF(COUNTIFS(A$2:A557,A557,O$2:O557,O557)&gt;1,"Repeat","New")</f>
        <v>New</v>
      </c>
      <c r="O557" s="2" t="e">
        <f t="shared" ca="1" si="96"/>
        <v>#VALUE!</v>
      </c>
      <c r="P557" s="3" t="e">
        <f t="shared" ca="1" si="97"/>
        <v>#VALUE!</v>
      </c>
      <c r="Q557" s="6" t="str">
        <f t="shared" si="98"/>
        <v>Jan-00</v>
      </c>
      <c r="R557" s="6" t="str">
        <f t="shared" si="99"/>
        <v>Q1</v>
      </c>
      <c r="S557" s="6">
        <f t="shared" si="100"/>
        <v>1900</v>
      </c>
      <c r="T557" s="6" t="str">
        <f t="shared" si="101"/>
        <v>Retail</v>
      </c>
    </row>
    <row r="558" spans="8:20" x14ac:dyDescent="0.3">
      <c r="H558">
        <f t="shared" si="107"/>
        <v>0</v>
      </c>
      <c r="I558">
        <f t="shared" si="102"/>
        <v>0</v>
      </c>
      <c r="J558">
        <f t="shared" si="103"/>
        <v>0</v>
      </c>
      <c r="K558" t="str">
        <f t="shared" si="104"/>
        <v>January</v>
      </c>
      <c r="L558" t="str">
        <f t="shared" si="105"/>
        <v>Q1</v>
      </c>
      <c r="M558" s="2">
        <f t="shared" si="106"/>
        <v>1900</v>
      </c>
      <c r="N558" t="str">
        <f ca="1">IF(COUNTIFS(A$2:A558,A558,O$2:O558,O558)&gt;1,"Repeat","New")</f>
        <v>New</v>
      </c>
      <c r="O558" s="2" t="e">
        <f t="shared" ca="1" si="96"/>
        <v>#VALUE!</v>
      </c>
      <c r="P558" s="3" t="e">
        <f t="shared" ca="1" si="97"/>
        <v>#VALUE!</v>
      </c>
      <c r="Q558" s="6" t="str">
        <f t="shared" si="98"/>
        <v>Jan-00</v>
      </c>
      <c r="R558" s="6" t="str">
        <f t="shared" si="99"/>
        <v>Q1</v>
      </c>
      <c r="S558" s="6">
        <f t="shared" si="100"/>
        <v>1900</v>
      </c>
      <c r="T558" s="6" t="str">
        <f t="shared" si="101"/>
        <v>Retail</v>
      </c>
    </row>
    <row r="559" spans="8:20" x14ac:dyDescent="0.3">
      <c r="H559">
        <f t="shared" si="107"/>
        <v>0</v>
      </c>
      <c r="I559">
        <f t="shared" si="102"/>
        <v>0</v>
      </c>
      <c r="J559">
        <f t="shared" si="103"/>
        <v>0</v>
      </c>
      <c r="K559" t="str">
        <f t="shared" si="104"/>
        <v>January</v>
      </c>
      <c r="L559" t="str">
        <f t="shared" si="105"/>
        <v>Q1</v>
      </c>
      <c r="M559" s="2">
        <f t="shared" si="106"/>
        <v>1900</v>
      </c>
      <c r="N559" t="str">
        <f ca="1">IF(COUNTIFS(A$2:A559,A559,O$2:O559,O559)&gt;1,"Repeat","New")</f>
        <v>New</v>
      </c>
      <c r="O559" s="2" t="e">
        <f t="shared" ca="1" si="96"/>
        <v>#VALUE!</v>
      </c>
      <c r="P559" s="3" t="e">
        <f t="shared" ca="1" si="97"/>
        <v>#VALUE!</v>
      </c>
      <c r="Q559" s="6" t="str">
        <f t="shared" si="98"/>
        <v>Jan-00</v>
      </c>
      <c r="R559" s="6" t="str">
        <f t="shared" si="99"/>
        <v>Q1</v>
      </c>
      <c r="S559" s="6">
        <f t="shared" si="100"/>
        <v>1900</v>
      </c>
      <c r="T559" s="6" t="str">
        <f t="shared" si="101"/>
        <v>Retail</v>
      </c>
    </row>
    <row r="560" spans="8:20" x14ac:dyDescent="0.3">
      <c r="H560">
        <f t="shared" si="107"/>
        <v>0</v>
      </c>
      <c r="I560">
        <f t="shared" si="102"/>
        <v>0</v>
      </c>
      <c r="J560">
        <f t="shared" si="103"/>
        <v>0</v>
      </c>
      <c r="K560" t="str">
        <f t="shared" si="104"/>
        <v>January</v>
      </c>
      <c r="L560" t="str">
        <f t="shared" si="105"/>
        <v>Q1</v>
      </c>
      <c r="M560" s="2">
        <f t="shared" si="106"/>
        <v>1900</v>
      </c>
      <c r="N560" t="str">
        <f ca="1">IF(COUNTIFS(A$2:A560,A560,O$2:O560,O560)&gt;1,"Repeat","New")</f>
        <v>New</v>
      </c>
      <c r="O560" s="2" t="e">
        <f t="shared" ca="1" si="96"/>
        <v>#VALUE!</v>
      </c>
      <c r="P560" s="3" t="e">
        <f t="shared" ca="1" si="97"/>
        <v>#VALUE!</v>
      </c>
      <c r="Q560" s="6" t="str">
        <f t="shared" si="98"/>
        <v>Jan-00</v>
      </c>
      <c r="R560" s="6" t="str">
        <f t="shared" si="99"/>
        <v>Q1</v>
      </c>
      <c r="S560" s="6">
        <f t="shared" si="100"/>
        <v>1900</v>
      </c>
      <c r="T560" s="6" t="str">
        <f t="shared" si="101"/>
        <v>Retail</v>
      </c>
    </row>
    <row r="561" spans="8:20" x14ac:dyDescent="0.3">
      <c r="H561">
        <f t="shared" si="107"/>
        <v>0</v>
      </c>
      <c r="I561">
        <f t="shared" si="102"/>
        <v>0</v>
      </c>
      <c r="J561">
        <f t="shared" si="103"/>
        <v>0</v>
      </c>
      <c r="K561" t="str">
        <f t="shared" si="104"/>
        <v>January</v>
      </c>
      <c r="L561" t="str">
        <f t="shared" si="105"/>
        <v>Q1</v>
      </c>
      <c r="M561" s="2">
        <f t="shared" si="106"/>
        <v>1900</v>
      </c>
      <c r="N561" t="str">
        <f ca="1">IF(COUNTIFS(A$2:A561,A561,O$2:O561,O561)&gt;1,"Repeat","New")</f>
        <v>New</v>
      </c>
      <c r="O561" s="2" t="e">
        <f t="shared" ca="1" si="96"/>
        <v>#VALUE!</v>
      </c>
      <c r="P561" s="3" t="e">
        <f t="shared" ca="1" si="97"/>
        <v>#VALUE!</v>
      </c>
      <c r="Q561" s="6" t="str">
        <f t="shared" si="98"/>
        <v>Jan-00</v>
      </c>
      <c r="R561" s="6" t="str">
        <f t="shared" si="99"/>
        <v>Q1</v>
      </c>
      <c r="S561" s="6">
        <f t="shared" si="100"/>
        <v>1900</v>
      </c>
      <c r="T561" s="6" t="str">
        <f t="shared" si="101"/>
        <v>Retail</v>
      </c>
    </row>
    <row r="562" spans="8:20" x14ac:dyDescent="0.3">
      <c r="H562">
        <f t="shared" si="107"/>
        <v>0</v>
      </c>
      <c r="I562">
        <f t="shared" si="102"/>
        <v>0</v>
      </c>
      <c r="J562">
        <f t="shared" si="103"/>
        <v>0</v>
      </c>
      <c r="K562" t="str">
        <f t="shared" si="104"/>
        <v>January</v>
      </c>
      <c r="L562" t="str">
        <f t="shared" si="105"/>
        <v>Q1</v>
      </c>
      <c r="M562" s="2">
        <f t="shared" si="106"/>
        <v>1900</v>
      </c>
      <c r="N562" t="str">
        <f ca="1">IF(COUNTIFS(A$2:A562,A562,O$2:O562,O562)&gt;1,"Repeat","New")</f>
        <v>New</v>
      </c>
      <c r="O562" s="2" t="e">
        <f t="shared" ca="1" si="96"/>
        <v>#VALUE!</v>
      </c>
      <c r="P562" s="3" t="e">
        <f t="shared" ca="1" si="97"/>
        <v>#VALUE!</v>
      </c>
      <c r="Q562" s="6" t="str">
        <f t="shared" si="98"/>
        <v>Jan-00</v>
      </c>
      <c r="R562" s="6" t="str">
        <f t="shared" si="99"/>
        <v>Q1</v>
      </c>
      <c r="S562" s="6">
        <f t="shared" si="100"/>
        <v>1900</v>
      </c>
      <c r="T562" s="6" t="str">
        <f t="shared" si="101"/>
        <v>Retail</v>
      </c>
    </row>
    <row r="563" spans="8:20" x14ac:dyDescent="0.3">
      <c r="H563">
        <f t="shared" si="107"/>
        <v>0</v>
      </c>
      <c r="I563">
        <f t="shared" si="102"/>
        <v>0</v>
      </c>
      <c r="J563">
        <f t="shared" si="103"/>
        <v>0</v>
      </c>
      <c r="K563" t="str">
        <f t="shared" si="104"/>
        <v>January</v>
      </c>
      <c r="L563" t="str">
        <f t="shared" si="105"/>
        <v>Q1</v>
      </c>
      <c r="M563" s="2">
        <f t="shared" si="106"/>
        <v>1900</v>
      </c>
      <c r="N563" t="str">
        <f ca="1">IF(COUNTIFS(A$2:A563,A563,O$2:O563,O563)&gt;1,"Repeat","New")</f>
        <v>New</v>
      </c>
      <c r="O563" s="2" t="e">
        <f t="shared" ca="1" si="96"/>
        <v>#VALUE!</v>
      </c>
      <c r="P563" s="3" t="e">
        <f t="shared" ca="1" si="97"/>
        <v>#VALUE!</v>
      </c>
      <c r="Q563" s="6" t="str">
        <f t="shared" si="98"/>
        <v>Jan-00</v>
      </c>
      <c r="R563" s="6" t="str">
        <f t="shared" si="99"/>
        <v>Q1</v>
      </c>
      <c r="S563" s="6">
        <f t="shared" si="100"/>
        <v>1900</v>
      </c>
      <c r="T563" s="6" t="str">
        <f t="shared" si="101"/>
        <v>Retail</v>
      </c>
    </row>
    <row r="564" spans="8:20" x14ac:dyDescent="0.3">
      <c r="H564">
        <f t="shared" si="107"/>
        <v>0</v>
      </c>
      <c r="I564">
        <f t="shared" si="102"/>
        <v>0</v>
      </c>
      <c r="J564">
        <f t="shared" si="103"/>
        <v>0</v>
      </c>
      <c r="K564" t="str">
        <f t="shared" si="104"/>
        <v>January</v>
      </c>
      <c r="L564" t="str">
        <f t="shared" si="105"/>
        <v>Q1</v>
      </c>
      <c r="M564" s="2">
        <f t="shared" si="106"/>
        <v>1900</v>
      </c>
      <c r="N564" t="str">
        <f ca="1">IF(COUNTIFS(A$2:A564,A564,O$2:O564,O564)&gt;1,"Repeat","New")</f>
        <v>New</v>
      </c>
      <c r="O564" s="2" t="e">
        <f t="shared" ca="1" si="96"/>
        <v>#VALUE!</v>
      </c>
      <c r="P564" s="3" t="e">
        <f t="shared" ca="1" si="97"/>
        <v>#VALUE!</v>
      </c>
      <c r="Q564" s="6" t="str">
        <f t="shared" si="98"/>
        <v>Jan-00</v>
      </c>
      <c r="R564" s="6" t="str">
        <f t="shared" si="99"/>
        <v>Q1</v>
      </c>
      <c r="S564" s="6">
        <f t="shared" si="100"/>
        <v>1900</v>
      </c>
      <c r="T564" s="6" t="str">
        <f t="shared" si="101"/>
        <v>Retail</v>
      </c>
    </row>
    <row r="565" spans="8:20" x14ac:dyDescent="0.3">
      <c r="H565">
        <f t="shared" si="107"/>
        <v>0</v>
      </c>
      <c r="I565">
        <f t="shared" si="102"/>
        <v>0</v>
      </c>
      <c r="J565">
        <f t="shared" si="103"/>
        <v>0</v>
      </c>
      <c r="K565" t="str">
        <f t="shared" si="104"/>
        <v>January</v>
      </c>
      <c r="L565" t="str">
        <f t="shared" si="105"/>
        <v>Q1</v>
      </c>
      <c r="M565" s="2">
        <f t="shared" si="106"/>
        <v>1900</v>
      </c>
      <c r="N565" t="str">
        <f ca="1">IF(COUNTIFS(A$2:A565,A565,O$2:O565,O565)&gt;1,"Repeat","New")</f>
        <v>New</v>
      </c>
      <c r="O565" s="2" t="e">
        <f t="shared" ca="1" si="96"/>
        <v>#VALUE!</v>
      </c>
      <c r="P565" s="3" t="e">
        <f t="shared" ca="1" si="97"/>
        <v>#VALUE!</v>
      </c>
      <c r="Q565" s="6" t="str">
        <f t="shared" si="98"/>
        <v>Jan-00</v>
      </c>
      <c r="R565" s="6" t="str">
        <f t="shared" si="99"/>
        <v>Q1</v>
      </c>
      <c r="S565" s="6">
        <f t="shared" si="100"/>
        <v>1900</v>
      </c>
      <c r="T565" s="6" t="str">
        <f t="shared" si="101"/>
        <v>Retail</v>
      </c>
    </row>
    <row r="566" spans="8:20" x14ac:dyDescent="0.3">
      <c r="H566">
        <f t="shared" si="107"/>
        <v>0</v>
      </c>
      <c r="I566">
        <f t="shared" si="102"/>
        <v>0</v>
      </c>
      <c r="J566">
        <f t="shared" si="103"/>
        <v>0</v>
      </c>
      <c r="K566" t="str">
        <f t="shared" si="104"/>
        <v>January</v>
      </c>
      <c r="L566" t="str">
        <f t="shared" si="105"/>
        <v>Q1</v>
      </c>
      <c r="M566" s="2">
        <f t="shared" si="106"/>
        <v>1900</v>
      </c>
      <c r="N566" t="str">
        <f ca="1">IF(COUNTIFS(A$2:A566,A566,O$2:O566,O566)&gt;1,"Repeat","New")</f>
        <v>New</v>
      </c>
      <c r="O566" s="2" t="e">
        <f t="shared" ref="O566:O629" ca="1" si="108">M566-N566</f>
        <v>#VALUE!</v>
      </c>
      <c r="P566" s="3" t="e">
        <f t="shared" ref="P566:P629" ca="1" si="109">IF(M566&gt;0,O566/M566,0)</f>
        <v>#VALUE!</v>
      </c>
      <c r="Q566" s="6" t="str">
        <f t="shared" ref="Q566:Q629" si="110">TEXT(B566, "mmm-yy")</f>
        <v>Jan-00</v>
      </c>
      <c r="R566" s="6" t="str">
        <f t="shared" ref="R566:R629" si="111">"Q"&amp;INT((MONTH(B566)-1)/3)+1</f>
        <v>Q1</v>
      </c>
      <c r="S566" s="6">
        <f t="shared" ref="S566:S629" si="112">YEAR(B566)</f>
        <v>1900</v>
      </c>
      <c r="T566" s="6" t="str">
        <f t="shared" ref="T566:T629" si="113">IF(M566&gt;5000, "Enterprise", "Retail")</f>
        <v>Retail</v>
      </c>
    </row>
    <row r="567" spans="8:20" x14ac:dyDescent="0.3">
      <c r="H567">
        <f t="shared" si="107"/>
        <v>0</v>
      </c>
      <c r="I567">
        <f t="shared" si="102"/>
        <v>0</v>
      </c>
      <c r="J567">
        <f t="shared" si="103"/>
        <v>0</v>
      </c>
      <c r="K567" t="str">
        <f t="shared" si="104"/>
        <v>January</v>
      </c>
      <c r="L567" t="str">
        <f t="shared" si="105"/>
        <v>Q1</v>
      </c>
      <c r="M567" s="2">
        <f t="shared" si="106"/>
        <v>1900</v>
      </c>
      <c r="N567" t="str">
        <f ca="1">IF(COUNTIFS(A$2:A567,A567,O$2:O567,O567)&gt;1,"Repeat","New")</f>
        <v>New</v>
      </c>
      <c r="O567" s="2" t="e">
        <f t="shared" ca="1" si="108"/>
        <v>#VALUE!</v>
      </c>
      <c r="P567" s="3" t="e">
        <f t="shared" ca="1" si="109"/>
        <v>#VALUE!</v>
      </c>
      <c r="Q567" s="6" t="str">
        <f t="shared" si="110"/>
        <v>Jan-00</v>
      </c>
      <c r="R567" s="6" t="str">
        <f t="shared" si="111"/>
        <v>Q1</v>
      </c>
      <c r="S567" s="6">
        <f t="shared" si="112"/>
        <v>1900</v>
      </c>
      <c r="T567" s="6" t="str">
        <f t="shared" si="113"/>
        <v>Retail</v>
      </c>
    </row>
    <row r="568" spans="8:20" x14ac:dyDescent="0.3">
      <c r="H568">
        <f t="shared" si="107"/>
        <v>0</v>
      </c>
      <c r="I568">
        <f t="shared" si="102"/>
        <v>0</v>
      </c>
      <c r="J568">
        <f t="shared" si="103"/>
        <v>0</v>
      </c>
      <c r="K568" t="str">
        <f t="shared" si="104"/>
        <v>January</v>
      </c>
      <c r="L568" t="str">
        <f t="shared" si="105"/>
        <v>Q1</v>
      </c>
      <c r="M568" s="2">
        <f t="shared" si="106"/>
        <v>1900</v>
      </c>
      <c r="N568" t="str">
        <f ca="1">IF(COUNTIFS(A$2:A568,A568,O$2:O568,O568)&gt;1,"Repeat","New")</f>
        <v>New</v>
      </c>
      <c r="O568" s="2" t="e">
        <f t="shared" ca="1" si="108"/>
        <v>#VALUE!</v>
      </c>
      <c r="P568" s="3" t="e">
        <f t="shared" ca="1" si="109"/>
        <v>#VALUE!</v>
      </c>
      <c r="Q568" s="6" t="str">
        <f t="shared" si="110"/>
        <v>Jan-00</v>
      </c>
      <c r="R568" s="6" t="str">
        <f t="shared" si="111"/>
        <v>Q1</v>
      </c>
      <c r="S568" s="6">
        <f t="shared" si="112"/>
        <v>1900</v>
      </c>
      <c r="T568" s="6" t="str">
        <f t="shared" si="113"/>
        <v>Retail</v>
      </c>
    </row>
    <row r="569" spans="8:20" x14ac:dyDescent="0.3">
      <c r="H569">
        <f t="shared" si="107"/>
        <v>0</v>
      </c>
      <c r="I569">
        <f t="shared" si="102"/>
        <v>0</v>
      </c>
      <c r="J569">
        <f t="shared" si="103"/>
        <v>0</v>
      </c>
      <c r="K569" t="str">
        <f t="shared" si="104"/>
        <v>January</v>
      </c>
      <c r="L569" t="str">
        <f t="shared" si="105"/>
        <v>Q1</v>
      </c>
      <c r="M569" s="2">
        <f t="shared" si="106"/>
        <v>1900</v>
      </c>
      <c r="N569" t="str">
        <f ca="1">IF(COUNTIFS(A$2:A569,A569,O$2:O569,O569)&gt;1,"Repeat","New")</f>
        <v>New</v>
      </c>
      <c r="O569" s="2" t="e">
        <f t="shared" ca="1" si="108"/>
        <v>#VALUE!</v>
      </c>
      <c r="P569" s="3" t="e">
        <f t="shared" ca="1" si="109"/>
        <v>#VALUE!</v>
      </c>
      <c r="Q569" s="6" t="str">
        <f t="shared" si="110"/>
        <v>Jan-00</v>
      </c>
      <c r="R569" s="6" t="str">
        <f t="shared" si="111"/>
        <v>Q1</v>
      </c>
      <c r="S569" s="6">
        <f t="shared" si="112"/>
        <v>1900</v>
      </c>
      <c r="T569" s="6" t="str">
        <f t="shared" si="113"/>
        <v>Retail</v>
      </c>
    </row>
    <row r="570" spans="8:20" x14ac:dyDescent="0.3">
      <c r="H570">
        <f t="shared" si="107"/>
        <v>0</v>
      </c>
      <c r="I570">
        <f t="shared" si="102"/>
        <v>0</v>
      </c>
      <c r="J570">
        <f t="shared" si="103"/>
        <v>0</v>
      </c>
      <c r="K570" t="str">
        <f t="shared" si="104"/>
        <v>January</v>
      </c>
      <c r="L570" t="str">
        <f t="shared" si="105"/>
        <v>Q1</v>
      </c>
      <c r="M570" s="2">
        <f t="shared" si="106"/>
        <v>1900</v>
      </c>
      <c r="N570" t="str">
        <f ca="1">IF(COUNTIFS(A$2:A570,A570,O$2:O570,O570)&gt;1,"Repeat","New")</f>
        <v>New</v>
      </c>
      <c r="O570" s="2" t="e">
        <f t="shared" ca="1" si="108"/>
        <v>#VALUE!</v>
      </c>
      <c r="P570" s="3" t="e">
        <f t="shared" ca="1" si="109"/>
        <v>#VALUE!</v>
      </c>
      <c r="Q570" s="6" t="str">
        <f t="shared" si="110"/>
        <v>Jan-00</v>
      </c>
      <c r="R570" s="6" t="str">
        <f t="shared" si="111"/>
        <v>Q1</v>
      </c>
      <c r="S570" s="6">
        <f t="shared" si="112"/>
        <v>1900</v>
      </c>
      <c r="T570" s="6" t="str">
        <f t="shared" si="113"/>
        <v>Retail</v>
      </c>
    </row>
    <row r="571" spans="8:20" x14ac:dyDescent="0.3">
      <c r="H571">
        <f t="shared" si="107"/>
        <v>0</v>
      </c>
      <c r="I571">
        <f t="shared" si="102"/>
        <v>0</v>
      </c>
      <c r="J571">
        <f t="shared" si="103"/>
        <v>0</v>
      </c>
      <c r="K571" t="str">
        <f t="shared" si="104"/>
        <v>January</v>
      </c>
      <c r="L571" t="str">
        <f t="shared" si="105"/>
        <v>Q1</v>
      </c>
      <c r="M571" s="2">
        <f t="shared" si="106"/>
        <v>1900</v>
      </c>
      <c r="N571" t="str">
        <f ca="1">IF(COUNTIFS(A$2:A571,A571,O$2:O571,O571)&gt;1,"Repeat","New")</f>
        <v>New</v>
      </c>
      <c r="O571" s="2" t="e">
        <f t="shared" ca="1" si="108"/>
        <v>#VALUE!</v>
      </c>
      <c r="P571" s="3" t="e">
        <f t="shared" ca="1" si="109"/>
        <v>#VALUE!</v>
      </c>
      <c r="Q571" s="6" t="str">
        <f t="shared" si="110"/>
        <v>Jan-00</v>
      </c>
      <c r="R571" s="6" t="str">
        <f t="shared" si="111"/>
        <v>Q1</v>
      </c>
      <c r="S571" s="6">
        <f t="shared" si="112"/>
        <v>1900</v>
      </c>
      <c r="T571" s="6" t="str">
        <f t="shared" si="113"/>
        <v>Retail</v>
      </c>
    </row>
    <row r="572" spans="8:20" x14ac:dyDescent="0.3">
      <c r="H572">
        <f t="shared" si="107"/>
        <v>0</v>
      </c>
      <c r="I572">
        <f t="shared" si="102"/>
        <v>0</v>
      </c>
      <c r="J572">
        <f t="shared" si="103"/>
        <v>0</v>
      </c>
      <c r="K572" t="str">
        <f t="shared" si="104"/>
        <v>January</v>
      </c>
      <c r="L572" t="str">
        <f t="shared" si="105"/>
        <v>Q1</v>
      </c>
      <c r="M572" s="2">
        <f t="shared" si="106"/>
        <v>1900</v>
      </c>
      <c r="N572" t="str">
        <f ca="1">IF(COUNTIFS(A$2:A572,A572,O$2:O572,O572)&gt;1,"Repeat","New")</f>
        <v>New</v>
      </c>
      <c r="O572" s="2" t="e">
        <f t="shared" ca="1" si="108"/>
        <v>#VALUE!</v>
      </c>
      <c r="P572" s="3" t="e">
        <f t="shared" ca="1" si="109"/>
        <v>#VALUE!</v>
      </c>
      <c r="Q572" s="6" t="str">
        <f t="shared" si="110"/>
        <v>Jan-00</v>
      </c>
      <c r="R572" s="6" t="str">
        <f t="shared" si="111"/>
        <v>Q1</v>
      </c>
      <c r="S572" s="6">
        <f t="shared" si="112"/>
        <v>1900</v>
      </c>
      <c r="T572" s="6" t="str">
        <f t="shared" si="113"/>
        <v>Retail</v>
      </c>
    </row>
    <row r="573" spans="8:20" x14ac:dyDescent="0.3">
      <c r="H573">
        <f t="shared" si="107"/>
        <v>0</v>
      </c>
      <c r="I573">
        <f t="shared" si="102"/>
        <v>0</v>
      </c>
      <c r="J573">
        <f t="shared" si="103"/>
        <v>0</v>
      </c>
      <c r="K573" t="str">
        <f t="shared" si="104"/>
        <v>January</v>
      </c>
      <c r="L573" t="str">
        <f t="shared" si="105"/>
        <v>Q1</v>
      </c>
      <c r="M573" s="2">
        <f t="shared" si="106"/>
        <v>1900</v>
      </c>
      <c r="N573" t="str">
        <f ca="1">IF(COUNTIFS(A$2:A573,A573,O$2:O573,O573)&gt;1,"Repeat","New")</f>
        <v>New</v>
      </c>
      <c r="O573" s="2" t="e">
        <f t="shared" ca="1" si="108"/>
        <v>#VALUE!</v>
      </c>
      <c r="P573" s="3" t="e">
        <f t="shared" ca="1" si="109"/>
        <v>#VALUE!</v>
      </c>
      <c r="Q573" s="6" t="str">
        <f t="shared" si="110"/>
        <v>Jan-00</v>
      </c>
      <c r="R573" s="6" t="str">
        <f t="shared" si="111"/>
        <v>Q1</v>
      </c>
      <c r="S573" s="6">
        <f t="shared" si="112"/>
        <v>1900</v>
      </c>
      <c r="T573" s="6" t="str">
        <f t="shared" si="113"/>
        <v>Retail</v>
      </c>
    </row>
    <row r="574" spans="8:20" x14ac:dyDescent="0.3">
      <c r="H574">
        <f t="shared" si="107"/>
        <v>0</v>
      </c>
      <c r="I574">
        <f t="shared" si="102"/>
        <v>0</v>
      </c>
      <c r="J574">
        <f t="shared" si="103"/>
        <v>0</v>
      </c>
      <c r="K574" t="str">
        <f t="shared" si="104"/>
        <v>January</v>
      </c>
      <c r="L574" t="str">
        <f t="shared" si="105"/>
        <v>Q1</v>
      </c>
      <c r="M574" s="2">
        <f t="shared" si="106"/>
        <v>1900</v>
      </c>
      <c r="N574" t="str">
        <f ca="1">IF(COUNTIFS(A$2:A574,A574,O$2:O574,O574)&gt;1,"Repeat","New")</f>
        <v>New</v>
      </c>
      <c r="O574" s="2" t="e">
        <f t="shared" ca="1" si="108"/>
        <v>#VALUE!</v>
      </c>
      <c r="P574" s="3" t="e">
        <f t="shared" ca="1" si="109"/>
        <v>#VALUE!</v>
      </c>
      <c r="Q574" s="6" t="str">
        <f t="shared" si="110"/>
        <v>Jan-00</v>
      </c>
      <c r="R574" s="6" t="str">
        <f t="shared" si="111"/>
        <v>Q1</v>
      </c>
      <c r="S574" s="6">
        <f t="shared" si="112"/>
        <v>1900</v>
      </c>
      <c r="T574" s="6" t="str">
        <f t="shared" si="113"/>
        <v>Retail</v>
      </c>
    </row>
    <row r="575" spans="8:20" x14ac:dyDescent="0.3">
      <c r="H575">
        <f t="shared" si="107"/>
        <v>0</v>
      </c>
      <c r="I575">
        <f t="shared" si="102"/>
        <v>0</v>
      </c>
      <c r="J575">
        <f t="shared" si="103"/>
        <v>0</v>
      </c>
      <c r="K575" t="str">
        <f t="shared" si="104"/>
        <v>January</v>
      </c>
      <c r="L575" t="str">
        <f t="shared" si="105"/>
        <v>Q1</v>
      </c>
      <c r="M575" s="2">
        <f t="shared" si="106"/>
        <v>1900</v>
      </c>
      <c r="N575" t="str">
        <f ca="1">IF(COUNTIFS(A$2:A575,A575,O$2:O575,O575)&gt;1,"Repeat","New")</f>
        <v>New</v>
      </c>
      <c r="O575" s="2" t="e">
        <f t="shared" ca="1" si="108"/>
        <v>#VALUE!</v>
      </c>
      <c r="P575" s="3" t="e">
        <f t="shared" ca="1" si="109"/>
        <v>#VALUE!</v>
      </c>
      <c r="Q575" s="6" t="str">
        <f t="shared" si="110"/>
        <v>Jan-00</v>
      </c>
      <c r="R575" s="6" t="str">
        <f t="shared" si="111"/>
        <v>Q1</v>
      </c>
      <c r="S575" s="6">
        <f t="shared" si="112"/>
        <v>1900</v>
      </c>
      <c r="T575" s="6" t="str">
        <f t="shared" si="113"/>
        <v>Retail</v>
      </c>
    </row>
    <row r="576" spans="8:20" x14ac:dyDescent="0.3">
      <c r="H576">
        <f t="shared" si="107"/>
        <v>0</v>
      </c>
      <c r="I576">
        <f t="shared" si="102"/>
        <v>0</v>
      </c>
      <c r="J576">
        <f t="shared" si="103"/>
        <v>0</v>
      </c>
      <c r="K576" t="str">
        <f t="shared" si="104"/>
        <v>January</v>
      </c>
      <c r="L576" t="str">
        <f t="shared" si="105"/>
        <v>Q1</v>
      </c>
      <c r="M576" s="2">
        <f t="shared" si="106"/>
        <v>1900</v>
      </c>
      <c r="N576" t="str">
        <f ca="1">IF(COUNTIFS(A$2:A576,A576,O$2:O576,O576)&gt;1,"Repeat","New")</f>
        <v>New</v>
      </c>
      <c r="O576" s="2" t="e">
        <f t="shared" ca="1" si="108"/>
        <v>#VALUE!</v>
      </c>
      <c r="P576" s="3" t="e">
        <f t="shared" ca="1" si="109"/>
        <v>#VALUE!</v>
      </c>
      <c r="Q576" s="6" t="str">
        <f t="shared" si="110"/>
        <v>Jan-00</v>
      </c>
      <c r="R576" s="6" t="str">
        <f t="shared" si="111"/>
        <v>Q1</v>
      </c>
      <c r="S576" s="6">
        <f t="shared" si="112"/>
        <v>1900</v>
      </c>
      <c r="T576" s="6" t="str">
        <f t="shared" si="113"/>
        <v>Retail</v>
      </c>
    </row>
    <row r="577" spans="8:20" x14ac:dyDescent="0.3">
      <c r="H577">
        <f t="shared" si="107"/>
        <v>0</v>
      </c>
      <c r="I577">
        <f t="shared" si="102"/>
        <v>0</v>
      </c>
      <c r="J577">
        <f t="shared" si="103"/>
        <v>0</v>
      </c>
      <c r="K577" t="str">
        <f t="shared" si="104"/>
        <v>January</v>
      </c>
      <c r="L577" t="str">
        <f t="shared" si="105"/>
        <v>Q1</v>
      </c>
      <c r="M577" s="2">
        <f t="shared" si="106"/>
        <v>1900</v>
      </c>
      <c r="N577" t="str">
        <f ca="1">IF(COUNTIFS(A$2:A577,A577,O$2:O577,O577)&gt;1,"Repeat","New")</f>
        <v>New</v>
      </c>
      <c r="O577" s="2" t="e">
        <f t="shared" ca="1" si="108"/>
        <v>#VALUE!</v>
      </c>
      <c r="P577" s="3" t="e">
        <f t="shared" ca="1" si="109"/>
        <v>#VALUE!</v>
      </c>
      <c r="Q577" s="6" t="str">
        <f t="shared" si="110"/>
        <v>Jan-00</v>
      </c>
      <c r="R577" s="6" t="str">
        <f t="shared" si="111"/>
        <v>Q1</v>
      </c>
      <c r="S577" s="6">
        <f t="shared" si="112"/>
        <v>1900</v>
      </c>
      <c r="T577" s="6" t="str">
        <f t="shared" si="113"/>
        <v>Retail</v>
      </c>
    </row>
    <row r="578" spans="8:20" x14ac:dyDescent="0.3">
      <c r="H578">
        <f t="shared" si="107"/>
        <v>0</v>
      </c>
      <c r="I578">
        <f t="shared" ref="I578:I641" si="114">H578-(D578*F578)</f>
        <v>0</v>
      </c>
      <c r="J578">
        <f t="shared" ref="J578:J641" si="115">IF(H578&gt;0,I578/H578,0)</f>
        <v>0</v>
      </c>
      <c r="K578" t="str">
        <f t="shared" ref="K578:K641" si="116">TEXT(A578,"mmmm")</f>
        <v>January</v>
      </c>
      <c r="L578" t="str">
        <f t="shared" ref="L578:L641" si="117">"Q"&amp;ROUNDUP(MONTH(A578)/3,0)</f>
        <v>Q1</v>
      </c>
      <c r="M578" s="2">
        <f t="shared" ref="M578:M641" si="118">YEAR(A578)</f>
        <v>1900</v>
      </c>
      <c r="N578" t="str">
        <f ca="1">IF(COUNTIFS(A$2:A578,A578,O$2:O578,O578)&gt;1,"Repeat","New")</f>
        <v>New</v>
      </c>
      <c r="O578" s="2" t="e">
        <f t="shared" ca="1" si="108"/>
        <v>#VALUE!</v>
      </c>
      <c r="P578" s="3" t="e">
        <f t="shared" ca="1" si="109"/>
        <v>#VALUE!</v>
      </c>
      <c r="Q578" s="6" t="str">
        <f t="shared" si="110"/>
        <v>Jan-00</v>
      </c>
      <c r="R578" s="6" t="str">
        <f t="shared" si="111"/>
        <v>Q1</v>
      </c>
      <c r="S578" s="6">
        <f t="shared" si="112"/>
        <v>1900</v>
      </c>
      <c r="T578" s="6" t="str">
        <f t="shared" si="113"/>
        <v>Retail</v>
      </c>
    </row>
    <row r="579" spans="8:20" x14ac:dyDescent="0.3">
      <c r="H579">
        <f t="shared" ref="H579:H642" si="119">(E579*F579)*(1-G579)</f>
        <v>0</v>
      </c>
      <c r="I579">
        <f t="shared" si="114"/>
        <v>0</v>
      </c>
      <c r="J579">
        <f t="shared" si="115"/>
        <v>0</v>
      </c>
      <c r="K579" t="str">
        <f t="shared" si="116"/>
        <v>January</v>
      </c>
      <c r="L579" t="str">
        <f t="shared" si="117"/>
        <v>Q1</v>
      </c>
      <c r="M579" s="2">
        <f t="shared" si="118"/>
        <v>1900</v>
      </c>
      <c r="N579" t="str">
        <f ca="1">IF(COUNTIFS(A$2:A579,A579,O$2:O579,O579)&gt;1,"Repeat","New")</f>
        <v>New</v>
      </c>
      <c r="O579" s="2" t="e">
        <f t="shared" ca="1" si="108"/>
        <v>#VALUE!</v>
      </c>
      <c r="P579" s="3" t="e">
        <f t="shared" ca="1" si="109"/>
        <v>#VALUE!</v>
      </c>
      <c r="Q579" s="6" t="str">
        <f t="shared" si="110"/>
        <v>Jan-00</v>
      </c>
      <c r="R579" s="6" t="str">
        <f t="shared" si="111"/>
        <v>Q1</v>
      </c>
      <c r="S579" s="6">
        <f t="shared" si="112"/>
        <v>1900</v>
      </c>
      <c r="T579" s="6" t="str">
        <f t="shared" si="113"/>
        <v>Retail</v>
      </c>
    </row>
    <row r="580" spans="8:20" x14ac:dyDescent="0.3">
      <c r="H580">
        <f t="shared" si="119"/>
        <v>0</v>
      </c>
      <c r="I580">
        <f t="shared" si="114"/>
        <v>0</v>
      </c>
      <c r="J580">
        <f t="shared" si="115"/>
        <v>0</v>
      </c>
      <c r="K580" t="str">
        <f t="shared" si="116"/>
        <v>January</v>
      </c>
      <c r="L580" t="str">
        <f t="shared" si="117"/>
        <v>Q1</v>
      </c>
      <c r="M580" s="2">
        <f t="shared" si="118"/>
        <v>1900</v>
      </c>
      <c r="N580" t="str">
        <f ca="1">IF(COUNTIFS(A$2:A580,A580,O$2:O580,O580)&gt;1,"Repeat","New")</f>
        <v>New</v>
      </c>
      <c r="O580" s="2" t="e">
        <f t="shared" ca="1" si="108"/>
        <v>#VALUE!</v>
      </c>
      <c r="P580" s="3" t="e">
        <f t="shared" ca="1" si="109"/>
        <v>#VALUE!</v>
      </c>
      <c r="Q580" s="6" t="str">
        <f t="shared" si="110"/>
        <v>Jan-00</v>
      </c>
      <c r="R580" s="6" t="str">
        <f t="shared" si="111"/>
        <v>Q1</v>
      </c>
      <c r="S580" s="6">
        <f t="shared" si="112"/>
        <v>1900</v>
      </c>
      <c r="T580" s="6" t="str">
        <f t="shared" si="113"/>
        <v>Retail</v>
      </c>
    </row>
    <row r="581" spans="8:20" x14ac:dyDescent="0.3">
      <c r="H581">
        <f t="shared" si="119"/>
        <v>0</v>
      </c>
      <c r="I581">
        <f t="shared" si="114"/>
        <v>0</v>
      </c>
      <c r="J581">
        <f t="shared" si="115"/>
        <v>0</v>
      </c>
      <c r="K581" t="str">
        <f t="shared" si="116"/>
        <v>January</v>
      </c>
      <c r="L581" t="str">
        <f t="shared" si="117"/>
        <v>Q1</v>
      </c>
      <c r="M581" s="2">
        <f t="shared" si="118"/>
        <v>1900</v>
      </c>
      <c r="N581" t="str">
        <f ca="1">IF(COUNTIFS(A$2:A581,A581,O$2:O581,O581)&gt;1,"Repeat","New")</f>
        <v>New</v>
      </c>
      <c r="O581" s="2" t="e">
        <f t="shared" ca="1" si="108"/>
        <v>#VALUE!</v>
      </c>
      <c r="P581" s="3" t="e">
        <f t="shared" ca="1" si="109"/>
        <v>#VALUE!</v>
      </c>
      <c r="Q581" s="6" t="str">
        <f t="shared" si="110"/>
        <v>Jan-00</v>
      </c>
      <c r="R581" s="6" t="str">
        <f t="shared" si="111"/>
        <v>Q1</v>
      </c>
      <c r="S581" s="6">
        <f t="shared" si="112"/>
        <v>1900</v>
      </c>
      <c r="T581" s="6" t="str">
        <f t="shared" si="113"/>
        <v>Retail</v>
      </c>
    </row>
    <row r="582" spans="8:20" x14ac:dyDescent="0.3">
      <c r="H582">
        <f t="shared" si="119"/>
        <v>0</v>
      </c>
      <c r="I582">
        <f t="shared" si="114"/>
        <v>0</v>
      </c>
      <c r="J582">
        <f t="shared" si="115"/>
        <v>0</v>
      </c>
      <c r="K582" t="str">
        <f t="shared" si="116"/>
        <v>January</v>
      </c>
      <c r="L582" t="str">
        <f t="shared" si="117"/>
        <v>Q1</v>
      </c>
      <c r="M582" s="2">
        <f t="shared" si="118"/>
        <v>1900</v>
      </c>
      <c r="N582" t="str">
        <f ca="1">IF(COUNTIFS(A$2:A582,A582,O$2:O582,O582)&gt;1,"Repeat","New")</f>
        <v>New</v>
      </c>
      <c r="O582" s="2" t="e">
        <f t="shared" ca="1" si="108"/>
        <v>#VALUE!</v>
      </c>
      <c r="P582" s="3" t="e">
        <f t="shared" ca="1" si="109"/>
        <v>#VALUE!</v>
      </c>
      <c r="Q582" s="6" t="str">
        <f t="shared" si="110"/>
        <v>Jan-00</v>
      </c>
      <c r="R582" s="6" t="str">
        <f t="shared" si="111"/>
        <v>Q1</v>
      </c>
      <c r="S582" s="6">
        <f t="shared" si="112"/>
        <v>1900</v>
      </c>
      <c r="T582" s="6" t="str">
        <f t="shared" si="113"/>
        <v>Retail</v>
      </c>
    </row>
    <row r="583" spans="8:20" x14ac:dyDescent="0.3">
      <c r="H583">
        <f t="shared" si="119"/>
        <v>0</v>
      </c>
      <c r="I583">
        <f t="shared" si="114"/>
        <v>0</v>
      </c>
      <c r="J583">
        <f t="shared" si="115"/>
        <v>0</v>
      </c>
      <c r="K583" t="str">
        <f t="shared" si="116"/>
        <v>January</v>
      </c>
      <c r="L583" t="str">
        <f t="shared" si="117"/>
        <v>Q1</v>
      </c>
      <c r="M583" s="2">
        <f t="shared" si="118"/>
        <v>1900</v>
      </c>
      <c r="N583" t="str">
        <f ca="1">IF(COUNTIFS(A$2:A583,A583,O$2:O583,O583)&gt;1,"Repeat","New")</f>
        <v>New</v>
      </c>
      <c r="O583" s="2" t="e">
        <f t="shared" ca="1" si="108"/>
        <v>#VALUE!</v>
      </c>
      <c r="P583" s="3" t="e">
        <f t="shared" ca="1" si="109"/>
        <v>#VALUE!</v>
      </c>
      <c r="Q583" s="6" t="str">
        <f t="shared" si="110"/>
        <v>Jan-00</v>
      </c>
      <c r="R583" s="6" t="str">
        <f t="shared" si="111"/>
        <v>Q1</v>
      </c>
      <c r="S583" s="6">
        <f t="shared" si="112"/>
        <v>1900</v>
      </c>
      <c r="T583" s="6" t="str">
        <f t="shared" si="113"/>
        <v>Retail</v>
      </c>
    </row>
    <row r="584" spans="8:20" x14ac:dyDescent="0.3">
      <c r="H584">
        <f t="shared" si="119"/>
        <v>0</v>
      </c>
      <c r="I584">
        <f t="shared" si="114"/>
        <v>0</v>
      </c>
      <c r="J584">
        <f t="shared" si="115"/>
        <v>0</v>
      </c>
      <c r="K584" t="str">
        <f t="shared" si="116"/>
        <v>January</v>
      </c>
      <c r="L584" t="str">
        <f t="shared" si="117"/>
        <v>Q1</v>
      </c>
      <c r="M584" s="2">
        <f t="shared" si="118"/>
        <v>1900</v>
      </c>
      <c r="N584" t="str">
        <f ca="1">IF(COUNTIFS(A$2:A584,A584,O$2:O584,O584)&gt;1,"Repeat","New")</f>
        <v>New</v>
      </c>
      <c r="O584" s="2" t="e">
        <f t="shared" ca="1" si="108"/>
        <v>#VALUE!</v>
      </c>
      <c r="P584" s="3" t="e">
        <f t="shared" ca="1" si="109"/>
        <v>#VALUE!</v>
      </c>
      <c r="Q584" s="6" t="str">
        <f t="shared" si="110"/>
        <v>Jan-00</v>
      </c>
      <c r="R584" s="6" t="str">
        <f t="shared" si="111"/>
        <v>Q1</v>
      </c>
      <c r="S584" s="6">
        <f t="shared" si="112"/>
        <v>1900</v>
      </c>
      <c r="T584" s="6" t="str">
        <f t="shared" si="113"/>
        <v>Retail</v>
      </c>
    </row>
    <row r="585" spans="8:20" x14ac:dyDescent="0.3">
      <c r="H585">
        <f t="shared" si="119"/>
        <v>0</v>
      </c>
      <c r="I585">
        <f t="shared" si="114"/>
        <v>0</v>
      </c>
      <c r="J585">
        <f t="shared" si="115"/>
        <v>0</v>
      </c>
      <c r="K585" t="str">
        <f t="shared" si="116"/>
        <v>January</v>
      </c>
      <c r="L585" t="str">
        <f t="shared" si="117"/>
        <v>Q1</v>
      </c>
      <c r="M585" s="2">
        <f t="shared" si="118"/>
        <v>1900</v>
      </c>
      <c r="N585" t="str">
        <f ca="1">IF(COUNTIFS(A$2:A585,A585,O$2:O585,O585)&gt;1,"Repeat","New")</f>
        <v>New</v>
      </c>
      <c r="O585" s="2" t="e">
        <f t="shared" ca="1" si="108"/>
        <v>#VALUE!</v>
      </c>
      <c r="P585" s="3" t="e">
        <f t="shared" ca="1" si="109"/>
        <v>#VALUE!</v>
      </c>
      <c r="Q585" s="6" t="str">
        <f t="shared" si="110"/>
        <v>Jan-00</v>
      </c>
      <c r="R585" s="6" t="str">
        <f t="shared" si="111"/>
        <v>Q1</v>
      </c>
      <c r="S585" s="6">
        <f t="shared" si="112"/>
        <v>1900</v>
      </c>
      <c r="T585" s="6" t="str">
        <f t="shared" si="113"/>
        <v>Retail</v>
      </c>
    </row>
    <row r="586" spans="8:20" x14ac:dyDescent="0.3">
      <c r="H586">
        <f t="shared" si="119"/>
        <v>0</v>
      </c>
      <c r="I586">
        <f t="shared" si="114"/>
        <v>0</v>
      </c>
      <c r="J586">
        <f t="shared" si="115"/>
        <v>0</v>
      </c>
      <c r="K586" t="str">
        <f t="shared" si="116"/>
        <v>January</v>
      </c>
      <c r="L586" t="str">
        <f t="shared" si="117"/>
        <v>Q1</v>
      </c>
      <c r="M586" s="2">
        <f t="shared" si="118"/>
        <v>1900</v>
      </c>
      <c r="N586" t="str">
        <f ca="1">IF(COUNTIFS(A$2:A586,A586,O$2:O586,O586)&gt;1,"Repeat","New")</f>
        <v>New</v>
      </c>
      <c r="O586" s="2" t="e">
        <f t="shared" ca="1" si="108"/>
        <v>#VALUE!</v>
      </c>
      <c r="P586" s="3" t="e">
        <f t="shared" ca="1" si="109"/>
        <v>#VALUE!</v>
      </c>
      <c r="Q586" s="6" t="str">
        <f t="shared" si="110"/>
        <v>Jan-00</v>
      </c>
      <c r="R586" s="6" t="str">
        <f t="shared" si="111"/>
        <v>Q1</v>
      </c>
      <c r="S586" s="6">
        <f t="shared" si="112"/>
        <v>1900</v>
      </c>
      <c r="T586" s="6" t="str">
        <f t="shared" si="113"/>
        <v>Retail</v>
      </c>
    </row>
    <row r="587" spans="8:20" x14ac:dyDescent="0.3">
      <c r="H587">
        <f t="shared" si="119"/>
        <v>0</v>
      </c>
      <c r="I587">
        <f t="shared" si="114"/>
        <v>0</v>
      </c>
      <c r="J587">
        <f t="shared" si="115"/>
        <v>0</v>
      </c>
      <c r="K587" t="str">
        <f t="shared" si="116"/>
        <v>January</v>
      </c>
      <c r="L587" t="str">
        <f t="shared" si="117"/>
        <v>Q1</v>
      </c>
      <c r="M587" s="2">
        <f t="shared" si="118"/>
        <v>1900</v>
      </c>
      <c r="N587" t="str">
        <f ca="1">IF(COUNTIFS(A$2:A587,A587,O$2:O587,O587)&gt;1,"Repeat","New")</f>
        <v>New</v>
      </c>
      <c r="O587" s="2" t="e">
        <f t="shared" ca="1" si="108"/>
        <v>#VALUE!</v>
      </c>
      <c r="P587" s="3" t="e">
        <f t="shared" ca="1" si="109"/>
        <v>#VALUE!</v>
      </c>
      <c r="Q587" s="6" t="str">
        <f t="shared" si="110"/>
        <v>Jan-00</v>
      </c>
      <c r="R587" s="6" t="str">
        <f t="shared" si="111"/>
        <v>Q1</v>
      </c>
      <c r="S587" s="6">
        <f t="shared" si="112"/>
        <v>1900</v>
      </c>
      <c r="T587" s="6" t="str">
        <f t="shared" si="113"/>
        <v>Retail</v>
      </c>
    </row>
    <row r="588" spans="8:20" x14ac:dyDescent="0.3">
      <c r="H588">
        <f t="shared" si="119"/>
        <v>0</v>
      </c>
      <c r="I588">
        <f t="shared" si="114"/>
        <v>0</v>
      </c>
      <c r="J588">
        <f t="shared" si="115"/>
        <v>0</v>
      </c>
      <c r="K588" t="str">
        <f t="shared" si="116"/>
        <v>January</v>
      </c>
      <c r="L588" t="str">
        <f t="shared" si="117"/>
        <v>Q1</v>
      </c>
      <c r="M588" s="2">
        <f t="shared" si="118"/>
        <v>1900</v>
      </c>
      <c r="N588" t="str">
        <f ca="1">IF(COUNTIFS(A$2:A588,A588,O$2:O588,O588)&gt;1,"Repeat","New")</f>
        <v>New</v>
      </c>
      <c r="O588" s="2" t="e">
        <f t="shared" ca="1" si="108"/>
        <v>#VALUE!</v>
      </c>
      <c r="P588" s="3" t="e">
        <f t="shared" ca="1" si="109"/>
        <v>#VALUE!</v>
      </c>
      <c r="Q588" s="6" t="str">
        <f t="shared" si="110"/>
        <v>Jan-00</v>
      </c>
      <c r="R588" s="6" t="str">
        <f t="shared" si="111"/>
        <v>Q1</v>
      </c>
      <c r="S588" s="6">
        <f t="shared" si="112"/>
        <v>1900</v>
      </c>
      <c r="T588" s="6" t="str">
        <f t="shared" si="113"/>
        <v>Retail</v>
      </c>
    </row>
    <row r="589" spans="8:20" x14ac:dyDescent="0.3">
      <c r="H589">
        <f t="shared" si="119"/>
        <v>0</v>
      </c>
      <c r="I589">
        <f t="shared" si="114"/>
        <v>0</v>
      </c>
      <c r="J589">
        <f t="shared" si="115"/>
        <v>0</v>
      </c>
      <c r="K589" t="str">
        <f t="shared" si="116"/>
        <v>January</v>
      </c>
      <c r="L589" t="str">
        <f t="shared" si="117"/>
        <v>Q1</v>
      </c>
      <c r="M589" s="2">
        <f t="shared" si="118"/>
        <v>1900</v>
      </c>
      <c r="N589" t="str">
        <f ca="1">IF(COUNTIFS(A$2:A589,A589,O$2:O589,O589)&gt;1,"Repeat","New")</f>
        <v>New</v>
      </c>
      <c r="O589" s="2" t="e">
        <f t="shared" ca="1" si="108"/>
        <v>#VALUE!</v>
      </c>
      <c r="P589" s="3" t="e">
        <f t="shared" ca="1" si="109"/>
        <v>#VALUE!</v>
      </c>
      <c r="Q589" s="6" t="str">
        <f t="shared" si="110"/>
        <v>Jan-00</v>
      </c>
      <c r="R589" s="6" t="str">
        <f t="shared" si="111"/>
        <v>Q1</v>
      </c>
      <c r="S589" s="6">
        <f t="shared" si="112"/>
        <v>1900</v>
      </c>
      <c r="T589" s="6" t="str">
        <f t="shared" si="113"/>
        <v>Retail</v>
      </c>
    </row>
    <row r="590" spans="8:20" x14ac:dyDescent="0.3">
      <c r="H590">
        <f t="shared" si="119"/>
        <v>0</v>
      </c>
      <c r="I590">
        <f t="shared" si="114"/>
        <v>0</v>
      </c>
      <c r="J590">
        <f t="shared" si="115"/>
        <v>0</v>
      </c>
      <c r="K590" t="str">
        <f t="shared" si="116"/>
        <v>January</v>
      </c>
      <c r="L590" t="str">
        <f t="shared" si="117"/>
        <v>Q1</v>
      </c>
      <c r="M590" s="2">
        <f t="shared" si="118"/>
        <v>1900</v>
      </c>
      <c r="N590" t="str">
        <f ca="1">IF(COUNTIFS(A$2:A590,A590,O$2:O590,O590)&gt;1,"Repeat","New")</f>
        <v>New</v>
      </c>
      <c r="O590" s="2" t="e">
        <f t="shared" ca="1" si="108"/>
        <v>#VALUE!</v>
      </c>
      <c r="P590" s="3" t="e">
        <f t="shared" ca="1" si="109"/>
        <v>#VALUE!</v>
      </c>
      <c r="Q590" s="6" t="str">
        <f t="shared" si="110"/>
        <v>Jan-00</v>
      </c>
      <c r="R590" s="6" t="str">
        <f t="shared" si="111"/>
        <v>Q1</v>
      </c>
      <c r="S590" s="6">
        <f t="shared" si="112"/>
        <v>1900</v>
      </c>
      <c r="T590" s="6" t="str">
        <f t="shared" si="113"/>
        <v>Retail</v>
      </c>
    </row>
    <row r="591" spans="8:20" x14ac:dyDescent="0.3">
      <c r="H591">
        <f t="shared" si="119"/>
        <v>0</v>
      </c>
      <c r="I591">
        <f t="shared" si="114"/>
        <v>0</v>
      </c>
      <c r="J591">
        <f t="shared" si="115"/>
        <v>0</v>
      </c>
      <c r="K591" t="str">
        <f t="shared" si="116"/>
        <v>January</v>
      </c>
      <c r="L591" t="str">
        <f t="shared" si="117"/>
        <v>Q1</v>
      </c>
      <c r="M591" s="2">
        <f t="shared" si="118"/>
        <v>1900</v>
      </c>
      <c r="N591" t="str">
        <f ca="1">IF(COUNTIFS(A$2:A591,A591,O$2:O591,O591)&gt;1,"Repeat","New")</f>
        <v>New</v>
      </c>
      <c r="O591" s="2" t="e">
        <f t="shared" ca="1" si="108"/>
        <v>#VALUE!</v>
      </c>
      <c r="P591" s="3" t="e">
        <f t="shared" ca="1" si="109"/>
        <v>#VALUE!</v>
      </c>
      <c r="Q591" s="6" t="str">
        <f t="shared" si="110"/>
        <v>Jan-00</v>
      </c>
      <c r="R591" s="6" t="str">
        <f t="shared" si="111"/>
        <v>Q1</v>
      </c>
      <c r="S591" s="6">
        <f t="shared" si="112"/>
        <v>1900</v>
      </c>
      <c r="T591" s="6" t="str">
        <f t="shared" si="113"/>
        <v>Retail</v>
      </c>
    </row>
    <row r="592" spans="8:20" x14ac:dyDescent="0.3">
      <c r="H592">
        <f t="shared" si="119"/>
        <v>0</v>
      </c>
      <c r="I592">
        <f t="shared" si="114"/>
        <v>0</v>
      </c>
      <c r="J592">
        <f t="shared" si="115"/>
        <v>0</v>
      </c>
      <c r="K592" t="str">
        <f t="shared" si="116"/>
        <v>January</v>
      </c>
      <c r="L592" t="str">
        <f t="shared" si="117"/>
        <v>Q1</v>
      </c>
      <c r="M592" s="2">
        <f t="shared" si="118"/>
        <v>1900</v>
      </c>
      <c r="N592" t="str">
        <f ca="1">IF(COUNTIFS(A$2:A592,A592,O$2:O592,O592)&gt;1,"Repeat","New")</f>
        <v>New</v>
      </c>
      <c r="O592" s="2" t="e">
        <f t="shared" ca="1" si="108"/>
        <v>#VALUE!</v>
      </c>
      <c r="P592" s="3" t="e">
        <f t="shared" ca="1" si="109"/>
        <v>#VALUE!</v>
      </c>
      <c r="Q592" s="6" t="str">
        <f t="shared" si="110"/>
        <v>Jan-00</v>
      </c>
      <c r="R592" s="6" t="str">
        <f t="shared" si="111"/>
        <v>Q1</v>
      </c>
      <c r="S592" s="6">
        <f t="shared" si="112"/>
        <v>1900</v>
      </c>
      <c r="T592" s="6" t="str">
        <f t="shared" si="113"/>
        <v>Retail</v>
      </c>
    </row>
    <row r="593" spans="8:20" x14ac:dyDescent="0.3">
      <c r="H593">
        <f t="shared" si="119"/>
        <v>0</v>
      </c>
      <c r="I593">
        <f t="shared" si="114"/>
        <v>0</v>
      </c>
      <c r="J593">
        <f t="shared" si="115"/>
        <v>0</v>
      </c>
      <c r="K593" t="str">
        <f t="shared" si="116"/>
        <v>January</v>
      </c>
      <c r="L593" t="str">
        <f t="shared" si="117"/>
        <v>Q1</v>
      </c>
      <c r="M593" s="2">
        <f t="shared" si="118"/>
        <v>1900</v>
      </c>
      <c r="N593" t="str">
        <f ca="1">IF(COUNTIFS(A$2:A593,A593,O$2:O593,O593)&gt;1,"Repeat","New")</f>
        <v>New</v>
      </c>
      <c r="O593" s="2" t="e">
        <f t="shared" ca="1" si="108"/>
        <v>#VALUE!</v>
      </c>
      <c r="P593" s="3" t="e">
        <f t="shared" ca="1" si="109"/>
        <v>#VALUE!</v>
      </c>
      <c r="Q593" s="6" t="str">
        <f t="shared" si="110"/>
        <v>Jan-00</v>
      </c>
      <c r="R593" s="6" t="str">
        <f t="shared" si="111"/>
        <v>Q1</v>
      </c>
      <c r="S593" s="6">
        <f t="shared" si="112"/>
        <v>1900</v>
      </c>
      <c r="T593" s="6" t="str">
        <f t="shared" si="113"/>
        <v>Retail</v>
      </c>
    </row>
    <row r="594" spans="8:20" x14ac:dyDescent="0.3">
      <c r="H594">
        <f t="shared" si="119"/>
        <v>0</v>
      </c>
      <c r="I594">
        <f t="shared" si="114"/>
        <v>0</v>
      </c>
      <c r="J594">
        <f t="shared" si="115"/>
        <v>0</v>
      </c>
      <c r="K594" t="str">
        <f t="shared" si="116"/>
        <v>January</v>
      </c>
      <c r="L594" t="str">
        <f t="shared" si="117"/>
        <v>Q1</v>
      </c>
      <c r="M594" s="2">
        <f t="shared" si="118"/>
        <v>1900</v>
      </c>
      <c r="N594" t="str">
        <f ca="1">IF(COUNTIFS(A$2:A594,A594,O$2:O594,O594)&gt;1,"Repeat","New")</f>
        <v>New</v>
      </c>
      <c r="O594" s="2" t="e">
        <f t="shared" ca="1" si="108"/>
        <v>#VALUE!</v>
      </c>
      <c r="P594" s="3" t="e">
        <f t="shared" ca="1" si="109"/>
        <v>#VALUE!</v>
      </c>
      <c r="Q594" s="6" t="str">
        <f t="shared" si="110"/>
        <v>Jan-00</v>
      </c>
      <c r="R594" s="6" t="str">
        <f t="shared" si="111"/>
        <v>Q1</v>
      </c>
      <c r="S594" s="6">
        <f t="shared" si="112"/>
        <v>1900</v>
      </c>
      <c r="T594" s="6" t="str">
        <f t="shared" si="113"/>
        <v>Retail</v>
      </c>
    </row>
    <row r="595" spans="8:20" x14ac:dyDescent="0.3">
      <c r="H595">
        <f t="shared" si="119"/>
        <v>0</v>
      </c>
      <c r="I595">
        <f t="shared" si="114"/>
        <v>0</v>
      </c>
      <c r="J595">
        <f t="shared" si="115"/>
        <v>0</v>
      </c>
      <c r="K595" t="str">
        <f t="shared" si="116"/>
        <v>January</v>
      </c>
      <c r="L595" t="str">
        <f t="shared" si="117"/>
        <v>Q1</v>
      </c>
      <c r="M595" s="2">
        <f t="shared" si="118"/>
        <v>1900</v>
      </c>
      <c r="N595" t="str">
        <f ca="1">IF(COUNTIFS(A$2:A595,A595,O$2:O595,O595)&gt;1,"Repeat","New")</f>
        <v>New</v>
      </c>
      <c r="O595" s="2" t="e">
        <f t="shared" ca="1" si="108"/>
        <v>#VALUE!</v>
      </c>
      <c r="P595" s="3" t="e">
        <f t="shared" ca="1" si="109"/>
        <v>#VALUE!</v>
      </c>
      <c r="Q595" s="6" t="str">
        <f t="shared" si="110"/>
        <v>Jan-00</v>
      </c>
      <c r="R595" s="6" t="str">
        <f t="shared" si="111"/>
        <v>Q1</v>
      </c>
      <c r="S595" s="6">
        <f t="shared" si="112"/>
        <v>1900</v>
      </c>
      <c r="T595" s="6" t="str">
        <f t="shared" si="113"/>
        <v>Retail</v>
      </c>
    </row>
    <row r="596" spans="8:20" x14ac:dyDescent="0.3">
      <c r="H596">
        <f t="shared" si="119"/>
        <v>0</v>
      </c>
      <c r="I596">
        <f t="shared" si="114"/>
        <v>0</v>
      </c>
      <c r="J596">
        <f t="shared" si="115"/>
        <v>0</v>
      </c>
      <c r="K596" t="str">
        <f t="shared" si="116"/>
        <v>January</v>
      </c>
      <c r="L596" t="str">
        <f t="shared" si="117"/>
        <v>Q1</v>
      </c>
      <c r="M596" s="2">
        <f t="shared" si="118"/>
        <v>1900</v>
      </c>
      <c r="N596" t="str">
        <f ca="1">IF(COUNTIFS(A$2:A596,A596,O$2:O596,O596)&gt;1,"Repeat","New")</f>
        <v>New</v>
      </c>
      <c r="O596" s="2" t="e">
        <f t="shared" ca="1" si="108"/>
        <v>#VALUE!</v>
      </c>
      <c r="P596" s="3" t="e">
        <f t="shared" ca="1" si="109"/>
        <v>#VALUE!</v>
      </c>
      <c r="Q596" s="6" t="str">
        <f t="shared" si="110"/>
        <v>Jan-00</v>
      </c>
      <c r="R596" s="6" t="str">
        <f t="shared" si="111"/>
        <v>Q1</v>
      </c>
      <c r="S596" s="6">
        <f t="shared" si="112"/>
        <v>1900</v>
      </c>
      <c r="T596" s="6" t="str">
        <f t="shared" si="113"/>
        <v>Retail</v>
      </c>
    </row>
    <row r="597" spans="8:20" x14ac:dyDescent="0.3">
      <c r="H597">
        <f t="shared" si="119"/>
        <v>0</v>
      </c>
      <c r="I597">
        <f t="shared" si="114"/>
        <v>0</v>
      </c>
      <c r="J597">
        <f t="shared" si="115"/>
        <v>0</v>
      </c>
      <c r="K597" t="str">
        <f t="shared" si="116"/>
        <v>January</v>
      </c>
      <c r="L597" t="str">
        <f t="shared" si="117"/>
        <v>Q1</v>
      </c>
      <c r="M597" s="2">
        <f t="shared" si="118"/>
        <v>1900</v>
      </c>
      <c r="N597" t="str">
        <f ca="1">IF(COUNTIFS(A$2:A597,A597,O$2:O597,O597)&gt;1,"Repeat","New")</f>
        <v>New</v>
      </c>
      <c r="O597" s="2" t="e">
        <f t="shared" ca="1" si="108"/>
        <v>#VALUE!</v>
      </c>
      <c r="P597" s="3" t="e">
        <f t="shared" ca="1" si="109"/>
        <v>#VALUE!</v>
      </c>
      <c r="Q597" s="6" t="str">
        <f t="shared" si="110"/>
        <v>Jan-00</v>
      </c>
      <c r="R597" s="6" t="str">
        <f t="shared" si="111"/>
        <v>Q1</v>
      </c>
      <c r="S597" s="6">
        <f t="shared" si="112"/>
        <v>1900</v>
      </c>
      <c r="T597" s="6" t="str">
        <f t="shared" si="113"/>
        <v>Retail</v>
      </c>
    </row>
    <row r="598" spans="8:20" x14ac:dyDescent="0.3">
      <c r="H598">
        <f t="shared" si="119"/>
        <v>0</v>
      </c>
      <c r="I598">
        <f t="shared" si="114"/>
        <v>0</v>
      </c>
      <c r="J598">
        <f t="shared" si="115"/>
        <v>0</v>
      </c>
      <c r="K598" t="str">
        <f t="shared" si="116"/>
        <v>January</v>
      </c>
      <c r="L598" t="str">
        <f t="shared" si="117"/>
        <v>Q1</v>
      </c>
      <c r="M598" s="2">
        <f t="shared" si="118"/>
        <v>1900</v>
      </c>
      <c r="N598" t="str">
        <f ca="1">IF(COUNTIFS(A$2:A598,A598,O$2:O598,O598)&gt;1,"Repeat","New")</f>
        <v>New</v>
      </c>
      <c r="O598" s="2" t="e">
        <f t="shared" ca="1" si="108"/>
        <v>#VALUE!</v>
      </c>
      <c r="P598" s="3" t="e">
        <f t="shared" ca="1" si="109"/>
        <v>#VALUE!</v>
      </c>
      <c r="Q598" s="6" t="str">
        <f t="shared" si="110"/>
        <v>Jan-00</v>
      </c>
      <c r="R598" s="6" t="str">
        <f t="shared" si="111"/>
        <v>Q1</v>
      </c>
      <c r="S598" s="6">
        <f t="shared" si="112"/>
        <v>1900</v>
      </c>
      <c r="T598" s="6" t="str">
        <f t="shared" si="113"/>
        <v>Retail</v>
      </c>
    </row>
    <row r="599" spans="8:20" x14ac:dyDescent="0.3">
      <c r="H599">
        <f t="shared" si="119"/>
        <v>0</v>
      </c>
      <c r="I599">
        <f t="shared" si="114"/>
        <v>0</v>
      </c>
      <c r="J599">
        <f t="shared" si="115"/>
        <v>0</v>
      </c>
      <c r="K599" t="str">
        <f t="shared" si="116"/>
        <v>January</v>
      </c>
      <c r="L599" t="str">
        <f t="shared" si="117"/>
        <v>Q1</v>
      </c>
      <c r="M599" s="2">
        <f t="shared" si="118"/>
        <v>1900</v>
      </c>
      <c r="N599" t="str">
        <f ca="1">IF(COUNTIFS(A$2:A599,A599,O$2:O599,O599)&gt;1,"Repeat","New")</f>
        <v>New</v>
      </c>
      <c r="O599" s="2" t="e">
        <f t="shared" ca="1" si="108"/>
        <v>#VALUE!</v>
      </c>
      <c r="P599" s="3" t="e">
        <f t="shared" ca="1" si="109"/>
        <v>#VALUE!</v>
      </c>
      <c r="Q599" s="6" t="str">
        <f t="shared" si="110"/>
        <v>Jan-00</v>
      </c>
      <c r="R599" s="6" t="str">
        <f t="shared" si="111"/>
        <v>Q1</v>
      </c>
      <c r="S599" s="6">
        <f t="shared" si="112"/>
        <v>1900</v>
      </c>
      <c r="T599" s="6" t="str">
        <f t="shared" si="113"/>
        <v>Retail</v>
      </c>
    </row>
    <row r="600" spans="8:20" x14ac:dyDescent="0.3">
      <c r="H600">
        <f t="shared" si="119"/>
        <v>0</v>
      </c>
      <c r="I600">
        <f t="shared" si="114"/>
        <v>0</v>
      </c>
      <c r="J600">
        <f t="shared" si="115"/>
        <v>0</v>
      </c>
      <c r="K600" t="str">
        <f t="shared" si="116"/>
        <v>January</v>
      </c>
      <c r="L600" t="str">
        <f t="shared" si="117"/>
        <v>Q1</v>
      </c>
      <c r="M600" s="2">
        <f t="shared" si="118"/>
        <v>1900</v>
      </c>
      <c r="N600" t="str">
        <f ca="1">IF(COUNTIFS(A$2:A600,A600,O$2:O600,O600)&gt;1,"Repeat","New")</f>
        <v>New</v>
      </c>
      <c r="O600" s="2" t="e">
        <f t="shared" ca="1" si="108"/>
        <v>#VALUE!</v>
      </c>
      <c r="P600" s="3" t="e">
        <f t="shared" ca="1" si="109"/>
        <v>#VALUE!</v>
      </c>
      <c r="Q600" s="6" t="str">
        <f t="shared" si="110"/>
        <v>Jan-00</v>
      </c>
      <c r="R600" s="6" t="str">
        <f t="shared" si="111"/>
        <v>Q1</v>
      </c>
      <c r="S600" s="6">
        <f t="shared" si="112"/>
        <v>1900</v>
      </c>
      <c r="T600" s="6" t="str">
        <f t="shared" si="113"/>
        <v>Retail</v>
      </c>
    </row>
    <row r="601" spans="8:20" x14ac:dyDescent="0.3">
      <c r="H601">
        <f t="shared" si="119"/>
        <v>0</v>
      </c>
      <c r="I601">
        <f t="shared" si="114"/>
        <v>0</v>
      </c>
      <c r="J601">
        <f t="shared" si="115"/>
        <v>0</v>
      </c>
      <c r="K601" t="str">
        <f t="shared" si="116"/>
        <v>January</v>
      </c>
      <c r="L601" t="str">
        <f t="shared" si="117"/>
        <v>Q1</v>
      </c>
      <c r="M601" s="2">
        <f t="shared" si="118"/>
        <v>1900</v>
      </c>
      <c r="N601" t="str">
        <f ca="1">IF(COUNTIFS(A$2:A601,A601,O$2:O601,O601)&gt;1,"Repeat","New")</f>
        <v>New</v>
      </c>
      <c r="O601" s="2" t="e">
        <f t="shared" ca="1" si="108"/>
        <v>#VALUE!</v>
      </c>
      <c r="P601" s="3" t="e">
        <f t="shared" ca="1" si="109"/>
        <v>#VALUE!</v>
      </c>
      <c r="Q601" s="6" t="str">
        <f t="shared" si="110"/>
        <v>Jan-00</v>
      </c>
      <c r="R601" s="6" t="str">
        <f t="shared" si="111"/>
        <v>Q1</v>
      </c>
      <c r="S601" s="6">
        <f t="shared" si="112"/>
        <v>1900</v>
      </c>
      <c r="T601" s="6" t="str">
        <f t="shared" si="113"/>
        <v>Retail</v>
      </c>
    </row>
    <row r="602" spans="8:20" x14ac:dyDescent="0.3">
      <c r="H602">
        <f t="shared" si="119"/>
        <v>0</v>
      </c>
      <c r="I602">
        <f t="shared" si="114"/>
        <v>0</v>
      </c>
      <c r="J602">
        <f t="shared" si="115"/>
        <v>0</v>
      </c>
      <c r="K602" t="str">
        <f t="shared" si="116"/>
        <v>January</v>
      </c>
      <c r="L602" t="str">
        <f t="shared" si="117"/>
        <v>Q1</v>
      </c>
      <c r="M602" s="2">
        <f t="shared" si="118"/>
        <v>1900</v>
      </c>
      <c r="N602" t="str">
        <f ca="1">IF(COUNTIFS(A$2:A602,A602,O$2:O602,O602)&gt;1,"Repeat","New")</f>
        <v>New</v>
      </c>
      <c r="O602" s="2" t="e">
        <f t="shared" ca="1" si="108"/>
        <v>#VALUE!</v>
      </c>
      <c r="P602" s="3" t="e">
        <f t="shared" ca="1" si="109"/>
        <v>#VALUE!</v>
      </c>
      <c r="Q602" s="6" t="str">
        <f t="shared" si="110"/>
        <v>Jan-00</v>
      </c>
      <c r="R602" s="6" t="str">
        <f t="shared" si="111"/>
        <v>Q1</v>
      </c>
      <c r="S602" s="6">
        <f t="shared" si="112"/>
        <v>1900</v>
      </c>
      <c r="T602" s="6" t="str">
        <f t="shared" si="113"/>
        <v>Retail</v>
      </c>
    </row>
    <row r="603" spans="8:20" x14ac:dyDescent="0.3">
      <c r="H603">
        <f t="shared" si="119"/>
        <v>0</v>
      </c>
      <c r="I603">
        <f t="shared" si="114"/>
        <v>0</v>
      </c>
      <c r="J603">
        <f t="shared" si="115"/>
        <v>0</v>
      </c>
      <c r="K603" t="str">
        <f t="shared" si="116"/>
        <v>January</v>
      </c>
      <c r="L603" t="str">
        <f t="shared" si="117"/>
        <v>Q1</v>
      </c>
      <c r="M603" s="2">
        <f t="shared" si="118"/>
        <v>1900</v>
      </c>
      <c r="N603" t="str">
        <f ca="1">IF(COUNTIFS(A$2:A603,A603,O$2:O603,O603)&gt;1,"Repeat","New")</f>
        <v>New</v>
      </c>
      <c r="O603" s="2" t="e">
        <f t="shared" ca="1" si="108"/>
        <v>#VALUE!</v>
      </c>
      <c r="P603" s="3" t="e">
        <f t="shared" ca="1" si="109"/>
        <v>#VALUE!</v>
      </c>
      <c r="Q603" s="6" t="str">
        <f t="shared" si="110"/>
        <v>Jan-00</v>
      </c>
      <c r="R603" s="6" t="str">
        <f t="shared" si="111"/>
        <v>Q1</v>
      </c>
      <c r="S603" s="6">
        <f t="shared" si="112"/>
        <v>1900</v>
      </c>
      <c r="T603" s="6" t="str">
        <f t="shared" si="113"/>
        <v>Retail</v>
      </c>
    </row>
    <row r="604" spans="8:20" x14ac:dyDescent="0.3">
      <c r="H604">
        <f t="shared" si="119"/>
        <v>0</v>
      </c>
      <c r="I604">
        <f t="shared" si="114"/>
        <v>0</v>
      </c>
      <c r="J604">
        <f t="shared" si="115"/>
        <v>0</v>
      </c>
      <c r="K604" t="str">
        <f t="shared" si="116"/>
        <v>January</v>
      </c>
      <c r="L604" t="str">
        <f t="shared" si="117"/>
        <v>Q1</v>
      </c>
      <c r="M604" s="2">
        <f t="shared" si="118"/>
        <v>1900</v>
      </c>
      <c r="N604" t="str">
        <f ca="1">IF(COUNTIFS(A$2:A604,A604,O$2:O604,O604)&gt;1,"Repeat","New")</f>
        <v>New</v>
      </c>
      <c r="O604" s="2" t="e">
        <f t="shared" ca="1" si="108"/>
        <v>#VALUE!</v>
      </c>
      <c r="P604" s="3" t="e">
        <f t="shared" ca="1" si="109"/>
        <v>#VALUE!</v>
      </c>
      <c r="Q604" s="6" t="str">
        <f t="shared" si="110"/>
        <v>Jan-00</v>
      </c>
      <c r="R604" s="6" t="str">
        <f t="shared" si="111"/>
        <v>Q1</v>
      </c>
      <c r="S604" s="6">
        <f t="shared" si="112"/>
        <v>1900</v>
      </c>
      <c r="T604" s="6" t="str">
        <f t="shared" si="113"/>
        <v>Retail</v>
      </c>
    </row>
    <row r="605" spans="8:20" x14ac:dyDescent="0.3">
      <c r="H605">
        <f t="shared" si="119"/>
        <v>0</v>
      </c>
      <c r="I605">
        <f t="shared" si="114"/>
        <v>0</v>
      </c>
      <c r="J605">
        <f t="shared" si="115"/>
        <v>0</v>
      </c>
      <c r="K605" t="str">
        <f t="shared" si="116"/>
        <v>January</v>
      </c>
      <c r="L605" t="str">
        <f t="shared" si="117"/>
        <v>Q1</v>
      </c>
      <c r="M605" s="2">
        <f t="shared" si="118"/>
        <v>1900</v>
      </c>
      <c r="N605" t="str">
        <f ca="1">IF(COUNTIFS(A$2:A605,A605,O$2:O605,O605)&gt;1,"Repeat","New")</f>
        <v>New</v>
      </c>
      <c r="O605" s="2" t="e">
        <f t="shared" ca="1" si="108"/>
        <v>#VALUE!</v>
      </c>
      <c r="P605" s="3" t="e">
        <f t="shared" ca="1" si="109"/>
        <v>#VALUE!</v>
      </c>
      <c r="Q605" s="6" t="str">
        <f t="shared" si="110"/>
        <v>Jan-00</v>
      </c>
      <c r="R605" s="6" t="str">
        <f t="shared" si="111"/>
        <v>Q1</v>
      </c>
      <c r="S605" s="6">
        <f t="shared" si="112"/>
        <v>1900</v>
      </c>
      <c r="T605" s="6" t="str">
        <f t="shared" si="113"/>
        <v>Retail</v>
      </c>
    </row>
    <row r="606" spans="8:20" x14ac:dyDescent="0.3">
      <c r="H606">
        <f t="shared" si="119"/>
        <v>0</v>
      </c>
      <c r="I606">
        <f t="shared" si="114"/>
        <v>0</v>
      </c>
      <c r="J606">
        <f t="shared" si="115"/>
        <v>0</v>
      </c>
      <c r="K606" t="str">
        <f t="shared" si="116"/>
        <v>January</v>
      </c>
      <c r="L606" t="str">
        <f t="shared" si="117"/>
        <v>Q1</v>
      </c>
      <c r="M606" s="2">
        <f t="shared" si="118"/>
        <v>1900</v>
      </c>
      <c r="N606" t="str">
        <f ca="1">IF(COUNTIFS(A$2:A606,A606,O$2:O606,O606)&gt;1,"Repeat","New")</f>
        <v>New</v>
      </c>
      <c r="O606" s="2" t="e">
        <f t="shared" ca="1" si="108"/>
        <v>#VALUE!</v>
      </c>
      <c r="P606" s="3" t="e">
        <f t="shared" ca="1" si="109"/>
        <v>#VALUE!</v>
      </c>
      <c r="Q606" s="6" t="str">
        <f t="shared" si="110"/>
        <v>Jan-00</v>
      </c>
      <c r="R606" s="6" t="str">
        <f t="shared" si="111"/>
        <v>Q1</v>
      </c>
      <c r="S606" s="6">
        <f t="shared" si="112"/>
        <v>1900</v>
      </c>
      <c r="T606" s="6" t="str">
        <f t="shared" si="113"/>
        <v>Retail</v>
      </c>
    </row>
    <row r="607" spans="8:20" x14ac:dyDescent="0.3">
      <c r="H607">
        <f t="shared" si="119"/>
        <v>0</v>
      </c>
      <c r="I607">
        <f t="shared" si="114"/>
        <v>0</v>
      </c>
      <c r="J607">
        <f t="shared" si="115"/>
        <v>0</v>
      </c>
      <c r="K607" t="str">
        <f t="shared" si="116"/>
        <v>January</v>
      </c>
      <c r="L607" t="str">
        <f t="shared" si="117"/>
        <v>Q1</v>
      </c>
      <c r="M607" s="2">
        <f t="shared" si="118"/>
        <v>1900</v>
      </c>
      <c r="N607" t="str">
        <f ca="1">IF(COUNTIFS(A$2:A607,A607,O$2:O607,O607)&gt;1,"Repeat","New")</f>
        <v>New</v>
      </c>
      <c r="O607" s="2" t="e">
        <f t="shared" ca="1" si="108"/>
        <v>#VALUE!</v>
      </c>
      <c r="P607" s="3" t="e">
        <f t="shared" ca="1" si="109"/>
        <v>#VALUE!</v>
      </c>
      <c r="Q607" s="6" t="str">
        <f t="shared" si="110"/>
        <v>Jan-00</v>
      </c>
      <c r="R607" s="6" t="str">
        <f t="shared" si="111"/>
        <v>Q1</v>
      </c>
      <c r="S607" s="6">
        <f t="shared" si="112"/>
        <v>1900</v>
      </c>
      <c r="T607" s="6" t="str">
        <f t="shared" si="113"/>
        <v>Retail</v>
      </c>
    </row>
    <row r="608" spans="8:20" x14ac:dyDescent="0.3">
      <c r="H608">
        <f t="shared" si="119"/>
        <v>0</v>
      </c>
      <c r="I608">
        <f t="shared" si="114"/>
        <v>0</v>
      </c>
      <c r="J608">
        <f t="shared" si="115"/>
        <v>0</v>
      </c>
      <c r="K608" t="str">
        <f t="shared" si="116"/>
        <v>January</v>
      </c>
      <c r="L608" t="str">
        <f t="shared" si="117"/>
        <v>Q1</v>
      </c>
      <c r="M608" s="2">
        <f t="shared" si="118"/>
        <v>1900</v>
      </c>
      <c r="N608" t="str">
        <f ca="1">IF(COUNTIFS(A$2:A608,A608,O$2:O608,O608)&gt;1,"Repeat","New")</f>
        <v>New</v>
      </c>
      <c r="O608" s="2" t="e">
        <f t="shared" ca="1" si="108"/>
        <v>#VALUE!</v>
      </c>
      <c r="P608" s="3" t="e">
        <f t="shared" ca="1" si="109"/>
        <v>#VALUE!</v>
      </c>
      <c r="Q608" s="6" t="str">
        <f t="shared" si="110"/>
        <v>Jan-00</v>
      </c>
      <c r="R608" s="6" t="str">
        <f t="shared" si="111"/>
        <v>Q1</v>
      </c>
      <c r="S608" s="6">
        <f t="shared" si="112"/>
        <v>1900</v>
      </c>
      <c r="T608" s="6" t="str">
        <f t="shared" si="113"/>
        <v>Retail</v>
      </c>
    </row>
    <row r="609" spans="8:20" x14ac:dyDescent="0.3">
      <c r="H609">
        <f t="shared" si="119"/>
        <v>0</v>
      </c>
      <c r="I609">
        <f t="shared" si="114"/>
        <v>0</v>
      </c>
      <c r="J609">
        <f t="shared" si="115"/>
        <v>0</v>
      </c>
      <c r="K609" t="str">
        <f t="shared" si="116"/>
        <v>January</v>
      </c>
      <c r="L609" t="str">
        <f t="shared" si="117"/>
        <v>Q1</v>
      </c>
      <c r="M609" s="2">
        <f t="shared" si="118"/>
        <v>1900</v>
      </c>
      <c r="N609" t="str">
        <f ca="1">IF(COUNTIFS(A$2:A609,A609,O$2:O609,O609)&gt;1,"Repeat","New")</f>
        <v>New</v>
      </c>
      <c r="O609" s="2" t="e">
        <f t="shared" ca="1" si="108"/>
        <v>#VALUE!</v>
      </c>
      <c r="P609" s="3" t="e">
        <f t="shared" ca="1" si="109"/>
        <v>#VALUE!</v>
      </c>
      <c r="Q609" s="6" t="str">
        <f t="shared" si="110"/>
        <v>Jan-00</v>
      </c>
      <c r="R609" s="6" t="str">
        <f t="shared" si="111"/>
        <v>Q1</v>
      </c>
      <c r="S609" s="6">
        <f t="shared" si="112"/>
        <v>1900</v>
      </c>
      <c r="T609" s="6" t="str">
        <f t="shared" si="113"/>
        <v>Retail</v>
      </c>
    </row>
    <row r="610" spans="8:20" x14ac:dyDescent="0.3">
      <c r="H610">
        <f t="shared" si="119"/>
        <v>0</v>
      </c>
      <c r="I610">
        <f t="shared" si="114"/>
        <v>0</v>
      </c>
      <c r="J610">
        <f t="shared" si="115"/>
        <v>0</v>
      </c>
      <c r="K610" t="str">
        <f t="shared" si="116"/>
        <v>January</v>
      </c>
      <c r="L610" t="str">
        <f t="shared" si="117"/>
        <v>Q1</v>
      </c>
      <c r="M610" s="2">
        <f t="shared" si="118"/>
        <v>1900</v>
      </c>
      <c r="N610" t="str">
        <f ca="1">IF(COUNTIFS(A$2:A610,A610,O$2:O610,O610)&gt;1,"Repeat","New")</f>
        <v>New</v>
      </c>
      <c r="O610" s="2" t="e">
        <f t="shared" ca="1" si="108"/>
        <v>#VALUE!</v>
      </c>
      <c r="P610" s="3" t="e">
        <f t="shared" ca="1" si="109"/>
        <v>#VALUE!</v>
      </c>
      <c r="Q610" s="6" t="str">
        <f t="shared" si="110"/>
        <v>Jan-00</v>
      </c>
      <c r="R610" s="6" t="str">
        <f t="shared" si="111"/>
        <v>Q1</v>
      </c>
      <c r="S610" s="6">
        <f t="shared" si="112"/>
        <v>1900</v>
      </c>
      <c r="T610" s="6" t="str">
        <f t="shared" si="113"/>
        <v>Retail</v>
      </c>
    </row>
    <row r="611" spans="8:20" x14ac:dyDescent="0.3">
      <c r="H611">
        <f t="shared" si="119"/>
        <v>0</v>
      </c>
      <c r="I611">
        <f t="shared" si="114"/>
        <v>0</v>
      </c>
      <c r="J611">
        <f t="shared" si="115"/>
        <v>0</v>
      </c>
      <c r="K611" t="str">
        <f t="shared" si="116"/>
        <v>January</v>
      </c>
      <c r="L611" t="str">
        <f t="shared" si="117"/>
        <v>Q1</v>
      </c>
      <c r="M611" s="2">
        <f t="shared" si="118"/>
        <v>1900</v>
      </c>
      <c r="N611" t="str">
        <f ca="1">IF(COUNTIFS(A$2:A611,A611,O$2:O611,O611)&gt;1,"Repeat","New")</f>
        <v>New</v>
      </c>
      <c r="O611" s="2" t="e">
        <f t="shared" ca="1" si="108"/>
        <v>#VALUE!</v>
      </c>
      <c r="P611" s="3" t="e">
        <f t="shared" ca="1" si="109"/>
        <v>#VALUE!</v>
      </c>
      <c r="Q611" s="6" t="str">
        <f t="shared" si="110"/>
        <v>Jan-00</v>
      </c>
      <c r="R611" s="6" t="str">
        <f t="shared" si="111"/>
        <v>Q1</v>
      </c>
      <c r="S611" s="6">
        <f t="shared" si="112"/>
        <v>1900</v>
      </c>
      <c r="T611" s="6" t="str">
        <f t="shared" si="113"/>
        <v>Retail</v>
      </c>
    </row>
    <row r="612" spans="8:20" x14ac:dyDescent="0.3">
      <c r="H612">
        <f t="shared" si="119"/>
        <v>0</v>
      </c>
      <c r="I612">
        <f t="shared" si="114"/>
        <v>0</v>
      </c>
      <c r="J612">
        <f t="shared" si="115"/>
        <v>0</v>
      </c>
      <c r="K612" t="str">
        <f t="shared" si="116"/>
        <v>January</v>
      </c>
      <c r="L612" t="str">
        <f t="shared" si="117"/>
        <v>Q1</v>
      </c>
      <c r="M612" s="2">
        <f t="shared" si="118"/>
        <v>1900</v>
      </c>
      <c r="N612" t="str">
        <f ca="1">IF(COUNTIFS(A$2:A612,A612,O$2:O612,O612)&gt;1,"Repeat","New")</f>
        <v>New</v>
      </c>
      <c r="O612" s="2" t="e">
        <f t="shared" ca="1" si="108"/>
        <v>#VALUE!</v>
      </c>
      <c r="P612" s="3" t="e">
        <f t="shared" ca="1" si="109"/>
        <v>#VALUE!</v>
      </c>
      <c r="Q612" s="6" t="str">
        <f t="shared" si="110"/>
        <v>Jan-00</v>
      </c>
      <c r="R612" s="6" t="str">
        <f t="shared" si="111"/>
        <v>Q1</v>
      </c>
      <c r="S612" s="6">
        <f t="shared" si="112"/>
        <v>1900</v>
      </c>
      <c r="T612" s="6" t="str">
        <f t="shared" si="113"/>
        <v>Retail</v>
      </c>
    </row>
    <row r="613" spans="8:20" x14ac:dyDescent="0.3">
      <c r="H613">
        <f t="shared" si="119"/>
        <v>0</v>
      </c>
      <c r="I613">
        <f t="shared" si="114"/>
        <v>0</v>
      </c>
      <c r="J613">
        <f t="shared" si="115"/>
        <v>0</v>
      </c>
      <c r="K613" t="str">
        <f t="shared" si="116"/>
        <v>January</v>
      </c>
      <c r="L613" t="str">
        <f t="shared" si="117"/>
        <v>Q1</v>
      </c>
      <c r="M613" s="2">
        <f t="shared" si="118"/>
        <v>1900</v>
      </c>
      <c r="N613" t="str">
        <f ca="1">IF(COUNTIFS(A$2:A613,A613,O$2:O613,O613)&gt;1,"Repeat","New")</f>
        <v>New</v>
      </c>
      <c r="O613" s="2" t="e">
        <f t="shared" ca="1" si="108"/>
        <v>#VALUE!</v>
      </c>
      <c r="P613" s="3" t="e">
        <f t="shared" ca="1" si="109"/>
        <v>#VALUE!</v>
      </c>
      <c r="Q613" s="6" t="str">
        <f t="shared" si="110"/>
        <v>Jan-00</v>
      </c>
      <c r="R613" s="6" t="str">
        <f t="shared" si="111"/>
        <v>Q1</v>
      </c>
      <c r="S613" s="6">
        <f t="shared" si="112"/>
        <v>1900</v>
      </c>
      <c r="T613" s="6" t="str">
        <f t="shared" si="113"/>
        <v>Retail</v>
      </c>
    </row>
    <row r="614" spans="8:20" x14ac:dyDescent="0.3">
      <c r="H614">
        <f t="shared" si="119"/>
        <v>0</v>
      </c>
      <c r="I614">
        <f t="shared" si="114"/>
        <v>0</v>
      </c>
      <c r="J614">
        <f t="shared" si="115"/>
        <v>0</v>
      </c>
      <c r="K614" t="str">
        <f t="shared" si="116"/>
        <v>January</v>
      </c>
      <c r="L614" t="str">
        <f t="shared" si="117"/>
        <v>Q1</v>
      </c>
      <c r="M614" s="2">
        <f t="shared" si="118"/>
        <v>1900</v>
      </c>
      <c r="N614" t="str">
        <f ca="1">IF(COUNTIFS(A$2:A614,A614,O$2:O614,O614)&gt;1,"Repeat","New")</f>
        <v>New</v>
      </c>
      <c r="O614" s="2" t="e">
        <f t="shared" ca="1" si="108"/>
        <v>#VALUE!</v>
      </c>
      <c r="P614" s="3" t="e">
        <f t="shared" ca="1" si="109"/>
        <v>#VALUE!</v>
      </c>
      <c r="Q614" s="6" t="str">
        <f t="shared" si="110"/>
        <v>Jan-00</v>
      </c>
      <c r="R614" s="6" t="str">
        <f t="shared" si="111"/>
        <v>Q1</v>
      </c>
      <c r="S614" s="6">
        <f t="shared" si="112"/>
        <v>1900</v>
      </c>
      <c r="T614" s="6" t="str">
        <f t="shared" si="113"/>
        <v>Retail</v>
      </c>
    </row>
    <row r="615" spans="8:20" x14ac:dyDescent="0.3">
      <c r="H615">
        <f t="shared" si="119"/>
        <v>0</v>
      </c>
      <c r="I615">
        <f t="shared" si="114"/>
        <v>0</v>
      </c>
      <c r="J615">
        <f t="shared" si="115"/>
        <v>0</v>
      </c>
      <c r="K615" t="str">
        <f t="shared" si="116"/>
        <v>January</v>
      </c>
      <c r="L615" t="str">
        <f t="shared" si="117"/>
        <v>Q1</v>
      </c>
      <c r="M615" s="2">
        <f t="shared" si="118"/>
        <v>1900</v>
      </c>
      <c r="N615" t="str">
        <f ca="1">IF(COUNTIFS(A$2:A615,A615,O$2:O615,O615)&gt;1,"Repeat","New")</f>
        <v>New</v>
      </c>
      <c r="O615" s="2" t="e">
        <f t="shared" ca="1" si="108"/>
        <v>#VALUE!</v>
      </c>
      <c r="P615" s="3" t="e">
        <f t="shared" ca="1" si="109"/>
        <v>#VALUE!</v>
      </c>
      <c r="Q615" s="6" t="str">
        <f t="shared" si="110"/>
        <v>Jan-00</v>
      </c>
      <c r="R615" s="6" t="str">
        <f t="shared" si="111"/>
        <v>Q1</v>
      </c>
      <c r="S615" s="6">
        <f t="shared" si="112"/>
        <v>1900</v>
      </c>
      <c r="T615" s="6" t="str">
        <f t="shared" si="113"/>
        <v>Retail</v>
      </c>
    </row>
    <row r="616" spans="8:20" x14ac:dyDescent="0.3">
      <c r="H616">
        <f t="shared" si="119"/>
        <v>0</v>
      </c>
      <c r="I616">
        <f t="shared" si="114"/>
        <v>0</v>
      </c>
      <c r="J616">
        <f t="shared" si="115"/>
        <v>0</v>
      </c>
      <c r="K616" t="str">
        <f t="shared" si="116"/>
        <v>January</v>
      </c>
      <c r="L616" t="str">
        <f t="shared" si="117"/>
        <v>Q1</v>
      </c>
      <c r="M616" s="2">
        <f t="shared" si="118"/>
        <v>1900</v>
      </c>
      <c r="N616" t="str">
        <f ca="1">IF(COUNTIFS(A$2:A616,A616,O$2:O616,O616)&gt;1,"Repeat","New")</f>
        <v>New</v>
      </c>
      <c r="O616" s="2" t="e">
        <f t="shared" ca="1" si="108"/>
        <v>#VALUE!</v>
      </c>
      <c r="P616" s="3" t="e">
        <f t="shared" ca="1" si="109"/>
        <v>#VALUE!</v>
      </c>
      <c r="Q616" s="6" t="str">
        <f t="shared" si="110"/>
        <v>Jan-00</v>
      </c>
      <c r="R616" s="6" t="str">
        <f t="shared" si="111"/>
        <v>Q1</v>
      </c>
      <c r="S616" s="6">
        <f t="shared" si="112"/>
        <v>1900</v>
      </c>
      <c r="T616" s="6" t="str">
        <f t="shared" si="113"/>
        <v>Retail</v>
      </c>
    </row>
    <row r="617" spans="8:20" x14ac:dyDescent="0.3">
      <c r="H617">
        <f t="shared" si="119"/>
        <v>0</v>
      </c>
      <c r="I617">
        <f t="shared" si="114"/>
        <v>0</v>
      </c>
      <c r="J617">
        <f t="shared" si="115"/>
        <v>0</v>
      </c>
      <c r="K617" t="str">
        <f t="shared" si="116"/>
        <v>January</v>
      </c>
      <c r="L617" t="str">
        <f t="shared" si="117"/>
        <v>Q1</v>
      </c>
      <c r="M617" s="2">
        <f t="shared" si="118"/>
        <v>1900</v>
      </c>
      <c r="N617" t="str">
        <f ca="1">IF(COUNTIFS(A$2:A617,A617,O$2:O617,O617)&gt;1,"Repeat","New")</f>
        <v>New</v>
      </c>
      <c r="O617" s="2" t="e">
        <f t="shared" ca="1" si="108"/>
        <v>#VALUE!</v>
      </c>
      <c r="P617" s="3" t="e">
        <f t="shared" ca="1" si="109"/>
        <v>#VALUE!</v>
      </c>
      <c r="Q617" s="6" t="str">
        <f t="shared" si="110"/>
        <v>Jan-00</v>
      </c>
      <c r="R617" s="6" t="str">
        <f t="shared" si="111"/>
        <v>Q1</v>
      </c>
      <c r="S617" s="6">
        <f t="shared" si="112"/>
        <v>1900</v>
      </c>
      <c r="T617" s="6" t="str">
        <f t="shared" si="113"/>
        <v>Retail</v>
      </c>
    </row>
    <row r="618" spans="8:20" x14ac:dyDescent="0.3">
      <c r="H618">
        <f t="shared" si="119"/>
        <v>0</v>
      </c>
      <c r="I618">
        <f t="shared" si="114"/>
        <v>0</v>
      </c>
      <c r="J618">
        <f t="shared" si="115"/>
        <v>0</v>
      </c>
      <c r="K618" t="str">
        <f t="shared" si="116"/>
        <v>January</v>
      </c>
      <c r="L618" t="str">
        <f t="shared" si="117"/>
        <v>Q1</v>
      </c>
      <c r="M618" s="2">
        <f t="shared" si="118"/>
        <v>1900</v>
      </c>
      <c r="N618" t="str">
        <f ca="1">IF(COUNTIFS(A$2:A618,A618,O$2:O618,O618)&gt;1,"Repeat","New")</f>
        <v>New</v>
      </c>
      <c r="O618" s="2" t="e">
        <f t="shared" ca="1" si="108"/>
        <v>#VALUE!</v>
      </c>
      <c r="P618" s="3" t="e">
        <f t="shared" ca="1" si="109"/>
        <v>#VALUE!</v>
      </c>
      <c r="Q618" s="6" t="str">
        <f t="shared" si="110"/>
        <v>Jan-00</v>
      </c>
      <c r="R618" s="6" t="str">
        <f t="shared" si="111"/>
        <v>Q1</v>
      </c>
      <c r="S618" s="6">
        <f t="shared" si="112"/>
        <v>1900</v>
      </c>
      <c r="T618" s="6" t="str">
        <f t="shared" si="113"/>
        <v>Retail</v>
      </c>
    </row>
    <row r="619" spans="8:20" x14ac:dyDescent="0.3">
      <c r="H619">
        <f t="shared" si="119"/>
        <v>0</v>
      </c>
      <c r="I619">
        <f t="shared" si="114"/>
        <v>0</v>
      </c>
      <c r="J619">
        <f t="shared" si="115"/>
        <v>0</v>
      </c>
      <c r="K619" t="str">
        <f t="shared" si="116"/>
        <v>January</v>
      </c>
      <c r="L619" t="str">
        <f t="shared" si="117"/>
        <v>Q1</v>
      </c>
      <c r="M619" s="2">
        <f t="shared" si="118"/>
        <v>1900</v>
      </c>
      <c r="N619" t="str">
        <f ca="1">IF(COUNTIFS(A$2:A619,A619,O$2:O619,O619)&gt;1,"Repeat","New")</f>
        <v>New</v>
      </c>
      <c r="O619" s="2" t="e">
        <f t="shared" ca="1" si="108"/>
        <v>#VALUE!</v>
      </c>
      <c r="P619" s="3" t="e">
        <f t="shared" ca="1" si="109"/>
        <v>#VALUE!</v>
      </c>
      <c r="Q619" s="6" t="str">
        <f t="shared" si="110"/>
        <v>Jan-00</v>
      </c>
      <c r="R619" s="6" t="str">
        <f t="shared" si="111"/>
        <v>Q1</v>
      </c>
      <c r="S619" s="6">
        <f t="shared" si="112"/>
        <v>1900</v>
      </c>
      <c r="T619" s="6" t="str">
        <f t="shared" si="113"/>
        <v>Retail</v>
      </c>
    </row>
    <row r="620" spans="8:20" x14ac:dyDescent="0.3">
      <c r="H620">
        <f t="shared" si="119"/>
        <v>0</v>
      </c>
      <c r="I620">
        <f t="shared" si="114"/>
        <v>0</v>
      </c>
      <c r="J620">
        <f t="shared" si="115"/>
        <v>0</v>
      </c>
      <c r="K620" t="str">
        <f t="shared" si="116"/>
        <v>January</v>
      </c>
      <c r="L620" t="str">
        <f t="shared" si="117"/>
        <v>Q1</v>
      </c>
      <c r="M620" s="2">
        <f t="shared" si="118"/>
        <v>1900</v>
      </c>
      <c r="N620" t="str">
        <f ca="1">IF(COUNTIFS(A$2:A620,A620,O$2:O620,O620)&gt;1,"Repeat","New")</f>
        <v>New</v>
      </c>
      <c r="O620" s="2" t="e">
        <f t="shared" ca="1" si="108"/>
        <v>#VALUE!</v>
      </c>
      <c r="P620" s="3" t="e">
        <f t="shared" ca="1" si="109"/>
        <v>#VALUE!</v>
      </c>
      <c r="Q620" s="6" t="str">
        <f t="shared" si="110"/>
        <v>Jan-00</v>
      </c>
      <c r="R620" s="6" t="str">
        <f t="shared" si="111"/>
        <v>Q1</v>
      </c>
      <c r="S620" s="6">
        <f t="shared" si="112"/>
        <v>1900</v>
      </c>
      <c r="T620" s="6" t="str">
        <f t="shared" si="113"/>
        <v>Retail</v>
      </c>
    </row>
    <row r="621" spans="8:20" x14ac:dyDescent="0.3">
      <c r="H621">
        <f t="shared" si="119"/>
        <v>0</v>
      </c>
      <c r="I621">
        <f t="shared" si="114"/>
        <v>0</v>
      </c>
      <c r="J621">
        <f t="shared" si="115"/>
        <v>0</v>
      </c>
      <c r="K621" t="str">
        <f t="shared" si="116"/>
        <v>January</v>
      </c>
      <c r="L621" t="str">
        <f t="shared" si="117"/>
        <v>Q1</v>
      </c>
      <c r="M621" s="2">
        <f t="shared" si="118"/>
        <v>1900</v>
      </c>
      <c r="N621" t="str">
        <f ca="1">IF(COUNTIFS(A$2:A621,A621,O$2:O621,O621)&gt;1,"Repeat","New")</f>
        <v>New</v>
      </c>
      <c r="O621" s="2" t="e">
        <f t="shared" ca="1" si="108"/>
        <v>#VALUE!</v>
      </c>
      <c r="P621" s="3" t="e">
        <f t="shared" ca="1" si="109"/>
        <v>#VALUE!</v>
      </c>
      <c r="Q621" s="6" t="str">
        <f t="shared" si="110"/>
        <v>Jan-00</v>
      </c>
      <c r="R621" s="6" t="str">
        <f t="shared" si="111"/>
        <v>Q1</v>
      </c>
      <c r="S621" s="6">
        <f t="shared" si="112"/>
        <v>1900</v>
      </c>
      <c r="T621" s="6" t="str">
        <f t="shared" si="113"/>
        <v>Retail</v>
      </c>
    </row>
    <row r="622" spans="8:20" x14ac:dyDescent="0.3">
      <c r="H622">
        <f t="shared" si="119"/>
        <v>0</v>
      </c>
      <c r="I622">
        <f t="shared" si="114"/>
        <v>0</v>
      </c>
      <c r="J622">
        <f t="shared" si="115"/>
        <v>0</v>
      </c>
      <c r="K622" t="str">
        <f t="shared" si="116"/>
        <v>January</v>
      </c>
      <c r="L622" t="str">
        <f t="shared" si="117"/>
        <v>Q1</v>
      </c>
      <c r="M622" s="2">
        <f t="shared" si="118"/>
        <v>1900</v>
      </c>
      <c r="N622" t="str">
        <f ca="1">IF(COUNTIFS(A$2:A622,A622,O$2:O622,O622)&gt;1,"Repeat","New")</f>
        <v>New</v>
      </c>
      <c r="O622" s="2" t="e">
        <f t="shared" ca="1" si="108"/>
        <v>#VALUE!</v>
      </c>
      <c r="P622" s="3" t="e">
        <f t="shared" ca="1" si="109"/>
        <v>#VALUE!</v>
      </c>
      <c r="Q622" s="6" t="str">
        <f t="shared" si="110"/>
        <v>Jan-00</v>
      </c>
      <c r="R622" s="6" t="str">
        <f t="shared" si="111"/>
        <v>Q1</v>
      </c>
      <c r="S622" s="6">
        <f t="shared" si="112"/>
        <v>1900</v>
      </c>
      <c r="T622" s="6" t="str">
        <f t="shared" si="113"/>
        <v>Retail</v>
      </c>
    </row>
    <row r="623" spans="8:20" x14ac:dyDescent="0.3">
      <c r="H623">
        <f t="shared" si="119"/>
        <v>0</v>
      </c>
      <c r="I623">
        <f t="shared" si="114"/>
        <v>0</v>
      </c>
      <c r="J623">
        <f t="shared" si="115"/>
        <v>0</v>
      </c>
      <c r="K623" t="str">
        <f t="shared" si="116"/>
        <v>January</v>
      </c>
      <c r="L623" t="str">
        <f t="shared" si="117"/>
        <v>Q1</v>
      </c>
      <c r="M623" s="2">
        <f t="shared" si="118"/>
        <v>1900</v>
      </c>
      <c r="N623" t="str">
        <f ca="1">IF(COUNTIFS(A$2:A623,A623,O$2:O623,O623)&gt;1,"Repeat","New")</f>
        <v>New</v>
      </c>
      <c r="O623" s="2" t="e">
        <f t="shared" ca="1" si="108"/>
        <v>#VALUE!</v>
      </c>
      <c r="P623" s="3" t="e">
        <f t="shared" ca="1" si="109"/>
        <v>#VALUE!</v>
      </c>
      <c r="Q623" s="6" t="str">
        <f t="shared" si="110"/>
        <v>Jan-00</v>
      </c>
      <c r="R623" s="6" t="str">
        <f t="shared" si="111"/>
        <v>Q1</v>
      </c>
      <c r="S623" s="6">
        <f t="shared" si="112"/>
        <v>1900</v>
      </c>
      <c r="T623" s="6" t="str">
        <f t="shared" si="113"/>
        <v>Retail</v>
      </c>
    </row>
    <row r="624" spans="8:20" x14ac:dyDescent="0.3">
      <c r="H624">
        <f t="shared" si="119"/>
        <v>0</v>
      </c>
      <c r="I624">
        <f t="shared" si="114"/>
        <v>0</v>
      </c>
      <c r="J624">
        <f t="shared" si="115"/>
        <v>0</v>
      </c>
      <c r="K624" t="str">
        <f t="shared" si="116"/>
        <v>January</v>
      </c>
      <c r="L624" t="str">
        <f t="shared" si="117"/>
        <v>Q1</v>
      </c>
      <c r="M624" s="2">
        <f t="shared" si="118"/>
        <v>1900</v>
      </c>
      <c r="N624" t="str">
        <f ca="1">IF(COUNTIFS(A$2:A624,A624,O$2:O624,O624)&gt;1,"Repeat","New")</f>
        <v>New</v>
      </c>
      <c r="O624" s="2" t="e">
        <f t="shared" ca="1" si="108"/>
        <v>#VALUE!</v>
      </c>
      <c r="P624" s="3" t="e">
        <f t="shared" ca="1" si="109"/>
        <v>#VALUE!</v>
      </c>
      <c r="Q624" s="6" t="str">
        <f t="shared" si="110"/>
        <v>Jan-00</v>
      </c>
      <c r="R624" s="6" t="str">
        <f t="shared" si="111"/>
        <v>Q1</v>
      </c>
      <c r="S624" s="6">
        <f t="shared" si="112"/>
        <v>1900</v>
      </c>
      <c r="T624" s="6" t="str">
        <f t="shared" si="113"/>
        <v>Retail</v>
      </c>
    </row>
    <row r="625" spans="8:20" x14ac:dyDescent="0.3">
      <c r="H625">
        <f t="shared" si="119"/>
        <v>0</v>
      </c>
      <c r="I625">
        <f t="shared" si="114"/>
        <v>0</v>
      </c>
      <c r="J625">
        <f t="shared" si="115"/>
        <v>0</v>
      </c>
      <c r="K625" t="str">
        <f t="shared" si="116"/>
        <v>January</v>
      </c>
      <c r="L625" t="str">
        <f t="shared" si="117"/>
        <v>Q1</v>
      </c>
      <c r="M625" s="2">
        <f t="shared" si="118"/>
        <v>1900</v>
      </c>
      <c r="N625" t="str">
        <f ca="1">IF(COUNTIFS(A$2:A625,A625,O$2:O625,O625)&gt;1,"Repeat","New")</f>
        <v>New</v>
      </c>
      <c r="O625" s="2" t="e">
        <f t="shared" ca="1" si="108"/>
        <v>#VALUE!</v>
      </c>
      <c r="P625" s="3" t="e">
        <f t="shared" ca="1" si="109"/>
        <v>#VALUE!</v>
      </c>
      <c r="Q625" s="6" t="str">
        <f t="shared" si="110"/>
        <v>Jan-00</v>
      </c>
      <c r="R625" s="6" t="str">
        <f t="shared" si="111"/>
        <v>Q1</v>
      </c>
      <c r="S625" s="6">
        <f t="shared" si="112"/>
        <v>1900</v>
      </c>
      <c r="T625" s="6" t="str">
        <f t="shared" si="113"/>
        <v>Retail</v>
      </c>
    </row>
    <row r="626" spans="8:20" x14ac:dyDescent="0.3">
      <c r="H626">
        <f t="shared" si="119"/>
        <v>0</v>
      </c>
      <c r="I626">
        <f t="shared" si="114"/>
        <v>0</v>
      </c>
      <c r="J626">
        <f t="shared" si="115"/>
        <v>0</v>
      </c>
      <c r="K626" t="str">
        <f t="shared" si="116"/>
        <v>January</v>
      </c>
      <c r="L626" t="str">
        <f t="shared" si="117"/>
        <v>Q1</v>
      </c>
      <c r="M626" s="2">
        <f t="shared" si="118"/>
        <v>1900</v>
      </c>
      <c r="N626" t="str">
        <f ca="1">IF(COUNTIFS(A$2:A626,A626,O$2:O626,O626)&gt;1,"Repeat","New")</f>
        <v>New</v>
      </c>
      <c r="O626" s="2" t="e">
        <f t="shared" ca="1" si="108"/>
        <v>#VALUE!</v>
      </c>
      <c r="P626" s="3" t="e">
        <f t="shared" ca="1" si="109"/>
        <v>#VALUE!</v>
      </c>
      <c r="Q626" s="6" t="str">
        <f t="shared" si="110"/>
        <v>Jan-00</v>
      </c>
      <c r="R626" s="6" t="str">
        <f t="shared" si="111"/>
        <v>Q1</v>
      </c>
      <c r="S626" s="6">
        <f t="shared" si="112"/>
        <v>1900</v>
      </c>
      <c r="T626" s="6" t="str">
        <f t="shared" si="113"/>
        <v>Retail</v>
      </c>
    </row>
    <row r="627" spans="8:20" x14ac:dyDescent="0.3">
      <c r="H627">
        <f t="shared" si="119"/>
        <v>0</v>
      </c>
      <c r="I627">
        <f t="shared" si="114"/>
        <v>0</v>
      </c>
      <c r="J627">
        <f t="shared" si="115"/>
        <v>0</v>
      </c>
      <c r="K627" t="str">
        <f t="shared" si="116"/>
        <v>January</v>
      </c>
      <c r="L627" t="str">
        <f t="shared" si="117"/>
        <v>Q1</v>
      </c>
      <c r="M627" s="2">
        <f t="shared" si="118"/>
        <v>1900</v>
      </c>
      <c r="N627" t="str">
        <f ca="1">IF(COUNTIFS(A$2:A627,A627,O$2:O627,O627)&gt;1,"Repeat","New")</f>
        <v>New</v>
      </c>
      <c r="O627" s="2" t="e">
        <f t="shared" ca="1" si="108"/>
        <v>#VALUE!</v>
      </c>
      <c r="P627" s="3" t="e">
        <f t="shared" ca="1" si="109"/>
        <v>#VALUE!</v>
      </c>
      <c r="Q627" s="6" t="str">
        <f t="shared" si="110"/>
        <v>Jan-00</v>
      </c>
      <c r="R627" s="6" t="str">
        <f t="shared" si="111"/>
        <v>Q1</v>
      </c>
      <c r="S627" s="6">
        <f t="shared" si="112"/>
        <v>1900</v>
      </c>
      <c r="T627" s="6" t="str">
        <f t="shared" si="113"/>
        <v>Retail</v>
      </c>
    </row>
    <row r="628" spans="8:20" x14ac:dyDescent="0.3">
      <c r="H628">
        <f t="shared" si="119"/>
        <v>0</v>
      </c>
      <c r="I628">
        <f t="shared" si="114"/>
        <v>0</v>
      </c>
      <c r="J628">
        <f t="shared" si="115"/>
        <v>0</v>
      </c>
      <c r="K628" t="str">
        <f t="shared" si="116"/>
        <v>January</v>
      </c>
      <c r="L628" t="str">
        <f t="shared" si="117"/>
        <v>Q1</v>
      </c>
      <c r="M628" s="2">
        <f t="shared" si="118"/>
        <v>1900</v>
      </c>
      <c r="N628" t="str">
        <f ca="1">IF(COUNTIFS(A$2:A628,A628,O$2:O628,O628)&gt;1,"Repeat","New")</f>
        <v>New</v>
      </c>
      <c r="O628" s="2" t="e">
        <f t="shared" ca="1" si="108"/>
        <v>#VALUE!</v>
      </c>
      <c r="P628" s="3" t="e">
        <f t="shared" ca="1" si="109"/>
        <v>#VALUE!</v>
      </c>
      <c r="Q628" s="6" t="str">
        <f t="shared" si="110"/>
        <v>Jan-00</v>
      </c>
      <c r="R628" s="6" t="str">
        <f t="shared" si="111"/>
        <v>Q1</v>
      </c>
      <c r="S628" s="6">
        <f t="shared" si="112"/>
        <v>1900</v>
      </c>
      <c r="T628" s="6" t="str">
        <f t="shared" si="113"/>
        <v>Retail</v>
      </c>
    </row>
    <row r="629" spans="8:20" x14ac:dyDescent="0.3">
      <c r="H629">
        <f t="shared" si="119"/>
        <v>0</v>
      </c>
      <c r="I629">
        <f t="shared" si="114"/>
        <v>0</v>
      </c>
      <c r="J629">
        <f t="shared" si="115"/>
        <v>0</v>
      </c>
      <c r="K629" t="str">
        <f t="shared" si="116"/>
        <v>January</v>
      </c>
      <c r="L629" t="str">
        <f t="shared" si="117"/>
        <v>Q1</v>
      </c>
      <c r="M629" s="2">
        <f t="shared" si="118"/>
        <v>1900</v>
      </c>
      <c r="N629" t="str">
        <f ca="1">IF(COUNTIFS(A$2:A629,A629,O$2:O629,O629)&gt;1,"Repeat","New")</f>
        <v>New</v>
      </c>
      <c r="O629" s="2" t="e">
        <f t="shared" ca="1" si="108"/>
        <v>#VALUE!</v>
      </c>
      <c r="P629" s="3" t="e">
        <f t="shared" ca="1" si="109"/>
        <v>#VALUE!</v>
      </c>
      <c r="Q629" s="6" t="str">
        <f t="shared" si="110"/>
        <v>Jan-00</v>
      </c>
      <c r="R629" s="6" t="str">
        <f t="shared" si="111"/>
        <v>Q1</v>
      </c>
      <c r="S629" s="6">
        <f t="shared" si="112"/>
        <v>1900</v>
      </c>
      <c r="T629" s="6" t="str">
        <f t="shared" si="113"/>
        <v>Retail</v>
      </c>
    </row>
    <row r="630" spans="8:20" x14ac:dyDescent="0.3">
      <c r="H630">
        <f t="shared" si="119"/>
        <v>0</v>
      </c>
      <c r="I630">
        <f t="shared" si="114"/>
        <v>0</v>
      </c>
      <c r="J630">
        <f t="shared" si="115"/>
        <v>0</v>
      </c>
      <c r="K630" t="str">
        <f t="shared" si="116"/>
        <v>January</v>
      </c>
      <c r="L630" t="str">
        <f t="shared" si="117"/>
        <v>Q1</v>
      </c>
      <c r="M630" s="2">
        <f t="shared" si="118"/>
        <v>1900</v>
      </c>
      <c r="N630" t="str">
        <f ca="1">IF(COUNTIFS(A$2:A630,A630,O$2:O630,O630)&gt;1,"Repeat","New")</f>
        <v>New</v>
      </c>
      <c r="O630" s="2" t="e">
        <f t="shared" ref="O630:O693" ca="1" si="120">M630-N630</f>
        <v>#VALUE!</v>
      </c>
      <c r="P630" s="3" t="e">
        <f t="shared" ref="P630:P693" ca="1" si="121">IF(M630&gt;0,O630/M630,0)</f>
        <v>#VALUE!</v>
      </c>
      <c r="Q630" s="6" t="str">
        <f t="shared" ref="Q630:Q693" si="122">TEXT(B630, "mmm-yy")</f>
        <v>Jan-00</v>
      </c>
      <c r="R630" s="6" t="str">
        <f t="shared" ref="R630:R693" si="123">"Q"&amp;INT((MONTH(B630)-1)/3)+1</f>
        <v>Q1</v>
      </c>
      <c r="S630" s="6">
        <f t="shared" ref="S630:S693" si="124">YEAR(B630)</f>
        <v>1900</v>
      </c>
      <c r="T630" s="6" t="str">
        <f t="shared" ref="T630:T693" si="125">IF(M630&gt;5000, "Enterprise", "Retail")</f>
        <v>Retail</v>
      </c>
    </row>
    <row r="631" spans="8:20" x14ac:dyDescent="0.3">
      <c r="H631">
        <f t="shared" si="119"/>
        <v>0</v>
      </c>
      <c r="I631">
        <f t="shared" si="114"/>
        <v>0</v>
      </c>
      <c r="J631">
        <f t="shared" si="115"/>
        <v>0</v>
      </c>
      <c r="K631" t="str">
        <f t="shared" si="116"/>
        <v>January</v>
      </c>
      <c r="L631" t="str">
        <f t="shared" si="117"/>
        <v>Q1</v>
      </c>
      <c r="M631" s="2">
        <f t="shared" si="118"/>
        <v>1900</v>
      </c>
      <c r="N631" t="str">
        <f ca="1">IF(COUNTIFS(A$2:A631,A631,O$2:O631,O631)&gt;1,"Repeat","New")</f>
        <v>New</v>
      </c>
      <c r="O631" s="2" t="e">
        <f t="shared" ca="1" si="120"/>
        <v>#VALUE!</v>
      </c>
      <c r="P631" s="3" t="e">
        <f t="shared" ca="1" si="121"/>
        <v>#VALUE!</v>
      </c>
      <c r="Q631" s="6" t="str">
        <f t="shared" si="122"/>
        <v>Jan-00</v>
      </c>
      <c r="R631" s="6" t="str">
        <f t="shared" si="123"/>
        <v>Q1</v>
      </c>
      <c r="S631" s="6">
        <f t="shared" si="124"/>
        <v>1900</v>
      </c>
      <c r="T631" s="6" t="str">
        <f t="shared" si="125"/>
        <v>Retail</v>
      </c>
    </row>
    <row r="632" spans="8:20" x14ac:dyDescent="0.3">
      <c r="H632">
        <f t="shared" si="119"/>
        <v>0</v>
      </c>
      <c r="I632">
        <f t="shared" si="114"/>
        <v>0</v>
      </c>
      <c r="J632">
        <f t="shared" si="115"/>
        <v>0</v>
      </c>
      <c r="K632" t="str">
        <f t="shared" si="116"/>
        <v>January</v>
      </c>
      <c r="L632" t="str">
        <f t="shared" si="117"/>
        <v>Q1</v>
      </c>
      <c r="M632" s="2">
        <f t="shared" si="118"/>
        <v>1900</v>
      </c>
      <c r="N632" t="str">
        <f ca="1">IF(COUNTIFS(A$2:A632,A632,O$2:O632,O632)&gt;1,"Repeat","New")</f>
        <v>New</v>
      </c>
      <c r="O632" s="2" t="e">
        <f t="shared" ca="1" si="120"/>
        <v>#VALUE!</v>
      </c>
      <c r="P632" s="3" t="e">
        <f t="shared" ca="1" si="121"/>
        <v>#VALUE!</v>
      </c>
      <c r="Q632" s="6" t="str">
        <f t="shared" si="122"/>
        <v>Jan-00</v>
      </c>
      <c r="R632" s="6" t="str">
        <f t="shared" si="123"/>
        <v>Q1</v>
      </c>
      <c r="S632" s="6">
        <f t="shared" si="124"/>
        <v>1900</v>
      </c>
      <c r="T632" s="6" t="str">
        <f t="shared" si="125"/>
        <v>Retail</v>
      </c>
    </row>
    <row r="633" spans="8:20" x14ac:dyDescent="0.3">
      <c r="H633">
        <f t="shared" si="119"/>
        <v>0</v>
      </c>
      <c r="I633">
        <f t="shared" si="114"/>
        <v>0</v>
      </c>
      <c r="J633">
        <f t="shared" si="115"/>
        <v>0</v>
      </c>
      <c r="K633" t="str">
        <f t="shared" si="116"/>
        <v>January</v>
      </c>
      <c r="L633" t="str">
        <f t="shared" si="117"/>
        <v>Q1</v>
      </c>
      <c r="M633" s="2">
        <f t="shared" si="118"/>
        <v>1900</v>
      </c>
      <c r="N633" t="str">
        <f ca="1">IF(COUNTIFS(A$2:A633,A633,O$2:O633,O633)&gt;1,"Repeat","New")</f>
        <v>New</v>
      </c>
      <c r="O633" s="2" t="e">
        <f t="shared" ca="1" si="120"/>
        <v>#VALUE!</v>
      </c>
      <c r="P633" s="3" t="e">
        <f t="shared" ca="1" si="121"/>
        <v>#VALUE!</v>
      </c>
      <c r="Q633" s="6" t="str">
        <f t="shared" si="122"/>
        <v>Jan-00</v>
      </c>
      <c r="R633" s="6" t="str">
        <f t="shared" si="123"/>
        <v>Q1</v>
      </c>
      <c r="S633" s="6">
        <f t="shared" si="124"/>
        <v>1900</v>
      </c>
      <c r="T633" s="6" t="str">
        <f t="shared" si="125"/>
        <v>Retail</v>
      </c>
    </row>
    <row r="634" spans="8:20" x14ac:dyDescent="0.3">
      <c r="H634">
        <f t="shared" si="119"/>
        <v>0</v>
      </c>
      <c r="I634">
        <f t="shared" si="114"/>
        <v>0</v>
      </c>
      <c r="J634">
        <f t="shared" si="115"/>
        <v>0</v>
      </c>
      <c r="K634" t="str">
        <f t="shared" si="116"/>
        <v>January</v>
      </c>
      <c r="L634" t="str">
        <f t="shared" si="117"/>
        <v>Q1</v>
      </c>
      <c r="M634" s="2">
        <f t="shared" si="118"/>
        <v>1900</v>
      </c>
      <c r="N634" t="str">
        <f ca="1">IF(COUNTIFS(A$2:A634,A634,O$2:O634,O634)&gt;1,"Repeat","New")</f>
        <v>New</v>
      </c>
      <c r="O634" s="2" t="e">
        <f t="shared" ca="1" si="120"/>
        <v>#VALUE!</v>
      </c>
      <c r="P634" s="3" t="e">
        <f t="shared" ca="1" si="121"/>
        <v>#VALUE!</v>
      </c>
      <c r="Q634" s="6" t="str">
        <f t="shared" si="122"/>
        <v>Jan-00</v>
      </c>
      <c r="R634" s="6" t="str">
        <f t="shared" si="123"/>
        <v>Q1</v>
      </c>
      <c r="S634" s="6">
        <f t="shared" si="124"/>
        <v>1900</v>
      </c>
      <c r="T634" s="6" t="str">
        <f t="shared" si="125"/>
        <v>Retail</v>
      </c>
    </row>
    <row r="635" spans="8:20" x14ac:dyDescent="0.3">
      <c r="H635">
        <f t="shared" si="119"/>
        <v>0</v>
      </c>
      <c r="I635">
        <f t="shared" si="114"/>
        <v>0</v>
      </c>
      <c r="J635">
        <f t="shared" si="115"/>
        <v>0</v>
      </c>
      <c r="K635" t="str">
        <f t="shared" si="116"/>
        <v>January</v>
      </c>
      <c r="L635" t="str">
        <f t="shared" si="117"/>
        <v>Q1</v>
      </c>
      <c r="M635" s="2">
        <f t="shared" si="118"/>
        <v>1900</v>
      </c>
      <c r="N635" t="str">
        <f ca="1">IF(COUNTIFS(A$2:A635,A635,O$2:O635,O635)&gt;1,"Repeat","New")</f>
        <v>New</v>
      </c>
      <c r="O635" s="2" t="e">
        <f t="shared" ca="1" si="120"/>
        <v>#VALUE!</v>
      </c>
      <c r="P635" s="3" t="e">
        <f t="shared" ca="1" si="121"/>
        <v>#VALUE!</v>
      </c>
      <c r="Q635" s="6" t="str">
        <f t="shared" si="122"/>
        <v>Jan-00</v>
      </c>
      <c r="R635" s="6" t="str">
        <f t="shared" si="123"/>
        <v>Q1</v>
      </c>
      <c r="S635" s="6">
        <f t="shared" si="124"/>
        <v>1900</v>
      </c>
      <c r="T635" s="6" t="str">
        <f t="shared" si="125"/>
        <v>Retail</v>
      </c>
    </row>
    <row r="636" spans="8:20" x14ac:dyDescent="0.3">
      <c r="H636">
        <f t="shared" si="119"/>
        <v>0</v>
      </c>
      <c r="I636">
        <f t="shared" si="114"/>
        <v>0</v>
      </c>
      <c r="J636">
        <f t="shared" si="115"/>
        <v>0</v>
      </c>
      <c r="K636" t="str">
        <f t="shared" si="116"/>
        <v>January</v>
      </c>
      <c r="L636" t="str">
        <f t="shared" si="117"/>
        <v>Q1</v>
      </c>
      <c r="M636" s="2">
        <f t="shared" si="118"/>
        <v>1900</v>
      </c>
      <c r="N636" t="str">
        <f ca="1">IF(COUNTIFS(A$2:A636,A636,O$2:O636,O636)&gt;1,"Repeat","New")</f>
        <v>New</v>
      </c>
      <c r="O636" s="2" t="e">
        <f t="shared" ca="1" si="120"/>
        <v>#VALUE!</v>
      </c>
      <c r="P636" s="3" t="e">
        <f t="shared" ca="1" si="121"/>
        <v>#VALUE!</v>
      </c>
      <c r="Q636" s="6" t="str">
        <f t="shared" si="122"/>
        <v>Jan-00</v>
      </c>
      <c r="R636" s="6" t="str">
        <f t="shared" si="123"/>
        <v>Q1</v>
      </c>
      <c r="S636" s="6">
        <f t="shared" si="124"/>
        <v>1900</v>
      </c>
      <c r="T636" s="6" t="str">
        <f t="shared" si="125"/>
        <v>Retail</v>
      </c>
    </row>
    <row r="637" spans="8:20" x14ac:dyDescent="0.3">
      <c r="H637">
        <f t="shared" si="119"/>
        <v>0</v>
      </c>
      <c r="I637">
        <f t="shared" si="114"/>
        <v>0</v>
      </c>
      <c r="J637">
        <f t="shared" si="115"/>
        <v>0</v>
      </c>
      <c r="K637" t="str">
        <f t="shared" si="116"/>
        <v>January</v>
      </c>
      <c r="L637" t="str">
        <f t="shared" si="117"/>
        <v>Q1</v>
      </c>
      <c r="M637" s="2">
        <f t="shared" si="118"/>
        <v>1900</v>
      </c>
      <c r="N637" t="str">
        <f ca="1">IF(COUNTIFS(A$2:A637,A637,O$2:O637,O637)&gt;1,"Repeat","New")</f>
        <v>New</v>
      </c>
      <c r="O637" s="2" t="e">
        <f t="shared" ca="1" si="120"/>
        <v>#VALUE!</v>
      </c>
      <c r="P637" s="3" t="e">
        <f t="shared" ca="1" si="121"/>
        <v>#VALUE!</v>
      </c>
      <c r="Q637" s="6" t="str">
        <f t="shared" si="122"/>
        <v>Jan-00</v>
      </c>
      <c r="R637" s="6" t="str">
        <f t="shared" si="123"/>
        <v>Q1</v>
      </c>
      <c r="S637" s="6">
        <f t="shared" si="124"/>
        <v>1900</v>
      </c>
      <c r="T637" s="6" t="str">
        <f t="shared" si="125"/>
        <v>Retail</v>
      </c>
    </row>
    <row r="638" spans="8:20" x14ac:dyDescent="0.3">
      <c r="H638">
        <f t="shared" si="119"/>
        <v>0</v>
      </c>
      <c r="I638">
        <f t="shared" si="114"/>
        <v>0</v>
      </c>
      <c r="J638">
        <f t="shared" si="115"/>
        <v>0</v>
      </c>
      <c r="K638" t="str">
        <f t="shared" si="116"/>
        <v>January</v>
      </c>
      <c r="L638" t="str">
        <f t="shared" si="117"/>
        <v>Q1</v>
      </c>
      <c r="M638" s="2">
        <f t="shared" si="118"/>
        <v>1900</v>
      </c>
      <c r="N638" t="str">
        <f ca="1">IF(COUNTIFS(A$2:A638,A638,O$2:O638,O638)&gt;1,"Repeat","New")</f>
        <v>New</v>
      </c>
      <c r="O638" s="2" t="e">
        <f t="shared" ca="1" si="120"/>
        <v>#VALUE!</v>
      </c>
      <c r="P638" s="3" t="e">
        <f t="shared" ca="1" si="121"/>
        <v>#VALUE!</v>
      </c>
      <c r="Q638" s="6" t="str">
        <f t="shared" si="122"/>
        <v>Jan-00</v>
      </c>
      <c r="R638" s="6" t="str">
        <f t="shared" si="123"/>
        <v>Q1</v>
      </c>
      <c r="S638" s="6">
        <f t="shared" si="124"/>
        <v>1900</v>
      </c>
      <c r="T638" s="6" t="str">
        <f t="shared" si="125"/>
        <v>Retail</v>
      </c>
    </row>
    <row r="639" spans="8:20" x14ac:dyDescent="0.3">
      <c r="H639">
        <f t="shared" si="119"/>
        <v>0</v>
      </c>
      <c r="I639">
        <f t="shared" si="114"/>
        <v>0</v>
      </c>
      <c r="J639">
        <f t="shared" si="115"/>
        <v>0</v>
      </c>
      <c r="K639" t="str">
        <f t="shared" si="116"/>
        <v>January</v>
      </c>
      <c r="L639" t="str">
        <f t="shared" si="117"/>
        <v>Q1</v>
      </c>
      <c r="M639" s="2">
        <f t="shared" si="118"/>
        <v>1900</v>
      </c>
      <c r="N639" t="str">
        <f ca="1">IF(COUNTIFS(A$2:A639,A639,O$2:O639,O639)&gt;1,"Repeat","New")</f>
        <v>New</v>
      </c>
      <c r="O639" s="2" t="e">
        <f t="shared" ca="1" si="120"/>
        <v>#VALUE!</v>
      </c>
      <c r="P639" s="3" t="e">
        <f t="shared" ca="1" si="121"/>
        <v>#VALUE!</v>
      </c>
      <c r="Q639" s="6" t="str">
        <f t="shared" si="122"/>
        <v>Jan-00</v>
      </c>
      <c r="R639" s="6" t="str">
        <f t="shared" si="123"/>
        <v>Q1</v>
      </c>
      <c r="S639" s="6">
        <f t="shared" si="124"/>
        <v>1900</v>
      </c>
      <c r="T639" s="6" t="str">
        <f t="shared" si="125"/>
        <v>Retail</v>
      </c>
    </row>
    <row r="640" spans="8:20" x14ac:dyDescent="0.3">
      <c r="H640">
        <f t="shared" si="119"/>
        <v>0</v>
      </c>
      <c r="I640">
        <f t="shared" si="114"/>
        <v>0</v>
      </c>
      <c r="J640">
        <f t="shared" si="115"/>
        <v>0</v>
      </c>
      <c r="K640" t="str">
        <f t="shared" si="116"/>
        <v>January</v>
      </c>
      <c r="L640" t="str">
        <f t="shared" si="117"/>
        <v>Q1</v>
      </c>
      <c r="M640" s="2">
        <f t="shared" si="118"/>
        <v>1900</v>
      </c>
      <c r="N640" t="str">
        <f ca="1">IF(COUNTIFS(A$2:A640,A640,O$2:O640,O640)&gt;1,"Repeat","New")</f>
        <v>New</v>
      </c>
      <c r="O640" s="2" t="e">
        <f t="shared" ca="1" si="120"/>
        <v>#VALUE!</v>
      </c>
      <c r="P640" s="3" t="e">
        <f t="shared" ca="1" si="121"/>
        <v>#VALUE!</v>
      </c>
      <c r="Q640" s="6" t="str">
        <f t="shared" si="122"/>
        <v>Jan-00</v>
      </c>
      <c r="R640" s="6" t="str">
        <f t="shared" si="123"/>
        <v>Q1</v>
      </c>
      <c r="S640" s="6">
        <f t="shared" si="124"/>
        <v>1900</v>
      </c>
      <c r="T640" s="6" t="str">
        <f t="shared" si="125"/>
        <v>Retail</v>
      </c>
    </row>
    <row r="641" spans="8:20" x14ac:dyDescent="0.3">
      <c r="H641">
        <f t="shared" si="119"/>
        <v>0</v>
      </c>
      <c r="I641">
        <f t="shared" si="114"/>
        <v>0</v>
      </c>
      <c r="J641">
        <f t="shared" si="115"/>
        <v>0</v>
      </c>
      <c r="K641" t="str">
        <f t="shared" si="116"/>
        <v>January</v>
      </c>
      <c r="L641" t="str">
        <f t="shared" si="117"/>
        <v>Q1</v>
      </c>
      <c r="M641" s="2">
        <f t="shared" si="118"/>
        <v>1900</v>
      </c>
      <c r="N641" t="str">
        <f ca="1">IF(COUNTIFS(A$2:A641,A641,O$2:O641,O641)&gt;1,"Repeat","New")</f>
        <v>New</v>
      </c>
      <c r="O641" s="2" t="e">
        <f t="shared" ca="1" si="120"/>
        <v>#VALUE!</v>
      </c>
      <c r="P641" s="3" t="e">
        <f t="shared" ca="1" si="121"/>
        <v>#VALUE!</v>
      </c>
      <c r="Q641" s="6" t="str">
        <f t="shared" si="122"/>
        <v>Jan-00</v>
      </c>
      <c r="R641" s="6" t="str">
        <f t="shared" si="123"/>
        <v>Q1</v>
      </c>
      <c r="S641" s="6">
        <f t="shared" si="124"/>
        <v>1900</v>
      </c>
      <c r="T641" s="6" t="str">
        <f t="shared" si="125"/>
        <v>Retail</v>
      </c>
    </row>
    <row r="642" spans="8:20" x14ac:dyDescent="0.3">
      <c r="H642">
        <f t="shared" si="119"/>
        <v>0</v>
      </c>
      <c r="I642">
        <f t="shared" ref="I642:I705" si="126">H642-(D642*F642)</f>
        <v>0</v>
      </c>
      <c r="J642">
        <f t="shared" ref="J642:J705" si="127">IF(H642&gt;0,I642/H642,0)</f>
        <v>0</v>
      </c>
      <c r="K642" t="str">
        <f t="shared" ref="K642:K705" si="128">TEXT(A642,"mmmm")</f>
        <v>January</v>
      </c>
      <c r="L642" t="str">
        <f t="shared" ref="L642:L705" si="129">"Q"&amp;ROUNDUP(MONTH(A642)/3,0)</f>
        <v>Q1</v>
      </c>
      <c r="M642" s="2">
        <f t="shared" ref="M642:M705" si="130">YEAR(A642)</f>
        <v>1900</v>
      </c>
      <c r="N642" t="str">
        <f ca="1">IF(COUNTIFS(A$2:A642,A642,O$2:O642,O642)&gt;1,"Repeat","New")</f>
        <v>New</v>
      </c>
      <c r="O642" s="2" t="e">
        <f t="shared" ca="1" si="120"/>
        <v>#VALUE!</v>
      </c>
      <c r="P642" s="3" t="e">
        <f t="shared" ca="1" si="121"/>
        <v>#VALUE!</v>
      </c>
      <c r="Q642" s="6" t="str">
        <f t="shared" si="122"/>
        <v>Jan-00</v>
      </c>
      <c r="R642" s="6" t="str">
        <f t="shared" si="123"/>
        <v>Q1</v>
      </c>
      <c r="S642" s="6">
        <f t="shared" si="124"/>
        <v>1900</v>
      </c>
      <c r="T642" s="6" t="str">
        <f t="shared" si="125"/>
        <v>Retail</v>
      </c>
    </row>
    <row r="643" spans="8:20" x14ac:dyDescent="0.3">
      <c r="H643">
        <f t="shared" ref="H643:H706" si="131">(E643*F643)*(1-G643)</f>
        <v>0</v>
      </c>
      <c r="I643">
        <f t="shared" si="126"/>
        <v>0</v>
      </c>
      <c r="J643">
        <f t="shared" si="127"/>
        <v>0</v>
      </c>
      <c r="K643" t="str">
        <f t="shared" si="128"/>
        <v>January</v>
      </c>
      <c r="L643" t="str">
        <f t="shared" si="129"/>
        <v>Q1</v>
      </c>
      <c r="M643" s="2">
        <f t="shared" si="130"/>
        <v>1900</v>
      </c>
      <c r="N643" t="str">
        <f ca="1">IF(COUNTIFS(A$2:A643,A643,O$2:O643,O643)&gt;1,"Repeat","New")</f>
        <v>New</v>
      </c>
      <c r="O643" s="2" t="e">
        <f t="shared" ca="1" si="120"/>
        <v>#VALUE!</v>
      </c>
      <c r="P643" s="3" t="e">
        <f t="shared" ca="1" si="121"/>
        <v>#VALUE!</v>
      </c>
      <c r="Q643" s="6" t="str">
        <f t="shared" si="122"/>
        <v>Jan-00</v>
      </c>
      <c r="R643" s="6" t="str">
        <f t="shared" si="123"/>
        <v>Q1</v>
      </c>
      <c r="S643" s="6">
        <f t="shared" si="124"/>
        <v>1900</v>
      </c>
      <c r="T643" s="6" t="str">
        <f t="shared" si="125"/>
        <v>Retail</v>
      </c>
    </row>
    <row r="644" spans="8:20" x14ac:dyDescent="0.3">
      <c r="H644">
        <f t="shared" si="131"/>
        <v>0</v>
      </c>
      <c r="I644">
        <f t="shared" si="126"/>
        <v>0</v>
      </c>
      <c r="J644">
        <f t="shared" si="127"/>
        <v>0</v>
      </c>
      <c r="K644" t="str">
        <f t="shared" si="128"/>
        <v>January</v>
      </c>
      <c r="L644" t="str">
        <f t="shared" si="129"/>
        <v>Q1</v>
      </c>
      <c r="M644" s="2">
        <f t="shared" si="130"/>
        <v>1900</v>
      </c>
      <c r="N644" t="str">
        <f ca="1">IF(COUNTIFS(A$2:A644,A644,O$2:O644,O644)&gt;1,"Repeat","New")</f>
        <v>New</v>
      </c>
      <c r="O644" s="2" t="e">
        <f t="shared" ca="1" si="120"/>
        <v>#VALUE!</v>
      </c>
      <c r="P644" s="3" t="e">
        <f t="shared" ca="1" si="121"/>
        <v>#VALUE!</v>
      </c>
      <c r="Q644" s="6" t="str">
        <f t="shared" si="122"/>
        <v>Jan-00</v>
      </c>
      <c r="R644" s="6" t="str">
        <f t="shared" si="123"/>
        <v>Q1</v>
      </c>
      <c r="S644" s="6">
        <f t="shared" si="124"/>
        <v>1900</v>
      </c>
      <c r="T644" s="6" t="str">
        <f t="shared" si="125"/>
        <v>Retail</v>
      </c>
    </row>
    <row r="645" spans="8:20" x14ac:dyDescent="0.3">
      <c r="H645">
        <f t="shared" si="131"/>
        <v>0</v>
      </c>
      <c r="I645">
        <f t="shared" si="126"/>
        <v>0</v>
      </c>
      <c r="J645">
        <f t="shared" si="127"/>
        <v>0</v>
      </c>
      <c r="K645" t="str">
        <f t="shared" si="128"/>
        <v>January</v>
      </c>
      <c r="L645" t="str">
        <f t="shared" si="129"/>
        <v>Q1</v>
      </c>
      <c r="M645" s="2">
        <f t="shared" si="130"/>
        <v>1900</v>
      </c>
      <c r="N645" t="str">
        <f ca="1">IF(COUNTIFS(A$2:A645,A645,O$2:O645,O645)&gt;1,"Repeat","New")</f>
        <v>New</v>
      </c>
      <c r="O645" s="2" t="e">
        <f t="shared" ca="1" si="120"/>
        <v>#VALUE!</v>
      </c>
      <c r="P645" s="3" t="e">
        <f t="shared" ca="1" si="121"/>
        <v>#VALUE!</v>
      </c>
      <c r="Q645" s="6" t="str">
        <f t="shared" si="122"/>
        <v>Jan-00</v>
      </c>
      <c r="R645" s="6" t="str">
        <f t="shared" si="123"/>
        <v>Q1</v>
      </c>
      <c r="S645" s="6">
        <f t="shared" si="124"/>
        <v>1900</v>
      </c>
      <c r="T645" s="6" t="str">
        <f t="shared" si="125"/>
        <v>Retail</v>
      </c>
    </row>
    <row r="646" spans="8:20" x14ac:dyDescent="0.3">
      <c r="H646">
        <f t="shared" si="131"/>
        <v>0</v>
      </c>
      <c r="I646">
        <f t="shared" si="126"/>
        <v>0</v>
      </c>
      <c r="J646">
        <f t="shared" si="127"/>
        <v>0</v>
      </c>
      <c r="K646" t="str">
        <f t="shared" si="128"/>
        <v>January</v>
      </c>
      <c r="L646" t="str">
        <f t="shared" si="129"/>
        <v>Q1</v>
      </c>
      <c r="M646" s="2">
        <f t="shared" si="130"/>
        <v>1900</v>
      </c>
      <c r="N646" t="str">
        <f ca="1">IF(COUNTIFS(A$2:A646,A646,O$2:O646,O646)&gt;1,"Repeat","New")</f>
        <v>New</v>
      </c>
      <c r="O646" s="2" t="e">
        <f t="shared" ca="1" si="120"/>
        <v>#VALUE!</v>
      </c>
      <c r="P646" s="3" t="e">
        <f t="shared" ca="1" si="121"/>
        <v>#VALUE!</v>
      </c>
      <c r="Q646" s="6" t="str">
        <f t="shared" si="122"/>
        <v>Jan-00</v>
      </c>
      <c r="R646" s="6" t="str">
        <f t="shared" si="123"/>
        <v>Q1</v>
      </c>
      <c r="S646" s="6">
        <f t="shared" si="124"/>
        <v>1900</v>
      </c>
      <c r="T646" s="6" t="str">
        <f t="shared" si="125"/>
        <v>Retail</v>
      </c>
    </row>
    <row r="647" spans="8:20" x14ac:dyDescent="0.3">
      <c r="H647">
        <f t="shared" si="131"/>
        <v>0</v>
      </c>
      <c r="I647">
        <f t="shared" si="126"/>
        <v>0</v>
      </c>
      <c r="J647">
        <f t="shared" si="127"/>
        <v>0</v>
      </c>
      <c r="K647" t="str">
        <f t="shared" si="128"/>
        <v>January</v>
      </c>
      <c r="L647" t="str">
        <f t="shared" si="129"/>
        <v>Q1</v>
      </c>
      <c r="M647" s="2">
        <f t="shared" si="130"/>
        <v>1900</v>
      </c>
      <c r="N647" t="str">
        <f ca="1">IF(COUNTIFS(A$2:A647,A647,O$2:O647,O647)&gt;1,"Repeat","New")</f>
        <v>New</v>
      </c>
      <c r="O647" s="2" t="e">
        <f t="shared" ca="1" si="120"/>
        <v>#VALUE!</v>
      </c>
      <c r="P647" s="3" t="e">
        <f t="shared" ca="1" si="121"/>
        <v>#VALUE!</v>
      </c>
      <c r="Q647" s="6" t="str">
        <f t="shared" si="122"/>
        <v>Jan-00</v>
      </c>
      <c r="R647" s="6" t="str">
        <f t="shared" si="123"/>
        <v>Q1</v>
      </c>
      <c r="S647" s="6">
        <f t="shared" si="124"/>
        <v>1900</v>
      </c>
      <c r="T647" s="6" t="str">
        <f t="shared" si="125"/>
        <v>Retail</v>
      </c>
    </row>
    <row r="648" spans="8:20" x14ac:dyDescent="0.3">
      <c r="H648">
        <f t="shared" si="131"/>
        <v>0</v>
      </c>
      <c r="I648">
        <f t="shared" si="126"/>
        <v>0</v>
      </c>
      <c r="J648">
        <f t="shared" si="127"/>
        <v>0</v>
      </c>
      <c r="K648" t="str">
        <f t="shared" si="128"/>
        <v>January</v>
      </c>
      <c r="L648" t="str">
        <f t="shared" si="129"/>
        <v>Q1</v>
      </c>
      <c r="M648" s="2">
        <f t="shared" si="130"/>
        <v>1900</v>
      </c>
      <c r="N648" t="str">
        <f ca="1">IF(COUNTIFS(A$2:A648,A648,O$2:O648,O648)&gt;1,"Repeat","New")</f>
        <v>New</v>
      </c>
      <c r="O648" s="2" t="e">
        <f t="shared" ca="1" si="120"/>
        <v>#VALUE!</v>
      </c>
      <c r="P648" s="3" t="e">
        <f t="shared" ca="1" si="121"/>
        <v>#VALUE!</v>
      </c>
      <c r="Q648" s="6" t="str">
        <f t="shared" si="122"/>
        <v>Jan-00</v>
      </c>
      <c r="R648" s="6" t="str">
        <f t="shared" si="123"/>
        <v>Q1</v>
      </c>
      <c r="S648" s="6">
        <f t="shared" si="124"/>
        <v>1900</v>
      </c>
      <c r="T648" s="6" t="str">
        <f t="shared" si="125"/>
        <v>Retail</v>
      </c>
    </row>
    <row r="649" spans="8:20" x14ac:dyDescent="0.3">
      <c r="H649">
        <f t="shared" si="131"/>
        <v>0</v>
      </c>
      <c r="I649">
        <f t="shared" si="126"/>
        <v>0</v>
      </c>
      <c r="J649">
        <f t="shared" si="127"/>
        <v>0</v>
      </c>
      <c r="K649" t="str">
        <f t="shared" si="128"/>
        <v>January</v>
      </c>
      <c r="L649" t="str">
        <f t="shared" si="129"/>
        <v>Q1</v>
      </c>
      <c r="M649" s="2">
        <f t="shared" si="130"/>
        <v>1900</v>
      </c>
      <c r="N649" t="str">
        <f ca="1">IF(COUNTIFS(A$2:A649,A649,O$2:O649,O649)&gt;1,"Repeat","New")</f>
        <v>New</v>
      </c>
      <c r="O649" s="2" t="e">
        <f t="shared" ca="1" si="120"/>
        <v>#VALUE!</v>
      </c>
      <c r="P649" s="3" t="e">
        <f t="shared" ca="1" si="121"/>
        <v>#VALUE!</v>
      </c>
      <c r="Q649" s="6" t="str">
        <f t="shared" si="122"/>
        <v>Jan-00</v>
      </c>
      <c r="R649" s="6" t="str">
        <f t="shared" si="123"/>
        <v>Q1</v>
      </c>
      <c r="S649" s="6">
        <f t="shared" si="124"/>
        <v>1900</v>
      </c>
      <c r="T649" s="6" t="str">
        <f t="shared" si="125"/>
        <v>Retail</v>
      </c>
    </row>
    <row r="650" spans="8:20" x14ac:dyDescent="0.3">
      <c r="H650">
        <f t="shared" si="131"/>
        <v>0</v>
      </c>
      <c r="I650">
        <f t="shared" si="126"/>
        <v>0</v>
      </c>
      <c r="J650">
        <f t="shared" si="127"/>
        <v>0</v>
      </c>
      <c r="K650" t="str">
        <f t="shared" si="128"/>
        <v>January</v>
      </c>
      <c r="L650" t="str">
        <f t="shared" si="129"/>
        <v>Q1</v>
      </c>
      <c r="M650" s="2">
        <f t="shared" si="130"/>
        <v>1900</v>
      </c>
      <c r="N650" t="str">
        <f ca="1">IF(COUNTIFS(A$2:A650,A650,O$2:O650,O650)&gt;1,"Repeat","New")</f>
        <v>New</v>
      </c>
      <c r="O650" s="2" t="e">
        <f t="shared" ca="1" si="120"/>
        <v>#VALUE!</v>
      </c>
      <c r="P650" s="3" t="e">
        <f t="shared" ca="1" si="121"/>
        <v>#VALUE!</v>
      </c>
      <c r="Q650" s="6" t="str">
        <f t="shared" si="122"/>
        <v>Jan-00</v>
      </c>
      <c r="R650" s="6" t="str">
        <f t="shared" si="123"/>
        <v>Q1</v>
      </c>
      <c r="S650" s="6">
        <f t="shared" si="124"/>
        <v>1900</v>
      </c>
      <c r="T650" s="6" t="str">
        <f t="shared" si="125"/>
        <v>Retail</v>
      </c>
    </row>
    <row r="651" spans="8:20" x14ac:dyDescent="0.3">
      <c r="H651">
        <f t="shared" si="131"/>
        <v>0</v>
      </c>
      <c r="I651">
        <f t="shared" si="126"/>
        <v>0</v>
      </c>
      <c r="J651">
        <f t="shared" si="127"/>
        <v>0</v>
      </c>
      <c r="K651" t="str">
        <f t="shared" si="128"/>
        <v>January</v>
      </c>
      <c r="L651" t="str">
        <f t="shared" si="129"/>
        <v>Q1</v>
      </c>
      <c r="M651" s="2">
        <f t="shared" si="130"/>
        <v>1900</v>
      </c>
      <c r="N651" t="str">
        <f ca="1">IF(COUNTIFS(A$2:A651,A651,O$2:O651,O651)&gt;1,"Repeat","New")</f>
        <v>New</v>
      </c>
      <c r="O651" s="2" t="e">
        <f t="shared" ca="1" si="120"/>
        <v>#VALUE!</v>
      </c>
      <c r="P651" s="3" t="e">
        <f t="shared" ca="1" si="121"/>
        <v>#VALUE!</v>
      </c>
      <c r="Q651" s="6" t="str">
        <f t="shared" si="122"/>
        <v>Jan-00</v>
      </c>
      <c r="R651" s="6" t="str">
        <f t="shared" si="123"/>
        <v>Q1</v>
      </c>
      <c r="S651" s="6">
        <f t="shared" si="124"/>
        <v>1900</v>
      </c>
      <c r="T651" s="6" t="str">
        <f t="shared" si="125"/>
        <v>Retail</v>
      </c>
    </row>
    <row r="652" spans="8:20" x14ac:dyDescent="0.3">
      <c r="H652">
        <f t="shared" si="131"/>
        <v>0</v>
      </c>
      <c r="I652">
        <f t="shared" si="126"/>
        <v>0</v>
      </c>
      <c r="J652">
        <f t="shared" si="127"/>
        <v>0</v>
      </c>
      <c r="K652" t="str">
        <f t="shared" si="128"/>
        <v>January</v>
      </c>
      <c r="L652" t="str">
        <f t="shared" si="129"/>
        <v>Q1</v>
      </c>
      <c r="M652" s="2">
        <f t="shared" si="130"/>
        <v>1900</v>
      </c>
      <c r="N652" t="str">
        <f ca="1">IF(COUNTIFS(A$2:A652,A652,O$2:O652,O652)&gt;1,"Repeat","New")</f>
        <v>New</v>
      </c>
      <c r="O652" s="2" t="e">
        <f t="shared" ca="1" si="120"/>
        <v>#VALUE!</v>
      </c>
      <c r="P652" s="3" t="e">
        <f t="shared" ca="1" si="121"/>
        <v>#VALUE!</v>
      </c>
      <c r="Q652" s="6" t="str">
        <f t="shared" si="122"/>
        <v>Jan-00</v>
      </c>
      <c r="R652" s="6" t="str">
        <f t="shared" si="123"/>
        <v>Q1</v>
      </c>
      <c r="S652" s="6">
        <f t="shared" si="124"/>
        <v>1900</v>
      </c>
      <c r="T652" s="6" t="str">
        <f t="shared" si="125"/>
        <v>Retail</v>
      </c>
    </row>
    <row r="653" spans="8:20" x14ac:dyDescent="0.3">
      <c r="H653">
        <f t="shared" si="131"/>
        <v>0</v>
      </c>
      <c r="I653">
        <f t="shared" si="126"/>
        <v>0</v>
      </c>
      <c r="J653">
        <f t="shared" si="127"/>
        <v>0</v>
      </c>
      <c r="K653" t="str">
        <f t="shared" si="128"/>
        <v>January</v>
      </c>
      <c r="L653" t="str">
        <f t="shared" si="129"/>
        <v>Q1</v>
      </c>
      <c r="M653" s="2">
        <f t="shared" si="130"/>
        <v>1900</v>
      </c>
      <c r="N653" t="str">
        <f ca="1">IF(COUNTIFS(A$2:A653,A653,O$2:O653,O653)&gt;1,"Repeat","New")</f>
        <v>New</v>
      </c>
      <c r="O653" s="2" t="e">
        <f t="shared" ca="1" si="120"/>
        <v>#VALUE!</v>
      </c>
      <c r="P653" s="3" t="e">
        <f t="shared" ca="1" si="121"/>
        <v>#VALUE!</v>
      </c>
      <c r="Q653" s="6" t="str">
        <f t="shared" si="122"/>
        <v>Jan-00</v>
      </c>
      <c r="R653" s="6" t="str">
        <f t="shared" si="123"/>
        <v>Q1</v>
      </c>
      <c r="S653" s="6">
        <f t="shared" si="124"/>
        <v>1900</v>
      </c>
      <c r="T653" s="6" t="str">
        <f t="shared" si="125"/>
        <v>Retail</v>
      </c>
    </row>
    <row r="654" spans="8:20" x14ac:dyDescent="0.3">
      <c r="H654">
        <f t="shared" si="131"/>
        <v>0</v>
      </c>
      <c r="I654">
        <f t="shared" si="126"/>
        <v>0</v>
      </c>
      <c r="J654">
        <f t="shared" si="127"/>
        <v>0</v>
      </c>
      <c r="K654" t="str">
        <f t="shared" si="128"/>
        <v>January</v>
      </c>
      <c r="L654" t="str">
        <f t="shared" si="129"/>
        <v>Q1</v>
      </c>
      <c r="M654" s="2">
        <f t="shared" si="130"/>
        <v>1900</v>
      </c>
      <c r="N654" t="str">
        <f ca="1">IF(COUNTIFS(A$2:A654,A654,O$2:O654,O654)&gt;1,"Repeat","New")</f>
        <v>New</v>
      </c>
      <c r="O654" s="2" t="e">
        <f t="shared" ca="1" si="120"/>
        <v>#VALUE!</v>
      </c>
      <c r="P654" s="3" t="e">
        <f t="shared" ca="1" si="121"/>
        <v>#VALUE!</v>
      </c>
      <c r="Q654" s="6" t="str">
        <f t="shared" si="122"/>
        <v>Jan-00</v>
      </c>
      <c r="R654" s="6" t="str">
        <f t="shared" si="123"/>
        <v>Q1</v>
      </c>
      <c r="S654" s="6">
        <f t="shared" si="124"/>
        <v>1900</v>
      </c>
      <c r="T654" s="6" t="str">
        <f t="shared" si="125"/>
        <v>Retail</v>
      </c>
    </row>
    <row r="655" spans="8:20" x14ac:dyDescent="0.3">
      <c r="H655">
        <f t="shared" si="131"/>
        <v>0</v>
      </c>
      <c r="I655">
        <f t="shared" si="126"/>
        <v>0</v>
      </c>
      <c r="J655">
        <f t="shared" si="127"/>
        <v>0</v>
      </c>
      <c r="K655" t="str">
        <f t="shared" si="128"/>
        <v>January</v>
      </c>
      <c r="L655" t="str">
        <f t="shared" si="129"/>
        <v>Q1</v>
      </c>
      <c r="M655" s="2">
        <f t="shared" si="130"/>
        <v>1900</v>
      </c>
      <c r="N655" t="str">
        <f ca="1">IF(COUNTIFS(A$2:A655,A655,O$2:O655,O655)&gt;1,"Repeat","New")</f>
        <v>New</v>
      </c>
      <c r="O655" s="2" t="e">
        <f t="shared" ca="1" si="120"/>
        <v>#VALUE!</v>
      </c>
      <c r="P655" s="3" t="e">
        <f t="shared" ca="1" si="121"/>
        <v>#VALUE!</v>
      </c>
      <c r="Q655" s="6" t="str">
        <f t="shared" si="122"/>
        <v>Jan-00</v>
      </c>
      <c r="R655" s="6" t="str">
        <f t="shared" si="123"/>
        <v>Q1</v>
      </c>
      <c r="S655" s="6">
        <f t="shared" si="124"/>
        <v>1900</v>
      </c>
      <c r="T655" s="6" t="str">
        <f t="shared" si="125"/>
        <v>Retail</v>
      </c>
    </row>
    <row r="656" spans="8:20" x14ac:dyDescent="0.3">
      <c r="H656">
        <f t="shared" si="131"/>
        <v>0</v>
      </c>
      <c r="I656">
        <f t="shared" si="126"/>
        <v>0</v>
      </c>
      <c r="J656">
        <f t="shared" si="127"/>
        <v>0</v>
      </c>
      <c r="K656" t="str">
        <f t="shared" si="128"/>
        <v>January</v>
      </c>
      <c r="L656" t="str">
        <f t="shared" si="129"/>
        <v>Q1</v>
      </c>
      <c r="M656" s="2">
        <f t="shared" si="130"/>
        <v>1900</v>
      </c>
      <c r="N656" t="str">
        <f ca="1">IF(COUNTIFS(A$2:A656,A656,O$2:O656,O656)&gt;1,"Repeat","New")</f>
        <v>New</v>
      </c>
      <c r="O656" s="2" t="e">
        <f t="shared" ca="1" si="120"/>
        <v>#VALUE!</v>
      </c>
      <c r="P656" s="3" t="e">
        <f t="shared" ca="1" si="121"/>
        <v>#VALUE!</v>
      </c>
      <c r="Q656" s="6" t="str">
        <f t="shared" si="122"/>
        <v>Jan-00</v>
      </c>
      <c r="R656" s="6" t="str">
        <f t="shared" si="123"/>
        <v>Q1</v>
      </c>
      <c r="S656" s="6">
        <f t="shared" si="124"/>
        <v>1900</v>
      </c>
      <c r="T656" s="6" t="str">
        <f t="shared" si="125"/>
        <v>Retail</v>
      </c>
    </row>
    <row r="657" spans="8:20" x14ac:dyDescent="0.3">
      <c r="H657">
        <f t="shared" si="131"/>
        <v>0</v>
      </c>
      <c r="I657">
        <f t="shared" si="126"/>
        <v>0</v>
      </c>
      <c r="J657">
        <f t="shared" si="127"/>
        <v>0</v>
      </c>
      <c r="K657" t="str">
        <f t="shared" si="128"/>
        <v>January</v>
      </c>
      <c r="L657" t="str">
        <f t="shared" si="129"/>
        <v>Q1</v>
      </c>
      <c r="M657" s="2">
        <f t="shared" si="130"/>
        <v>1900</v>
      </c>
      <c r="N657" t="str">
        <f ca="1">IF(COUNTIFS(A$2:A657,A657,O$2:O657,O657)&gt;1,"Repeat","New")</f>
        <v>New</v>
      </c>
      <c r="O657" s="2" t="e">
        <f t="shared" ca="1" si="120"/>
        <v>#VALUE!</v>
      </c>
      <c r="P657" s="3" t="e">
        <f t="shared" ca="1" si="121"/>
        <v>#VALUE!</v>
      </c>
      <c r="Q657" s="6" t="str">
        <f t="shared" si="122"/>
        <v>Jan-00</v>
      </c>
      <c r="R657" s="6" t="str">
        <f t="shared" si="123"/>
        <v>Q1</v>
      </c>
      <c r="S657" s="6">
        <f t="shared" si="124"/>
        <v>1900</v>
      </c>
      <c r="T657" s="6" t="str">
        <f t="shared" si="125"/>
        <v>Retail</v>
      </c>
    </row>
    <row r="658" spans="8:20" x14ac:dyDescent="0.3">
      <c r="H658">
        <f t="shared" si="131"/>
        <v>0</v>
      </c>
      <c r="I658">
        <f t="shared" si="126"/>
        <v>0</v>
      </c>
      <c r="J658">
        <f t="shared" si="127"/>
        <v>0</v>
      </c>
      <c r="K658" t="str">
        <f t="shared" si="128"/>
        <v>January</v>
      </c>
      <c r="L658" t="str">
        <f t="shared" si="129"/>
        <v>Q1</v>
      </c>
      <c r="M658" s="2">
        <f t="shared" si="130"/>
        <v>1900</v>
      </c>
      <c r="N658" t="str">
        <f ca="1">IF(COUNTIFS(A$2:A658,A658,O$2:O658,O658)&gt;1,"Repeat","New")</f>
        <v>New</v>
      </c>
      <c r="O658" s="2" t="e">
        <f t="shared" ca="1" si="120"/>
        <v>#VALUE!</v>
      </c>
      <c r="P658" s="3" t="e">
        <f t="shared" ca="1" si="121"/>
        <v>#VALUE!</v>
      </c>
      <c r="Q658" s="6" t="str">
        <f t="shared" si="122"/>
        <v>Jan-00</v>
      </c>
      <c r="R658" s="6" t="str">
        <f t="shared" si="123"/>
        <v>Q1</v>
      </c>
      <c r="S658" s="6">
        <f t="shared" si="124"/>
        <v>1900</v>
      </c>
      <c r="T658" s="6" t="str">
        <f t="shared" si="125"/>
        <v>Retail</v>
      </c>
    </row>
    <row r="659" spans="8:20" x14ac:dyDescent="0.3">
      <c r="H659">
        <f t="shared" si="131"/>
        <v>0</v>
      </c>
      <c r="I659">
        <f t="shared" si="126"/>
        <v>0</v>
      </c>
      <c r="J659">
        <f t="shared" si="127"/>
        <v>0</v>
      </c>
      <c r="K659" t="str">
        <f t="shared" si="128"/>
        <v>January</v>
      </c>
      <c r="L659" t="str">
        <f t="shared" si="129"/>
        <v>Q1</v>
      </c>
      <c r="M659" s="2">
        <f t="shared" si="130"/>
        <v>1900</v>
      </c>
      <c r="N659" t="str">
        <f ca="1">IF(COUNTIFS(A$2:A659,A659,O$2:O659,O659)&gt;1,"Repeat","New")</f>
        <v>New</v>
      </c>
      <c r="O659" s="2" t="e">
        <f t="shared" ca="1" si="120"/>
        <v>#VALUE!</v>
      </c>
      <c r="P659" s="3" t="e">
        <f t="shared" ca="1" si="121"/>
        <v>#VALUE!</v>
      </c>
      <c r="Q659" s="6" t="str">
        <f t="shared" si="122"/>
        <v>Jan-00</v>
      </c>
      <c r="R659" s="6" t="str">
        <f t="shared" si="123"/>
        <v>Q1</v>
      </c>
      <c r="S659" s="6">
        <f t="shared" si="124"/>
        <v>1900</v>
      </c>
      <c r="T659" s="6" t="str">
        <f t="shared" si="125"/>
        <v>Retail</v>
      </c>
    </row>
    <row r="660" spans="8:20" x14ac:dyDescent="0.3">
      <c r="H660">
        <f t="shared" si="131"/>
        <v>0</v>
      </c>
      <c r="I660">
        <f t="shared" si="126"/>
        <v>0</v>
      </c>
      <c r="J660">
        <f t="shared" si="127"/>
        <v>0</v>
      </c>
      <c r="K660" t="str">
        <f t="shared" si="128"/>
        <v>January</v>
      </c>
      <c r="L660" t="str">
        <f t="shared" si="129"/>
        <v>Q1</v>
      </c>
      <c r="M660" s="2">
        <f t="shared" si="130"/>
        <v>1900</v>
      </c>
      <c r="N660" t="str">
        <f ca="1">IF(COUNTIFS(A$2:A660,A660,O$2:O660,O660)&gt;1,"Repeat","New")</f>
        <v>New</v>
      </c>
      <c r="O660" s="2" t="e">
        <f t="shared" ca="1" si="120"/>
        <v>#VALUE!</v>
      </c>
      <c r="P660" s="3" t="e">
        <f t="shared" ca="1" si="121"/>
        <v>#VALUE!</v>
      </c>
      <c r="Q660" s="6" t="str">
        <f t="shared" si="122"/>
        <v>Jan-00</v>
      </c>
      <c r="R660" s="6" t="str">
        <f t="shared" si="123"/>
        <v>Q1</v>
      </c>
      <c r="S660" s="6">
        <f t="shared" si="124"/>
        <v>1900</v>
      </c>
      <c r="T660" s="6" t="str">
        <f t="shared" si="125"/>
        <v>Retail</v>
      </c>
    </row>
    <row r="661" spans="8:20" x14ac:dyDescent="0.3">
      <c r="H661">
        <f t="shared" si="131"/>
        <v>0</v>
      </c>
      <c r="I661">
        <f t="shared" si="126"/>
        <v>0</v>
      </c>
      <c r="J661">
        <f t="shared" si="127"/>
        <v>0</v>
      </c>
      <c r="K661" t="str">
        <f t="shared" si="128"/>
        <v>January</v>
      </c>
      <c r="L661" t="str">
        <f t="shared" si="129"/>
        <v>Q1</v>
      </c>
      <c r="M661" s="2">
        <f t="shared" si="130"/>
        <v>1900</v>
      </c>
      <c r="N661" t="str">
        <f ca="1">IF(COUNTIFS(A$2:A661,A661,O$2:O661,O661)&gt;1,"Repeat","New")</f>
        <v>New</v>
      </c>
      <c r="O661" s="2" t="e">
        <f t="shared" ca="1" si="120"/>
        <v>#VALUE!</v>
      </c>
      <c r="P661" s="3" t="e">
        <f t="shared" ca="1" si="121"/>
        <v>#VALUE!</v>
      </c>
      <c r="Q661" s="6" t="str">
        <f t="shared" si="122"/>
        <v>Jan-00</v>
      </c>
      <c r="R661" s="6" t="str">
        <f t="shared" si="123"/>
        <v>Q1</v>
      </c>
      <c r="S661" s="6">
        <f t="shared" si="124"/>
        <v>1900</v>
      </c>
      <c r="T661" s="6" t="str">
        <f t="shared" si="125"/>
        <v>Retail</v>
      </c>
    </row>
    <row r="662" spans="8:20" x14ac:dyDescent="0.3">
      <c r="H662">
        <f t="shared" si="131"/>
        <v>0</v>
      </c>
      <c r="I662">
        <f t="shared" si="126"/>
        <v>0</v>
      </c>
      <c r="J662">
        <f t="shared" si="127"/>
        <v>0</v>
      </c>
      <c r="K662" t="str">
        <f t="shared" si="128"/>
        <v>January</v>
      </c>
      <c r="L662" t="str">
        <f t="shared" si="129"/>
        <v>Q1</v>
      </c>
      <c r="M662" s="2">
        <f t="shared" si="130"/>
        <v>1900</v>
      </c>
      <c r="N662" t="str">
        <f ca="1">IF(COUNTIFS(A$2:A662,A662,O$2:O662,O662)&gt;1,"Repeat","New")</f>
        <v>New</v>
      </c>
      <c r="O662" s="2" t="e">
        <f t="shared" ca="1" si="120"/>
        <v>#VALUE!</v>
      </c>
      <c r="P662" s="3" t="e">
        <f t="shared" ca="1" si="121"/>
        <v>#VALUE!</v>
      </c>
      <c r="Q662" s="6" t="str">
        <f t="shared" si="122"/>
        <v>Jan-00</v>
      </c>
      <c r="R662" s="6" t="str">
        <f t="shared" si="123"/>
        <v>Q1</v>
      </c>
      <c r="S662" s="6">
        <f t="shared" si="124"/>
        <v>1900</v>
      </c>
      <c r="T662" s="6" t="str">
        <f t="shared" si="125"/>
        <v>Retail</v>
      </c>
    </row>
    <row r="663" spans="8:20" x14ac:dyDescent="0.3">
      <c r="H663">
        <f t="shared" si="131"/>
        <v>0</v>
      </c>
      <c r="I663">
        <f t="shared" si="126"/>
        <v>0</v>
      </c>
      <c r="J663">
        <f t="shared" si="127"/>
        <v>0</v>
      </c>
      <c r="K663" t="str">
        <f t="shared" si="128"/>
        <v>January</v>
      </c>
      <c r="L663" t="str">
        <f t="shared" si="129"/>
        <v>Q1</v>
      </c>
      <c r="M663" s="2">
        <f t="shared" si="130"/>
        <v>1900</v>
      </c>
      <c r="N663" t="str">
        <f ca="1">IF(COUNTIFS(A$2:A663,A663,O$2:O663,O663)&gt;1,"Repeat","New")</f>
        <v>New</v>
      </c>
      <c r="O663" s="2" t="e">
        <f t="shared" ca="1" si="120"/>
        <v>#VALUE!</v>
      </c>
      <c r="P663" s="3" t="e">
        <f t="shared" ca="1" si="121"/>
        <v>#VALUE!</v>
      </c>
      <c r="Q663" s="6" t="str">
        <f t="shared" si="122"/>
        <v>Jan-00</v>
      </c>
      <c r="R663" s="6" t="str">
        <f t="shared" si="123"/>
        <v>Q1</v>
      </c>
      <c r="S663" s="6">
        <f t="shared" si="124"/>
        <v>1900</v>
      </c>
      <c r="T663" s="6" t="str">
        <f t="shared" si="125"/>
        <v>Retail</v>
      </c>
    </row>
    <row r="664" spans="8:20" x14ac:dyDescent="0.3">
      <c r="H664">
        <f t="shared" si="131"/>
        <v>0</v>
      </c>
      <c r="I664">
        <f t="shared" si="126"/>
        <v>0</v>
      </c>
      <c r="J664">
        <f t="shared" si="127"/>
        <v>0</v>
      </c>
      <c r="K664" t="str">
        <f t="shared" si="128"/>
        <v>January</v>
      </c>
      <c r="L664" t="str">
        <f t="shared" si="129"/>
        <v>Q1</v>
      </c>
      <c r="M664" s="2">
        <f t="shared" si="130"/>
        <v>1900</v>
      </c>
      <c r="N664" t="str">
        <f ca="1">IF(COUNTIFS(A$2:A664,A664,O$2:O664,O664)&gt;1,"Repeat","New")</f>
        <v>New</v>
      </c>
      <c r="O664" s="2" t="e">
        <f t="shared" ca="1" si="120"/>
        <v>#VALUE!</v>
      </c>
      <c r="P664" s="3" t="e">
        <f t="shared" ca="1" si="121"/>
        <v>#VALUE!</v>
      </c>
      <c r="Q664" s="6" t="str">
        <f t="shared" si="122"/>
        <v>Jan-00</v>
      </c>
      <c r="R664" s="6" t="str">
        <f t="shared" si="123"/>
        <v>Q1</v>
      </c>
      <c r="S664" s="6">
        <f t="shared" si="124"/>
        <v>1900</v>
      </c>
      <c r="T664" s="6" t="str">
        <f t="shared" si="125"/>
        <v>Retail</v>
      </c>
    </row>
    <row r="665" spans="8:20" x14ac:dyDescent="0.3">
      <c r="H665">
        <f t="shared" si="131"/>
        <v>0</v>
      </c>
      <c r="I665">
        <f t="shared" si="126"/>
        <v>0</v>
      </c>
      <c r="J665">
        <f t="shared" si="127"/>
        <v>0</v>
      </c>
      <c r="K665" t="str">
        <f t="shared" si="128"/>
        <v>January</v>
      </c>
      <c r="L665" t="str">
        <f t="shared" si="129"/>
        <v>Q1</v>
      </c>
      <c r="M665" s="2">
        <f t="shared" si="130"/>
        <v>1900</v>
      </c>
      <c r="N665" t="str">
        <f ca="1">IF(COUNTIFS(A$2:A665,A665,O$2:O665,O665)&gt;1,"Repeat","New")</f>
        <v>New</v>
      </c>
      <c r="O665" s="2" t="e">
        <f t="shared" ca="1" si="120"/>
        <v>#VALUE!</v>
      </c>
      <c r="P665" s="3" t="e">
        <f t="shared" ca="1" si="121"/>
        <v>#VALUE!</v>
      </c>
      <c r="Q665" s="6" t="str">
        <f t="shared" si="122"/>
        <v>Jan-00</v>
      </c>
      <c r="R665" s="6" t="str">
        <f t="shared" si="123"/>
        <v>Q1</v>
      </c>
      <c r="S665" s="6">
        <f t="shared" si="124"/>
        <v>1900</v>
      </c>
      <c r="T665" s="6" t="str">
        <f t="shared" si="125"/>
        <v>Retail</v>
      </c>
    </row>
    <row r="666" spans="8:20" x14ac:dyDescent="0.3">
      <c r="H666">
        <f t="shared" si="131"/>
        <v>0</v>
      </c>
      <c r="I666">
        <f t="shared" si="126"/>
        <v>0</v>
      </c>
      <c r="J666">
        <f t="shared" si="127"/>
        <v>0</v>
      </c>
      <c r="K666" t="str">
        <f t="shared" si="128"/>
        <v>January</v>
      </c>
      <c r="L666" t="str">
        <f t="shared" si="129"/>
        <v>Q1</v>
      </c>
      <c r="M666" s="2">
        <f t="shared" si="130"/>
        <v>1900</v>
      </c>
      <c r="N666" t="str">
        <f ca="1">IF(COUNTIFS(A$2:A666,A666,O$2:O666,O666)&gt;1,"Repeat","New")</f>
        <v>New</v>
      </c>
      <c r="O666" s="2" t="e">
        <f t="shared" ca="1" si="120"/>
        <v>#VALUE!</v>
      </c>
      <c r="P666" s="3" t="e">
        <f t="shared" ca="1" si="121"/>
        <v>#VALUE!</v>
      </c>
      <c r="Q666" s="6" t="str">
        <f t="shared" si="122"/>
        <v>Jan-00</v>
      </c>
      <c r="R666" s="6" t="str">
        <f t="shared" si="123"/>
        <v>Q1</v>
      </c>
      <c r="S666" s="6">
        <f t="shared" si="124"/>
        <v>1900</v>
      </c>
      <c r="T666" s="6" t="str">
        <f t="shared" si="125"/>
        <v>Retail</v>
      </c>
    </row>
    <row r="667" spans="8:20" x14ac:dyDescent="0.3">
      <c r="H667">
        <f t="shared" si="131"/>
        <v>0</v>
      </c>
      <c r="I667">
        <f t="shared" si="126"/>
        <v>0</v>
      </c>
      <c r="J667">
        <f t="shared" si="127"/>
        <v>0</v>
      </c>
      <c r="K667" t="str">
        <f t="shared" si="128"/>
        <v>January</v>
      </c>
      <c r="L667" t="str">
        <f t="shared" si="129"/>
        <v>Q1</v>
      </c>
      <c r="M667" s="2">
        <f t="shared" si="130"/>
        <v>1900</v>
      </c>
      <c r="N667" t="str">
        <f ca="1">IF(COUNTIFS(A$2:A667,A667,O$2:O667,O667)&gt;1,"Repeat","New")</f>
        <v>New</v>
      </c>
      <c r="O667" s="2" t="e">
        <f t="shared" ca="1" si="120"/>
        <v>#VALUE!</v>
      </c>
      <c r="P667" s="3" t="e">
        <f t="shared" ca="1" si="121"/>
        <v>#VALUE!</v>
      </c>
      <c r="Q667" s="6" t="str">
        <f t="shared" si="122"/>
        <v>Jan-00</v>
      </c>
      <c r="R667" s="6" t="str">
        <f t="shared" si="123"/>
        <v>Q1</v>
      </c>
      <c r="S667" s="6">
        <f t="shared" si="124"/>
        <v>1900</v>
      </c>
      <c r="T667" s="6" t="str">
        <f t="shared" si="125"/>
        <v>Retail</v>
      </c>
    </row>
    <row r="668" spans="8:20" x14ac:dyDescent="0.3">
      <c r="H668">
        <f t="shared" si="131"/>
        <v>0</v>
      </c>
      <c r="I668">
        <f t="shared" si="126"/>
        <v>0</v>
      </c>
      <c r="J668">
        <f t="shared" si="127"/>
        <v>0</v>
      </c>
      <c r="K668" t="str">
        <f t="shared" si="128"/>
        <v>January</v>
      </c>
      <c r="L668" t="str">
        <f t="shared" si="129"/>
        <v>Q1</v>
      </c>
      <c r="M668" s="2">
        <f t="shared" si="130"/>
        <v>1900</v>
      </c>
      <c r="N668" t="str">
        <f ca="1">IF(COUNTIFS(A$2:A668,A668,O$2:O668,O668)&gt;1,"Repeat","New")</f>
        <v>New</v>
      </c>
      <c r="O668" s="2" t="e">
        <f t="shared" ca="1" si="120"/>
        <v>#VALUE!</v>
      </c>
      <c r="P668" s="3" t="e">
        <f t="shared" ca="1" si="121"/>
        <v>#VALUE!</v>
      </c>
      <c r="Q668" s="6" t="str">
        <f t="shared" si="122"/>
        <v>Jan-00</v>
      </c>
      <c r="R668" s="6" t="str">
        <f t="shared" si="123"/>
        <v>Q1</v>
      </c>
      <c r="S668" s="6">
        <f t="shared" si="124"/>
        <v>1900</v>
      </c>
      <c r="T668" s="6" t="str">
        <f t="shared" si="125"/>
        <v>Retail</v>
      </c>
    </row>
    <row r="669" spans="8:20" x14ac:dyDescent="0.3">
      <c r="H669">
        <f t="shared" si="131"/>
        <v>0</v>
      </c>
      <c r="I669">
        <f t="shared" si="126"/>
        <v>0</v>
      </c>
      <c r="J669">
        <f t="shared" si="127"/>
        <v>0</v>
      </c>
      <c r="K669" t="str">
        <f t="shared" si="128"/>
        <v>January</v>
      </c>
      <c r="L669" t="str">
        <f t="shared" si="129"/>
        <v>Q1</v>
      </c>
      <c r="M669" s="2">
        <f t="shared" si="130"/>
        <v>1900</v>
      </c>
      <c r="N669" t="str">
        <f ca="1">IF(COUNTIFS(A$2:A669,A669,O$2:O669,O669)&gt;1,"Repeat","New")</f>
        <v>New</v>
      </c>
      <c r="O669" s="2" t="e">
        <f t="shared" ca="1" si="120"/>
        <v>#VALUE!</v>
      </c>
      <c r="P669" s="3" t="e">
        <f t="shared" ca="1" si="121"/>
        <v>#VALUE!</v>
      </c>
      <c r="Q669" s="6" t="str">
        <f t="shared" si="122"/>
        <v>Jan-00</v>
      </c>
      <c r="R669" s="6" t="str">
        <f t="shared" si="123"/>
        <v>Q1</v>
      </c>
      <c r="S669" s="6">
        <f t="shared" si="124"/>
        <v>1900</v>
      </c>
      <c r="T669" s="6" t="str">
        <f t="shared" si="125"/>
        <v>Retail</v>
      </c>
    </row>
    <row r="670" spans="8:20" x14ac:dyDescent="0.3">
      <c r="H670">
        <f t="shared" si="131"/>
        <v>0</v>
      </c>
      <c r="I670">
        <f t="shared" si="126"/>
        <v>0</v>
      </c>
      <c r="J670">
        <f t="shared" si="127"/>
        <v>0</v>
      </c>
      <c r="K670" t="str">
        <f t="shared" si="128"/>
        <v>January</v>
      </c>
      <c r="L670" t="str">
        <f t="shared" si="129"/>
        <v>Q1</v>
      </c>
      <c r="M670" s="2">
        <f t="shared" si="130"/>
        <v>1900</v>
      </c>
      <c r="N670" t="str">
        <f ca="1">IF(COUNTIFS(A$2:A670,A670,O$2:O670,O670)&gt;1,"Repeat","New")</f>
        <v>New</v>
      </c>
      <c r="O670" s="2" t="e">
        <f t="shared" ca="1" si="120"/>
        <v>#VALUE!</v>
      </c>
      <c r="P670" s="3" t="e">
        <f t="shared" ca="1" si="121"/>
        <v>#VALUE!</v>
      </c>
      <c r="Q670" s="6" t="str">
        <f t="shared" si="122"/>
        <v>Jan-00</v>
      </c>
      <c r="R670" s="6" t="str">
        <f t="shared" si="123"/>
        <v>Q1</v>
      </c>
      <c r="S670" s="6">
        <f t="shared" si="124"/>
        <v>1900</v>
      </c>
      <c r="T670" s="6" t="str">
        <f t="shared" si="125"/>
        <v>Retail</v>
      </c>
    </row>
    <row r="671" spans="8:20" x14ac:dyDescent="0.3">
      <c r="H671">
        <f t="shared" si="131"/>
        <v>0</v>
      </c>
      <c r="I671">
        <f t="shared" si="126"/>
        <v>0</v>
      </c>
      <c r="J671">
        <f t="shared" si="127"/>
        <v>0</v>
      </c>
      <c r="K671" t="str">
        <f t="shared" si="128"/>
        <v>January</v>
      </c>
      <c r="L671" t="str">
        <f t="shared" si="129"/>
        <v>Q1</v>
      </c>
      <c r="M671" s="2">
        <f t="shared" si="130"/>
        <v>1900</v>
      </c>
      <c r="N671" t="str">
        <f ca="1">IF(COUNTIFS(A$2:A671,A671,O$2:O671,O671)&gt;1,"Repeat","New")</f>
        <v>New</v>
      </c>
      <c r="O671" s="2" t="e">
        <f t="shared" ca="1" si="120"/>
        <v>#VALUE!</v>
      </c>
      <c r="P671" s="3" t="e">
        <f t="shared" ca="1" si="121"/>
        <v>#VALUE!</v>
      </c>
      <c r="Q671" s="6" t="str">
        <f t="shared" si="122"/>
        <v>Jan-00</v>
      </c>
      <c r="R671" s="6" t="str">
        <f t="shared" si="123"/>
        <v>Q1</v>
      </c>
      <c r="S671" s="6">
        <f t="shared" si="124"/>
        <v>1900</v>
      </c>
      <c r="T671" s="6" t="str">
        <f t="shared" si="125"/>
        <v>Retail</v>
      </c>
    </row>
    <row r="672" spans="8:20" x14ac:dyDescent="0.3">
      <c r="H672">
        <f t="shared" si="131"/>
        <v>0</v>
      </c>
      <c r="I672">
        <f t="shared" si="126"/>
        <v>0</v>
      </c>
      <c r="J672">
        <f t="shared" si="127"/>
        <v>0</v>
      </c>
      <c r="K672" t="str">
        <f t="shared" si="128"/>
        <v>January</v>
      </c>
      <c r="L672" t="str">
        <f t="shared" si="129"/>
        <v>Q1</v>
      </c>
      <c r="M672" s="2">
        <f t="shared" si="130"/>
        <v>1900</v>
      </c>
      <c r="N672" t="str">
        <f ca="1">IF(COUNTIFS(A$2:A672,A672,O$2:O672,O672)&gt;1,"Repeat","New")</f>
        <v>New</v>
      </c>
      <c r="O672" s="2" t="e">
        <f t="shared" ca="1" si="120"/>
        <v>#VALUE!</v>
      </c>
      <c r="P672" s="3" t="e">
        <f t="shared" ca="1" si="121"/>
        <v>#VALUE!</v>
      </c>
      <c r="Q672" s="6" t="str">
        <f t="shared" si="122"/>
        <v>Jan-00</v>
      </c>
      <c r="R672" s="6" t="str">
        <f t="shared" si="123"/>
        <v>Q1</v>
      </c>
      <c r="S672" s="6">
        <f t="shared" si="124"/>
        <v>1900</v>
      </c>
      <c r="T672" s="6" t="str">
        <f t="shared" si="125"/>
        <v>Retail</v>
      </c>
    </row>
    <row r="673" spans="8:20" x14ac:dyDescent="0.3">
      <c r="H673">
        <f t="shared" si="131"/>
        <v>0</v>
      </c>
      <c r="I673">
        <f t="shared" si="126"/>
        <v>0</v>
      </c>
      <c r="J673">
        <f t="shared" si="127"/>
        <v>0</v>
      </c>
      <c r="K673" t="str">
        <f t="shared" si="128"/>
        <v>January</v>
      </c>
      <c r="L673" t="str">
        <f t="shared" si="129"/>
        <v>Q1</v>
      </c>
      <c r="M673" s="2">
        <f t="shared" si="130"/>
        <v>1900</v>
      </c>
      <c r="N673" t="str">
        <f ca="1">IF(COUNTIFS(A$2:A673,A673,O$2:O673,O673)&gt;1,"Repeat","New")</f>
        <v>New</v>
      </c>
      <c r="O673" s="2" t="e">
        <f t="shared" ca="1" si="120"/>
        <v>#VALUE!</v>
      </c>
      <c r="P673" s="3" t="e">
        <f t="shared" ca="1" si="121"/>
        <v>#VALUE!</v>
      </c>
      <c r="Q673" s="6" t="str">
        <f t="shared" si="122"/>
        <v>Jan-00</v>
      </c>
      <c r="R673" s="6" t="str">
        <f t="shared" si="123"/>
        <v>Q1</v>
      </c>
      <c r="S673" s="6">
        <f t="shared" si="124"/>
        <v>1900</v>
      </c>
      <c r="T673" s="6" t="str">
        <f t="shared" si="125"/>
        <v>Retail</v>
      </c>
    </row>
    <row r="674" spans="8:20" x14ac:dyDescent="0.3">
      <c r="H674">
        <f t="shared" si="131"/>
        <v>0</v>
      </c>
      <c r="I674">
        <f t="shared" si="126"/>
        <v>0</v>
      </c>
      <c r="J674">
        <f t="shared" si="127"/>
        <v>0</v>
      </c>
      <c r="K674" t="str">
        <f t="shared" si="128"/>
        <v>January</v>
      </c>
      <c r="L674" t="str">
        <f t="shared" si="129"/>
        <v>Q1</v>
      </c>
      <c r="M674" s="2">
        <f t="shared" si="130"/>
        <v>1900</v>
      </c>
      <c r="N674" t="str">
        <f ca="1">IF(COUNTIFS(A$2:A674,A674,O$2:O674,O674)&gt;1,"Repeat","New")</f>
        <v>New</v>
      </c>
      <c r="O674" s="2" t="e">
        <f t="shared" ca="1" si="120"/>
        <v>#VALUE!</v>
      </c>
      <c r="P674" s="3" t="e">
        <f t="shared" ca="1" si="121"/>
        <v>#VALUE!</v>
      </c>
      <c r="Q674" s="6" t="str">
        <f t="shared" si="122"/>
        <v>Jan-00</v>
      </c>
      <c r="R674" s="6" t="str">
        <f t="shared" si="123"/>
        <v>Q1</v>
      </c>
      <c r="S674" s="6">
        <f t="shared" si="124"/>
        <v>1900</v>
      </c>
      <c r="T674" s="6" t="str">
        <f t="shared" si="125"/>
        <v>Retail</v>
      </c>
    </row>
    <row r="675" spans="8:20" x14ac:dyDescent="0.3">
      <c r="H675">
        <f t="shared" si="131"/>
        <v>0</v>
      </c>
      <c r="I675">
        <f t="shared" si="126"/>
        <v>0</v>
      </c>
      <c r="J675">
        <f t="shared" si="127"/>
        <v>0</v>
      </c>
      <c r="K675" t="str">
        <f t="shared" si="128"/>
        <v>January</v>
      </c>
      <c r="L675" t="str">
        <f t="shared" si="129"/>
        <v>Q1</v>
      </c>
      <c r="M675" s="2">
        <f t="shared" si="130"/>
        <v>1900</v>
      </c>
      <c r="N675" t="str">
        <f ca="1">IF(COUNTIFS(A$2:A675,A675,O$2:O675,O675)&gt;1,"Repeat","New")</f>
        <v>New</v>
      </c>
      <c r="O675" s="2" t="e">
        <f t="shared" ca="1" si="120"/>
        <v>#VALUE!</v>
      </c>
      <c r="P675" s="3" t="e">
        <f t="shared" ca="1" si="121"/>
        <v>#VALUE!</v>
      </c>
      <c r="Q675" s="6" t="str">
        <f t="shared" si="122"/>
        <v>Jan-00</v>
      </c>
      <c r="R675" s="6" t="str">
        <f t="shared" si="123"/>
        <v>Q1</v>
      </c>
      <c r="S675" s="6">
        <f t="shared" si="124"/>
        <v>1900</v>
      </c>
      <c r="T675" s="6" t="str">
        <f t="shared" si="125"/>
        <v>Retail</v>
      </c>
    </row>
    <row r="676" spans="8:20" x14ac:dyDescent="0.3">
      <c r="H676">
        <f t="shared" si="131"/>
        <v>0</v>
      </c>
      <c r="I676">
        <f t="shared" si="126"/>
        <v>0</v>
      </c>
      <c r="J676">
        <f t="shared" si="127"/>
        <v>0</v>
      </c>
      <c r="K676" t="str">
        <f t="shared" si="128"/>
        <v>January</v>
      </c>
      <c r="L676" t="str">
        <f t="shared" si="129"/>
        <v>Q1</v>
      </c>
      <c r="M676" s="2">
        <f t="shared" si="130"/>
        <v>1900</v>
      </c>
      <c r="N676" t="str">
        <f ca="1">IF(COUNTIFS(A$2:A676,A676,O$2:O676,O676)&gt;1,"Repeat","New")</f>
        <v>New</v>
      </c>
      <c r="O676" s="2" t="e">
        <f t="shared" ca="1" si="120"/>
        <v>#VALUE!</v>
      </c>
      <c r="P676" s="3" t="e">
        <f t="shared" ca="1" si="121"/>
        <v>#VALUE!</v>
      </c>
      <c r="Q676" s="6" t="str">
        <f t="shared" si="122"/>
        <v>Jan-00</v>
      </c>
      <c r="R676" s="6" t="str">
        <f t="shared" si="123"/>
        <v>Q1</v>
      </c>
      <c r="S676" s="6">
        <f t="shared" si="124"/>
        <v>1900</v>
      </c>
      <c r="T676" s="6" t="str">
        <f t="shared" si="125"/>
        <v>Retail</v>
      </c>
    </row>
    <row r="677" spans="8:20" x14ac:dyDescent="0.3">
      <c r="H677">
        <f t="shared" si="131"/>
        <v>0</v>
      </c>
      <c r="I677">
        <f t="shared" si="126"/>
        <v>0</v>
      </c>
      <c r="J677">
        <f t="shared" si="127"/>
        <v>0</v>
      </c>
      <c r="K677" t="str">
        <f t="shared" si="128"/>
        <v>January</v>
      </c>
      <c r="L677" t="str">
        <f t="shared" si="129"/>
        <v>Q1</v>
      </c>
      <c r="M677" s="2">
        <f t="shared" si="130"/>
        <v>1900</v>
      </c>
      <c r="N677" t="str">
        <f ca="1">IF(COUNTIFS(A$2:A677,A677,O$2:O677,O677)&gt;1,"Repeat","New")</f>
        <v>New</v>
      </c>
      <c r="O677" s="2" t="e">
        <f t="shared" ca="1" si="120"/>
        <v>#VALUE!</v>
      </c>
      <c r="P677" s="3" t="e">
        <f t="shared" ca="1" si="121"/>
        <v>#VALUE!</v>
      </c>
      <c r="Q677" s="6" t="str">
        <f t="shared" si="122"/>
        <v>Jan-00</v>
      </c>
      <c r="R677" s="6" t="str">
        <f t="shared" si="123"/>
        <v>Q1</v>
      </c>
      <c r="S677" s="6">
        <f t="shared" si="124"/>
        <v>1900</v>
      </c>
      <c r="T677" s="6" t="str">
        <f t="shared" si="125"/>
        <v>Retail</v>
      </c>
    </row>
    <row r="678" spans="8:20" x14ac:dyDescent="0.3">
      <c r="H678">
        <f t="shared" si="131"/>
        <v>0</v>
      </c>
      <c r="I678">
        <f t="shared" si="126"/>
        <v>0</v>
      </c>
      <c r="J678">
        <f t="shared" si="127"/>
        <v>0</v>
      </c>
      <c r="K678" t="str">
        <f t="shared" si="128"/>
        <v>January</v>
      </c>
      <c r="L678" t="str">
        <f t="shared" si="129"/>
        <v>Q1</v>
      </c>
      <c r="M678" s="2">
        <f t="shared" si="130"/>
        <v>1900</v>
      </c>
      <c r="N678" t="str">
        <f ca="1">IF(COUNTIFS(A$2:A678,A678,O$2:O678,O678)&gt;1,"Repeat","New")</f>
        <v>New</v>
      </c>
      <c r="O678" s="2" t="e">
        <f t="shared" ca="1" si="120"/>
        <v>#VALUE!</v>
      </c>
      <c r="P678" s="3" t="e">
        <f t="shared" ca="1" si="121"/>
        <v>#VALUE!</v>
      </c>
      <c r="Q678" s="6" t="str">
        <f t="shared" si="122"/>
        <v>Jan-00</v>
      </c>
      <c r="R678" s="6" t="str">
        <f t="shared" si="123"/>
        <v>Q1</v>
      </c>
      <c r="S678" s="6">
        <f t="shared" si="124"/>
        <v>1900</v>
      </c>
      <c r="T678" s="6" t="str">
        <f t="shared" si="125"/>
        <v>Retail</v>
      </c>
    </row>
    <row r="679" spans="8:20" x14ac:dyDescent="0.3">
      <c r="H679">
        <f t="shared" si="131"/>
        <v>0</v>
      </c>
      <c r="I679">
        <f t="shared" si="126"/>
        <v>0</v>
      </c>
      <c r="J679">
        <f t="shared" si="127"/>
        <v>0</v>
      </c>
      <c r="K679" t="str">
        <f t="shared" si="128"/>
        <v>January</v>
      </c>
      <c r="L679" t="str">
        <f t="shared" si="129"/>
        <v>Q1</v>
      </c>
      <c r="M679" s="2">
        <f t="shared" si="130"/>
        <v>1900</v>
      </c>
      <c r="N679" t="str">
        <f ca="1">IF(COUNTIFS(A$2:A679,A679,O$2:O679,O679)&gt;1,"Repeat","New")</f>
        <v>New</v>
      </c>
      <c r="O679" s="2" t="e">
        <f t="shared" ca="1" si="120"/>
        <v>#VALUE!</v>
      </c>
      <c r="P679" s="3" t="e">
        <f t="shared" ca="1" si="121"/>
        <v>#VALUE!</v>
      </c>
      <c r="Q679" s="6" t="str">
        <f t="shared" si="122"/>
        <v>Jan-00</v>
      </c>
      <c r="R679" s="6" t="str">
        <f t="shared" si="123"/>
        <v>Q1</v>
      </c>
      <c r="S679" s="6">
        <f t="shared" si="124"/>
        <v>1900</v>
      </c>
      <c r="T679" s="6" t="str">
        <f t="shared" si="125"/>
        <v>Retail</v>
      </c>
    </row>
    <row r="680" spans="8:20" x14ac:dyDescent="0.3">
      <c r="H680">
        <f t="shared" si="131"/>
        <v>0</v>
      </c>
      <c r="I680">
        <f t="shared" si="126"/>
        <v>0</v>
      </c>
      <c r="J680">
        <f t="shared" si="127"/>
        <v>0</v>
      </c>
      <c r="K680" t="str">
        <f t="shared" si="128"/>
        <v>January</v>
      </c>
      <c r="L680" t="str">
        <f t="shared" si="129"/>
        <v>Q1</v>
      </c>
      <c r="M680" s="2">
        <f t="shared" si="130"/>
        <v>1900</v>
      </c>
      <c r="N680" t="str">
        <f ca="1">IF(COUNTIFS(A$2:A680,A680,O$2:O680,O680)&gt;1,"Repeat","New")</f>
        <v>New</v>
      </c>
      <c r="O680" s="2" t="e">
        <f t="shared" ca="1" si="120"/>
        <v>#VALUE!</v>
      </c>
      <c r="P680" s="3" t="e">
        <f t="shared" ca="1" si="121"/>
        <v>#VALUE!</v>
      </c>
      <c r="Q680" s="6" t="str">
        <f t="shared" si="122"/>
        <v>Jan-00</v>
      </c>
      <c r="R680" s="6" t="str">
        <f t="shared" si="123"/>
        <v>Q1</v>
      </c>
      <c r="S680" s="6">
        <f t="shared" si="124"/>
        <v>1900</v>
      </c>
      <c r="T680" s="6" t="str">
        <f t="shared" si="125"/>
        <v>Retail</v>
      </c>
    </row>
    <row r="681" spans="8:20" x14ac:dyDescent="0.3">
      <c r="H681">
        <f t="shared" si="131"/>
        <v>0</v>
      </c>
      <c r="I681">
        <f t="shared" si="126"/>
        <v>0</v>
      </c>
      <c r="J681">
        <f t="shared" si="127"/>
        <v>0</v>
      </c>
      <c r="K681" t="str">
        <f t="shared" si="128"/>
        <v>January</v>
      </c>
      <c r="L681" t="str">
        <f t="shared" si="129"/>
        <v>Q1</v>
      </c>
      <c r="M681" s="2">
        <f t="shared" si="130"/>
        <v>1900</v>
      </c>
      <c r="N681" t="str">
        <f ca="1">IF(COUNTIFS(A$2:A681,A681,O$2:O681,O681)&gt;1,"Repeat","New")</f>
        <v>New</v>
      </c>
      <c r="O681" s="2" t="e">
        <f t="shared" ca="1" si="120"/>
        <v>#VALUE!</v>
      </c>
      <c r="P681" s="3" t="e">
        <f t="shared" ca="1" si="121"/>
        <v>#VALUE!</v>
      </c>
      <c r="Q681" s="6" t="str">
        <f t="shared" si="122"/>
        <v>Jan-00</v>
      </c>
      <c r="R681" s="6" t="str">
        <f t="shared" si="123"/>
        <v>Q1</v>
      </c>
      <c r="S681" s="6">
        <f t="shared" si="124"/>
        <v>1900</v>
      </c>
      <c r="T681" s="6" t="str">
        <f t="shared" si="125"/>
        <v>Retail</v>
      </c>
    </row>
    <row r="682" spans="8:20" x14ac:dyDescent="0.3">
      <c r="H682">
        <f t="shared" si="131"/>
        <v>0</v>
      </c>
      <c r="I682">
        <f t="shared" si="126"/>
        <v>0</v>
      </c>
      <c r="J682">
        <f t="shared" si="127"/>
        <v>0</v>
      </c>
      <c r="K682" t="str">
        <f t="shared" si="128"/>
        <v>January</v>
      </c>
      <c r="L682" t="str">
        <f t="shared" si="129"/>
        <v>Q1</v>
      </c>
      <c r="M682" s="2">
        <f t="shared" si="130"/>
        <v>1900</v>
      </c>
      <c r="N682" t="str">
        <f ca="1">IF(COUNTIFS(A$2:A682,A682,O$2:O682,O682)&gt;1,"Repeat","New")</f>
        <v>New</v>
      </c>
      <c r="O682" s="2" t="e">
        <f t="shared" ca="1" si="120"/>
        <v>#VALUE!</v>
      </c>
      <c r="P682" s="3" t="e">
        <f t="shared" ca="1" si="121"/>
        <v>#VALUE!</v>
      </c>
      <c r="Q682" s="6" t="str">
        <f t="shared" si="122"/>
        <v>Jan-00</v>
      </c>
      <c r="R682" s="6" t="str">
        <f t="shared" si="123"/>
        <v>Q1</v>
      </c>
      <c r="S682" s="6">
        <f t="shared" si="124"/>
        <v>1900</v>
      </c>
      <c r="T682" s="6" t="str">
        <f t="shared" si="125"/>
        <v>Retail</v>
      </c>
    </row>
    <row r="683" spans="8:20" x14ac:dyDescent="0.3">
      <c r="H683">
        <f t="shared" si="131"/>
        <v>0</v>
      </c>
      <c r="I683">
        <f t="shared" si="126"/>
        <v>0</v>
      </c>
      <c r="J683">
        <f t="shared" si="127"/>
        <v>0</v>
      </c>
      <c r="K683" t="str">
        <f t="shared" si="128"/>
        <v>January</v>
      </c>
      <c r="L683" t="str">
        <f t="shared" si="129"/>
        <v>Q1</v>
      </c>
      <c r="M683" s="2">
        <f t="shared" si="130"/>
        <v>1900</v>
      </c>
      <c r="N683" t="str">
        <f ca="1">IF(COUNTIFS(A$2:A683,A683,O$2:O683,O683)&gt;1,"Repeat","New")</f>
        <v>New</v>
      </c>
      <c r="O683" s="2" t="e">
        <f t="shared" ca="1" si="120"/>
        <v>#VALUE!</v>
      </c>
      <c r="P683" s="3" t="e">
        <f t="shared" ca="1" si="121"/>
        <v>#VALUE!</v>
      </c>
      <c r="Q683" s="6" t="str">
        <f t="shared" si="122"/>
        <v>Jan-00</v>
      </c>
      <c r="R683" s="6" t="str">
        <f t="shared" si="123"/>
        <v>Q1</v>
      </c>
      <c r="S683" s="6">
        <f t="shared" si="124"/>
        <v>1900</v>
      </c>
      <c r="T683" s="6" t="str">
        <f t="shared" si="125"/>
        <v>Retail</v>
      </c>
    </row>
    <row r="684" spans="8:20" x14ac:dyDescent="0.3">
      <c r="H684">
        <f t="shared" si="131"/>
        <v>0</v>
      </c>
      <c r="I684">
        <f t="shared" si="126"/>
        <v>0</v>
      </c>
      <c r="J684">
        <f t="shared" si="127"/>
        <v>0</v>
      </c>
      <c r="K684" t="str">
        <f t="shared" si="128"/>
        <v>January</v>
      </c>
      <c r="L684" t="str">
        <f t="shared" si="129"/>
        <v>Q1</v>
      </c>
      <c r="M684" s="2">
        <f t="shared" si="130"/>
        <v>1900</v>
      </c>
      <c r="N684" t="str">
        <f ca="1">IF(COUNTIFS(A$2:A684,A684,O$2:O684,O684)&gt;1,"Repeat","New")</f>
        <v>New</v>
      </c>
      <c r="O684" s="2" t="e">
        <f t="shared" ca="1" si="120"/>
        <v>#VALUE!</v>
      </c>
      <c r="P684" s="3" t="e">
        <f t="shared" ca="1" si="121"/>
        <v>#VALUE!</v>
      </c>
      <c r="Q684" s="6" t="str">
        <f t="shared" si="122"/>
        <v>Jan-00</v>
      </c>
      <c r="R684" s="6" t="str">
        <f t="shared" si="123"/>
        <v>Q1</v>
      </c>
      <c r="S684" s="6">
        <f t="shared" si="124"/>
        <v>1900</v>
      </c>
      <c r="T684" s="6" t="str">
        <f t="shared" si="125"/>
        <v>Retail</v>
      </c>
    </row>
    <row r="685" spans="8:20" x14ac:dyDescent="0.3">
      <c r="H685">
        <f t="shared" si="131"/>
        <v>0</v>
      </c>
      <c r="I685">
        <f t="shared" si="126"/>
        <v>0</v>
      </c>
      <c r="J685">
        <f t="shared" si="127"/>
        <v>0</v>
      </c>
      <c r="K685" t="str">
        <f t="shared" si="128"/>
        <v>January</v>
      </c>
      <c r="L685" t="str">
        <f t="shared" si="129"/>
        <v>Q1</v>
      </c>
      <c r="M685" s="2">
        <f t="shared" si="130"/>
        <v>1900</v>
      </c>
      <c r="N685" t="str">
        <f ca="1">IF(COUNTIFS(A$2:A685,A685,O$2:O685,O685)&gt;1,"Repeat","New")</f>
        <v>New</v>
      </c>
      <c r="O685" s="2" t="e">
        <f t="shared" ca="1" si="120"/>
        <v>#VALUE!</v>
      </c>
      <c r="P685" s="3" t="e">
        <f t="shared" ca="1" si="121"/>
        <v>#VALUE!</v>
      </c>
      <c r="Q685" s="6" t="str">
        <f t="shared" si="122"/>
        <v>Jan-00</v>
      </c>
      <c r="R685" s="6" t="str">
        <f t="shared" si="123"/>
        <v>Q1</v>
      </c>
      <c r="S685" s="6">
        <f t="shared" si="124"/>
        <v>1900</v>
      </c>
      <c r="T685" s="6" t="str">
        <f t="shared" si="125"/>
        <v>Retail</v>
      </c>
    </row>
    <row r="686" spans="8:20" x14ac:dyDescent="0.3">
      <c r="H686">
        <f t="shared" si="131"/>
        <v>0</v>
      </c>
      <c r="I686">
        <f t="shared" si="126"/>
        <v>0</v>
      </c>
      <c r="J686">
        <f t="shared" si="127"/>
        <v>0</v>
      </c>
      <c r="K686" t="str">
        <f t="shared" si="128"/>
        <v>January</v>
      </c>
      <c r="L686" t="str">
        <f t="shared" si="129"/>
        <v>Q1</v>
      </c>
      <c r="M686" s="2">
        <f t="shared" si="130"/>
        <v>1900</v>
      </c>
      <c r="N686" t="str">
        <f ca="1">IF(COUNTIFS(A$2:A686,A686,O$2:O686,O686)&gt;1,"Repeat","New")</f>
        <v>New</v>
      </c>
      <c r="O686" s="2" t="e">
        <f t="shared" ca="1" si="120"/>
        <v>#VALUE!</v>
      </c>
      <c r="P686" s="3" t="e">
        <f t="shared" ca="1" si="121"/>
        <v>#VALUE!</v>
      </c>
      <c r="Q686" s="6" t="str">
        <f t="shared" si="122"/>
        <v>Jan-00</v>
      </c>
      <c r="R686" s="6" t="str">
        <f t="shared" si="123"/>
        <v>Q1</v>
      </c>
      <c r="S686" s="6">
        <f t="shared" si="124"/>
        <v>1900</v>
      </c>
      <c r="T686" s="6" t="str">
        <f t="shared" si="125"/>
        <v>Retail</v>
      </c>
    </row>
    <row r="687" spans="8:20" x14ac:dyDescent="0.3">
      <c r="H687">
        <f t="shared" si="131"/>
        <v>0</v>
      </c>
      <c r="I687">
        <f t="shared" si="126"/>
        <v>0</v>
      </c>
      <c r="J687">
        <f t="shared" si="127"/>
        <v>0</v>
      </c>
      <c r="K687" t="str">
        <f t="shared" si="128"/>
        <v>January</v>
      </c>
      <c r="L687" t="str">
        <f t="shared" si="129"/>
        <v>Q1</v>
      </c>
      <c r="M687" s="2">
        <f t="shared" si="130"/>
        <v>1900</v>
      </c>
      <c r="N687" t="str">
        <f ca="1">IF(COUNTIFS(A$2:A687,A687,O$2:O687,O687)&gt;1,"Repeat","New")</f>
        <v>New</v>
      </c>
      <c r="O687" s="2" t="e">
        <f t="shared" ca="1" si="120"/>
        <v>#VALUE!</v>
      </c>
      <c r="P687" s="3" t="e">
        <f t="shared" ca="1" si="121"/>
        <v>#VALUE!</v>
      </c>
      <c r="Q687" s="6" t="str">
        <f t="shared" si="122"/>
        <v>Jan-00</v>
      </c>
      <c r="R687" s="6" t="str">
        <f t="shared" si="123"/>
        <v>Q1</v>
      </c>
      <c r="S687" s="6">
        <f t="shared" si="124"/>
        <v>1900</v>
      </c>
      <c r="T687" s="6" t="str">
        <f t="shared" si="125"/>
        <v>Retail</v>
      </c>
    </row>
    <row r="688" spans="8:20" x14ac:dyDescent="0.3">
      <c r="H688">
        <f t="shared" si="131"/>
        <v>0</v>
      </c>
      <c r="I688">
        <f t="shared" si="126"/>
        <v>0</v>
      </c>
      <c r="J688">
        <f t="shared" si="127"/>
        <v>0</v>
      </c>
      <c r="K688" t="str">
        <f t="shared" si="128"/>
        <v>January</v>
      </c>
      <c r="L688" t="str">
        <f t="shared" si="129"/>
        <v>Q1</v>
      </c>
      <c r="M688" s="2">
        <f t="shared" si="130"/>
        <v>1900</v>
      </c>
      <c r="N688" t="str">
        <f ca="1">IF(COUNTIFS(A$2:A688,A688,O$2:O688,O688)&gt;1,"Repeat","New")</f>
        <v>New</v>
      </c>
      <c r="O688" s="2" t="e">
        <f t="shared" ca="1" si="120"/>
        <v>#VALUE!</v>
      </c>
      <c r="P688" s="3" t="e">
        <f t="shared" ca="1" si="121"/>
        <v>#VALUE!</v>
      </c>
      <c r="Q688" s="6" t="str">
        <f t="shared" si="122"/>
        <v>Jan-00</v>
      </c>
      <c r="R688" s="6" t="str">
        <f t="shared" si="123"/>
        <v>Q1</v>
      </c>
      <c r="S688" s="6">
        <f t="shared" si="124"/>
        <v>1900</v>
      </c>
      <c r="T688" s="6" t="str">
        <f t="shared" si="125"/>
        <v>Retail</v>
      </c>
    </row>
    <row r="689" spans="8:20" x14ac:dyDescent="0.3">
      <c r="H689">
        <f t="shared" si="131"/>
        <v>0</v>
      </c>
      <c r="I689">
        <f t="shared" si="126"/>
        <v>0</v>
      </c>
      <c r="J689">
        <f t="shared" si="127"/>
        <v>0</v>
      </c>
      <c r="K689" t="str">
        <f t="shared" si="128"/>
        <v>January</v>
      </c>
      <c r="L689" t="str">
        <f t="shared" si="129"/>
        <v>Q1</v>
      </c>
      <c r="M689" s="2">
        <f t="shared" si="130"/>
        <v>1900</v>
      </c>
      <c r="N689" t="str">
        <f ca="1">IF(COUNTIFS(A$2:A689,A689,O$2:O689,O689)&gt;1,"Repeat","New")</f>
        <v>New</v>
      </c>
      <c r="O689" s="2" t="e">
        <f t="shared" ca="1" si="120"/>
        <v>#VALUE!</v>
      </c>
      <c r="P689" s="3" t="e">
        <f t="shared" ca="1" si="121"/>
        <v>#VALUE!</v>
      </c>
      <c r="Q689" s="6" t="str">
        <f t="shared" si="122"/>
        <v>Jan-00</v>
      </c>
      <c r="R689" s="6" t="str">
        <f t="shared" si="123"/>
        <v>Q1</v>
      </c>
      <c r="S689" s="6">
        <f t="shared" si="124"/>
        <v>1900</v>
      </c>
      <c r="T689" s="6" t="str">
        <f t="shared" si="125"/>
        <v>Retail</v>
      </c>
    </row>
    <row r="690" spans="8:20" x14ac:dyDescent="0.3">
      <c r="H690">
        <f t="shared" si="131"/>
        <v>0</v>
      </c>
      <c r="I690">
        <f t="shared" si="126"/>
        <v>0</v>
      </c>
      <c r="J690">
        <f t="shared" si="127"/>
        <v>0</v>
      </c>
      <c r="K690" t="str">
        <f t="shared" si="128"/>
        <v>January</v>
      </c>
      <c r="L690" t="str">
        <f t="shared" si="129"/>
        <v>Q1</v>
      </c>
      <c r="M690" s="2">
        <f t="shared" si="130"/>
        <v>1900</v>
      </c>
      <c r="N690" t="str">
        <f ca="1">IF(COUNTIFS(A$2:A690,A690,O$2:O690,O690)&gt;1,"Repeat","New")</f>
        <v>New</v>
      </c>
      <c r="O690" s="2" t="e">
        <f t="shared" ca="1" si="120"/>
        <v>#VALUE!</v>
      </c>
      <c r="P690" s="3" t="e">
        <f t="shared" ca="1" si="121"/>
        <v>#VALUE!</v>
      </c>
      <c r="Q690" s="6" t="str">
        <f t="shared" si="122"/>
        <v>Jan-00</v>
      </c>
      <c r="R690" s="6" t="str">
        <f t="shared" si="123"/>
        <v>Q1</v>
      </c>
      <c r="S690" s="6">
        <f t="shared" si="124"/>
        <v>1900</v>
      </c>
      <c r="T690" s="6" t="str">
        <f t="shared" si="125"/>
        <v>Retail</v>
      </c>
    </row>
    <row r="691" spans="8:20" x14ac:dyDescent="0.3">
      <c r="H691">
        <f t="shared" si="131"/>
        <v>0</v>
      </c>
      <c r="I691">
        <f t="shared" si="126"/>
        <v>0</v>
      </c>
      <c r="J691">
        <f t="shared" si="127"/>
        <v>0</v>
      </c>
      <c r="K691" t="str">
        <f t="shared" si="128"/>
        <v>January</v>
      </c>
      <c r="L691" t="str">
        <f t="shared" si="129"/>
        <v>Q1</v>
      </c>
      <c r="M691" s="2">
        <f t="shared" si="130"/>
        <v>1900</v>
      </c>
      <c r="N691" t="str">
        <f ca="1">IF(COUNTIFS(A$2:A691,A691,O$2:O691,O691)&gt;1,"Repeat","New")</f>
        <v>New</v>
      </c>
      <c r="O691" s="2" t="e">
        <f t="shared" ca="1" si="120"/>
        <v>#VALUE!</v>
      </c>
      <c r="P691" s="3" t="e">
        <f t="shared" ca="1" si="121"/>
        <v>#VALUE!</v>
      </c>
      <c r="Q691" s="6" t="str">
        <f t="shared" si="122"/>
        <v>Jan-00</v>
      </c>
      <c r="R691" s="6" t="str">
        <f t="shared" si="123"/>
        <v>Q1</v>
      </c>
      <c r="S691" s="6">
        <f t="shared" si="124"/>
        <v>1900</v>
      </c>
      <c r="T691" s="6" t="str">
        <f t="shared" si="125"/>
        <v>Retail</v>
      </c>
    </row>
    <row r="692" spans="8:20" x14ac:dyDescent="0.3">
      <c r="H692">
        <f t="shared" si="131"/>
        <v>0</v>
      </c>
      <c r="I692">
        <f t="shared" si="126"/>
        <v>0</v>
      </c>
      <c r="J692">
        <f t="shared" si="127"/>
        <v>0</v>
      </c>
      <c r="K692" t="str">
        <f t="shared" si="128"/>
        <v>January</v>
      </c>
      <c r="L692" t="str">
        <f t="shared" si="129"/>
        <v>Q1</v>
      </c>
      <c r="M692" s="2">
        <f t="shared" si="130"/>
        <v>1900</v>
      </c>
      <c r="N692" t="str">
        <f ca="1">IF(COUNTIFS(A$2:A692,A692,O$2:O692,O692)&gt;1,"Repeat","New")</f>
        <v>New</v>
      </c>
      <c r="O692" s="2" t="e">
        <f t="shared" ca="1" si="120"/>
        <v>#VALUE!</v>
      </c>
      <c r="P692" s="3" t="e">
        <f t="shared" ca="1" si="121"/>
        <v>#VALUE!</v>
      </c>
      <c r="Q692" s="6" t="str">
        <f t="shared" si="122"/>
        <v>Jan-00</v>
      </c>
      <c r="R692" s="6" t="str">
        <f t="shared" si="123"/>
        <v>Q1</v>
      </c>
      <c r="S692" s="6">
        <f t="shared" si="124"/>
        <v>1900</v>
      </c>
      <c r="T692" s="6" t="str">
        <f t="shared" si="125"/>
        <v>Retail</v>
      </c>
    </row>
    <row r="693" spans="8:20" x14ac:dyDescent="0.3">
      <c r="H693">
        <f t="shared" si="131"/>
        <v>0</v>
      </c>
      <c r="I693">
        <f t="shared" si="126"/>
        <v>0</v>
      </c>
      <c r="J693">
        <f t="shared" si="127"/>
        <v>0</v>
      </c>
      <c r="K693" t="str">
        <f t="shared" si="128"/>
        <v>January</v>
      </c>
      <c r="L693" t="str">
        <f t="shared" si="129"/>
        <v>Q1</v>
      </c>
      <c r="M693" s="2">
        <f t="shared" si="130"/>
        <v>1900</v>
      </c>
      <c r="N693" t="str">
        <f ca="1">IF(COUNTIFS(A$2:A693,A693,O$2:O693,O693)&gt;1,"Repeat","New")</f>
        <v>New</v>
      </c>
      <c r="O693" s="2" t="e">
        <f t="shared" ca="1" si="120"/>
        <v>#VALUE!</v>
      </c>
      <c r="P693" s="3" t="e">
        <f t="shared" ca="1" si="121"/>
        <v>#VALUE!</v>
      </c>
      <c r="Q693" s="6" t="str">
        <f t="shared" si="122"/>
        <v>Jan-00</v>
      </c>
      <c r="R693" s="6" t="str">
        <f t="shared" si="123"/>
        <v>Q1</v>
      </c>
      <c r="S693" s="6">
        <f t="shared" si="124"/>
        <v>1900</v>
      </c>
      <c r="T693" s="6" t="str">
        <f t="shared" si="125"/>
        <v>Retail</v>
      </c>
    </row>
    <row r="694" spans="8:20" x14ac:dyDescent="0.3">
      <c r="H694">
        <f t="shared" si="131"/>
        <v>0</v>
      </c>
      <c r="I694">
        <f t="shared" si="126"/>
        <v>0</v>
      </c>
      <c r="J694">
        <f t="shared" si="127"/>
        <v>0</v>
      </c>
      <c r="K694" t="str">
        <f t="shared" si="128"/>
        <v>January</v>
      </c>
      <c r="L694" t="str">
        <f t="shared" si="129"/>
        <v>Q1</v>
      </c>
      <c r="M694" s="2">
        <f t="shared" si="130"/>
        <v>1900</v>
      </c>
      <c r="N694" t="str">
        <f ca="1">IF(COUNTIFS(A$2:A694,A694,O$2:O694,O694)&gt;1,"Repeat","New")</f>
        <v>New</v>
      </c>
      <c r="O694" s="2" t="e">
        <f t="shared" ref="O694:O757" ca="1" si="132">M694-N694</f>
        <v>#VALUE!</v>
      </c>
      <c r="P694" s="3" t="e">
        <f t="shared" ref="P694:P757" ca="1" si="133">IF(M694&gt;0,O694/M694,0)</f>
        <v>#VALUE!</v>
      </c>
      <c r="Q694" s="6" t="str">
        <f t="shared" ref="Q694:Q757" si="134">TEXT(B694, "mmm-yy")</f>
        <v>Jan-00</v>
      </c>
      <c r="R694" s="6" t="str">
        <f t="shared" ref="R694:R757" si="135">"Q"&amp;INT((MONTH(B694)-1)/3)+1</f>
        <v>Q1</v>
      </c>
      <c r="S694" s="6">
        <f t="shared" ref="S694:S757" si="136">YEAR(B694)</f>
        <v>1900</v>
      </c>
      <c r="T694" s="6" t="str">
        <f t="shared" ref="T694:T757" si="137">IF(M694&gt;5000, "Enterprise", "Retail")</f>
        <v>Retail</v>
      </c>
    </row>
    <row r="695" spans="8:20" x14ac:dyDescent="0.3">
      <c r="H695">
        <f t="shared" si="131"/>
        <v>0</v>
      </c>
      <c r="I695">
        <f t="shared" si="126"/>
        <v>0</v>
      </c>
      <c r="J695">
        <f t="shared" si="127"/>
        <v>0</v>
      </c>
      <c r="K695" t="str">
        <f t="shared" si="128"/>
        <v>January</v>
      </c>
      <c r="L695" t="str">
        <f t="shared" si="129"/>
        <v>Q1</v>
      </c>
      <c r="M695" s="2">
        <f t="shared" si="130"/>
        <v>1900</v>
      </c>
      <c r="N695" t="str">
        <f ca="1">IF(COUNTIFS(A$2:A695,A695,O$2:O695,O695)&gt;1,"Repeat","New")</f>
        <v>New</v>
      </c>
      <c r="O695" s="2" t="e">
        <f t="shared" ca="1" si="132"/>
        <v>#VALUE!</v>
      </c>
      <c r="P695" s="3" t="e">
        <f t="shared" ca="1" si="133"/>
        <v>#VALUE!</v>
      </c>
      <c r="Q695" s="6" t="str">
        <f t="shared" si="134"/>
        <v>Jan-00</v>
      </c>
      <c r="R695" s="6" t="str">
        <f t="shared" si="135"/>
        <v>Q1</v>
      </c>
      <c r="S695" s="6">
        <f t="shared" si="136"/>
        <v>1900</v>
      </c>
      <c r="T695" s="6" t="str">
        <f t="shared" si="137"/>
        <v>Retail</v>
      </c>
    </row>
    <row r="696" spans="8:20" x14ac:dyDescent="0.3">
      <c r="H696">
        <f t="shared" si="131"/>
        <v>0</v>
      </c>
      <c r="I696">
        <f t="shared" si="126"/>
        <v>0</v>
      </c>
      <c r="J696">
        <f t="shared" si="127"/>
        <v>0</v>
      </c>
      <c r="K696" t="str">
        <f t="shared" si="128"/>
        <v>January</v>
      </c>
      <c r="L696" t="str">
        <f t="shared" si="129"/>
        <v>Q1</v>
      </c>
      <c r="M696" s="2">
        <f t="shared" si="130"/>
        <v>1900</v>
      </c>
      <c r="N696" t="str">
        <f ca="1">IF(COUNTIFS(A$2:A696,A696,O$2:O696,O696)&gt;1,"Repeat","New")</f>
        <v>New</v>
      </c>
      <c r="O696" s="2" t="e">
        <f t="shared" ca="1" si="132"/>
        <v>#VALUE!</v>
      </c>
      <c r="P696" s="3" t="e">
        <f t="shared" ca="1" si="133"/>
        <v>#VALUE!</v>
      </c>
      <c r="Q696" s="6" t="str">
        <f t="shared" si="134"/>
        <v>Jan-00</v>
      </c>
      <c r="R696" s="6" t="str">
        <f t="shared" si="135"/>
        <v>Q1</v>
      </c>
      <c r="S696" s="6">
        <f t="shared" si="136"/>
        <v>1900</v>
      </c>
      <c r="T696" s="6" t="str">
        <f t="shared" si="137"/>
        <v>Retail</v>
      </c>
    </row>
    <row r="697" spans="8:20" x14ac:dyDescent="0.3">
      <c r="H697">
        <f t="shared" si="131"/>
        <v>0</v>
      </c>
      <c r="I697">
        <f t="shared" si="126"/>
        <v>0</v>
      </c>
      <c r="J697">
        <f t="shared" si="127"/>
        <v>0</v>
      </c>
      <c r="K697" t="str">
        <f t="shared" si="128"/>
        <v>January</v>
      </c>
      <c r="L697" t="str">
        <f t="shared" si="129"/>
        <v>Q1</v>
      </c>
      <c r="M697" s="2">
        <f t="shared" si="130"/>
        <v>1900</v>
      </c>
      <c r="N697" t="str">
        <f ca="1">IF(COUNTIFS(A$2:A697,A697,O$2:O697,O697)&gt;1,"Repeat","New")</f>
        <v>New</v>
      </c>
      <c r="O697" s="2" t="e">
        <f t="shared" ca="1" si="132"/>
        <v>#VALUE!</v>
      </c>
      <c r="P697" s="3" t="e">
        <f t="shared" ca="1" si="133"/>
        <v>#VALUE!</v>
      </c>
      <c r="Q697" s="6" t="str">
        <f t="shared" si="134"/>
        <v>Jan-00</v>
      </c>
      <c r="R697" s="6" t="str">
        <f t="shared" si="135"/>
        <v>Q1</v>
      </c>
      <c r="S697" s="6">
        <f t="shared" si="136"/>
        <v>1900</v>
      </c>
      <c r="T697" s="6" t="str">
        <f t="shared" si="137"/>
        <v>Retail</v>
      </c>
    </row>
    <row r="698" spans="8:20" x14ac:dyDescent="0.3">
      <c r="H698">
        <f t="shared" si="131"/>
        <v>0</v>
      </c>
      <c r="I698">
        <f t="shared" si="126"/>
        <v>0</v>
      </c>
      <c r="J698">
        <f t="shared" si="127"/>
        <v>0</v>
      </c>
      <c r="K698" t="str">
        <f t="shared" si="128"/>
        <v>January</v>
      </c>
      <c r="L698" t="str">
        <f t="shared" si="129"/>
        <v>Q1</v>
      </c>
      <c r="M698" s="2">
        <f t="shared" si="130"/>
        <v>1900</v>
      </c>
      <c r="N698" t="str">
        <f ca="1">IF(COUNTIFS(A$2:A698,A698,O$2:O698,O698)&gt;1,"Repeat","New")</f>
        <v>New</v>
      </c>
      <c r="O698" s="2" t="e">
        <f t="shared" ca="1" si="132"/>
        <v>#VALUE!</v>
      </c>
      <c r="P698" s="3" t="e">
        <f t="shared" ca="1" si="133"/>
        <v>#VALUE!</v>
      </c>
      <c r="Q698" s="6" t="str">
        <f t="shared" si="134"/>
        <v>Jan-00</v>
      </c>
      <c r="R698" s="6" t="str">
        <f t="shared" si="135"/>
        <v>Q1</v>
      </c>
      <c r="S698" s="6">
        <f t="shared" si="136"/>
        <v>1900</v>
      </c>
      <c r="T698" s="6" t="str">
        <f t="shared" si="137"/>
        <v>Retail</v>
      </c>
    </row>
    <row r="699" spans="8:20" x14ac:dyDescent="0.3">
      <c r="H699">
        <f t="shared" si="131"/>
        <v>0</v>
      </c>
      <c r="I699">
        <f t="shared" si="126"/>
        <v>0</v>
      </c>
      <c r="J699">
        <f t="shared" si="127"/>
        <v>0</v>
      </c>
      <c r="K699" t="str">
        <f t="shared" si="128"/>
        <v>January</v>
      </c>
      <c r="L699" t="str">
        <f t="shared" si="129"/>
        <v>Q1</v>
      </c>
      <c r="M699" s="2">
        <f t="shared" si="130"/>
        <v>1900</v>
      </c>
      <c r="N699" t="str">
        <f ca="1">IF(COUNTIFS(A$2:A699,A699,O$2:O699,O699)&gt;1,"Repeat","New")</f>
        <v>New</v>
      </c>
      <c r="O699" s="2" t="e">
        <f t="shared" ca="1" si="132"/>
        <v>#VALUE!</v>
      </c>
      <c r="P699" s="3" t="e">
        <f t="shared" ca="1" si="133"/>
        <v>#VALUE!</v>
      </c>
      <c r="Q699" s="6" t="str">
        <f t="shared" si="134"/>
        <v>Jan-00</v>
      </c>
      <c r="R699" s="6" t="str">
        <f t="shared" si="135"/>
        <v>Q1</v>
      </c>
      <c r="S699" s="6">
        <f t="shared" si="136"/>
        <v>1900</v>
      </c>
      <c r="T699" s="6" t="str">
        <f t="shared" si="137"/>
        <v>Retail</v>
      </c>
    </row>
    <row r="700" spans="8:20" x14ac:dyDescent="0.3">
      <c r="H700">
        <f t="shared" si="131"/>
        <v>0</v>
      </c>
      <c r="I700">
        <f t="shared" si="126"/>
        <v>0</v>
      </c>
      <c r="J700">
        <f t="shared" si="127"/>
        <v>0</v>
      </c>
      <c r="K700" t="str">
        <f t="shared" si="128"/>
        <v>January</v>
      </c>
      <c r="L700" t="str">
        <f t="shared" si="129"/>
        <v>Q1</v>
      </c>
      <c r="M700" s="2">
        <f t="shared" si="130"/>
        <v>1900</v>
      </c>
      <c r="N700" t="str">
        <f ca="1">IF(COUNTIFS(A$2:A700,A700,O$2:O700,O700)&gt;1,"Repeat","New")</f>
        <v>New</v>
      </c>
      <c r="O700" s="2" t="e">
        <f t="shared" ca="1" si="132"/>
        <v>#VALUE!</v>
      </c>
      <c r="P700" s="3" t="e">
        <f t="shared" ca="1" si="133"/>
        <v>#VALUE!</v>
      </c>
      <c r="Q700" s="6" t="str">
        <f t="shared" si="134"/>
        <v>Jan-00</v>
      </c>
      <c r="R700" s="6" t="str">
        <f t="shared" si="135"/>
        <v>Q1</v>
      </c>
      <c r="S700" s="6">
        <f t="shared" si="136"/>
        <v>1900</v>
      </c>
      <c r="T700" s="6" t="str">
        <f t="shared" si="137"/>
        <v>Retail</v>
      </c>
    </row>
    <row r="701" spans="8:20" x14ac:dyDescent="0.3">
      <c r="H701">
        <f t="shared" si="131"/>
        <v>0</v>
      </c>
      <c r="I701">
        <f t="shared" si="126"/>
        <v>0</v>
      </c>
      <c r="J701">
        <f t="shared" si="127"/>
        <v>0</v>
      </c>
      <c r="K701" t="str">
        <f t="shared" si="128"/>
        <v>January</v>
      </c>
      <c r="L701" t="str">
        <f t="shared" si="129"/>
        <v>Q1</v>
      </c>
      <c r="M701" s="2">
        <f t="shared" si="130"/>
        <v>1900</v>
      </c>
      <c r="N701" t="str">
        <f ca="1">IF(COUNTIFS(A$2:A701,A701,O$2:O701,O701)&gt;1,"Repeat","New")</f>
        <v>New</v>
      </c>
      <c r="O701" s="2" t="e">
        <f t="shared" ca="1" si="132"/>
        <v>#VALUE!</v>
      </c>
      <c r="P701" s="3" t="e">
        <f t="shared" ca="1" si="133"/>
        <v>#VALUE!</v>
      </c>
      <c r="Q701" s="6" t="str">
        <f t="shared" si="134"/>
        <v>Jan-00</v>
      </c>
      <c r="R701" s="6" t="str">
        <f t="shared" si="135"/>
        <v>Q1</v>
      </c>
      <c r="S701" s="6">
        <f t="shared" si="136"/>
        <v>1900</v>
      </c>
      <c r="T701" s="6" t="str">
        <f t="shared" si="137"/>
        <v>Retail</v>
      </c>
    </row>
    <row r="702" spans="8:20" x14ac:dyDescent="0.3">
      <c r="H702">
        <f t="shared" si="131"/>
        <v>0</v>
      </c>
      <c r="I702">
        <f t="shared" si="126"/>
        <v>0</v>
      </c>
      <c r="J702">
        <f t="shared" si="127"/>
        <v>0</v>
      </c>
      <c r="K702" t="str">
        <f t="shared" si="128"/>
        <v>January</v>
      </c>
      <c r="L702" t="str">
        <f t="shared" si="129"/>
        <v>Q1</v>
      </c>
      <c r="M702" s="2">
        <f t="shared" si="130"/>
        <v>1900</v>
      </c>
      <c r="N702" t="str">
        <f ca="1">IF(COUNTIFS(A$2:A702,A702,O$2:O702,O702)&gt;1,"Repeat","New")</f>
        <v>New</v>
      </c>
      <c r="O702" s="2" t="e">
        <f t="shared" ca="1" si="132"/>
        <v>#VALUE!</v>
      </c>
      <c r="P702" s="3" t="e">
        <f t="shared" ca="1" si="133"/>
        <v>#VALUE!</v>
      </c>
      <c r="Q702" s="6" t="str">
        <f t="shared" si="134"/>
        <v>Jan-00</v>
      </c>
      <c r="R702" s="6" t="str">
        <f t="shared" si="135"/>
        <v>Q1</v>
      </c>
      <c r="S702" s="6">
        <f t="shared" si="136"/>
        <v>1900</v>
      </c>
      <c r="T702" s="6" t="str">
        <f t="shared" si="137"/>
        <v>Retail</v>
      </c>
    </row>
    <row r="703" spans="8:20" x14ac:dyDescent="0.3">
      <c r="H703">
        <f t="shared" si="131"/>
        <v>0</v>
      </c>
      <c r="I703">
        <f t="shared" si="126"/>
        <v>0</v>
      </c>
      <c r="J703">
        <f t="shared" si="127"/>
        <v>0</v>
      </c>
      <c r="K703" t="str">
        <f t="shared" si="128"/>
        <v>January</v>
      </c>
      <c r="L703" t="str">
        <f t="shared" si="129"/>
        <v>Q1</v>
      </c>
      <c r="M703" s="2">
        <f t="shared" si="130"/>
        <v>1900</v>
      </c>
      <c r="N703" t="str">
        <f ca="1">IF(COUNTIFS(A$2:A703,A703,O$2:O703,O703)&gt;1,"Repeat","New")</f>
        <v>New</v>
      </c>
      <c r="O703" s="2" t="e">
        <f t="shared" ca="1" si="132"/>
        <v>#VALUE!</v>
      </c>
      <c r="P703" s="3" t="e">
        <f t="shared" ca="1" si="133"/>
        <v>#VALUE!</v>
      </c>
      <c r="Q703" s="6" t="str">
        <f t="shared" si="134"/>
        <v>Jan-00</v>
      </c>
      <c r="R703" s="6" t="str">
        <f t="shared" si="135"/>
        <v>Q1</v>
      </c>
      <c r="S703" s="6">
        <f t="shared" si="136"/>
        <v>1900</v>
      </c>
      <c r="T703" s="6" t="str">
        <f t="shared" si="137"/>
        <v>Retail</v>
      </c>
    </row>
    <row r="704" spans="8:20" x14ac:dyDescent="0.3">
      <c r="H704">
        <f t="shared" si="131"/>
        <v>0</v>
      </c>
      <c r="I704">
        <f t="shared" si="126"/>
        <v>0</v>
      </c>
      <c r="J704">
        <f t="shared" si="127"/>
        <v>0</v>
      </c>
      <c r="K704" t="str">
        <f t="shared" si="128"/>
        <v>January</v>
      </c>
      <c r="L704" t="str">
        <f t="shared" si="129"/>
        <v>Q1</v>
      </c>
      <c r="M704" s="2">
        <f t="shared" si="130"/>
        <v>1900</v>
      </c>
      <c r="N704" t="str">
        <f ca="1">IF(COUNTIFS(A$2:A704,A704,O$2:O704,O704)&gt;1,"Repeat","New")</f>
        <v>New</v>
      </c>
      <c r="O704" s="2" t="e">
        <f t="shared" ca="1" si="132"/>
        <v>#VALUE!</v>
      </c>
      <c r="P704" s="3" t="e">
        <f t="shared" ca="1" si="133"/>
        <v>#VALUE!</v>
      </c>
      <c r="Q704" s="6" t="str">
        <f t="shared" si="134"/>
        <v>Jan-00</v>
      </c>
      <c r="R704" s="6" t="str">
        <f t="shared" si="135"/>
        <v>Q1</v>
      </c>
      <c r="S704" s="6">
        <f t="shared" si="136"/>
        <v>1900</v>
      </c>
      <c r="T704" s="6" t="str">
        <f t="shared" si="137"/>
        <v>Retail</v>
      </c>
    </row>
    <row r="705" spans="8:20" x14ac:dyDescent="0.3">
      <c r="H705">
        <f t="shared" si="131"/>
        <v>0</v>
      </c>
      <c r="I705">
        <f t="shared" si="126"/>
        <v>0</v>
      </c>
      <c r="J705">
        <f t="shared" si="127"/>
        <v>0</v>
      </c>
      <c r="K705" t="str">
        <f t="shared" si="128"/>
        <v>January</v>
      </c>
      <c r="L705" t="str">
        <f t="shared" si="129"/>
        <v>Q1</v>
      </c>
      <c r="M705" s="2">
        <f t="shared" si="130"/>
        <v>1900</v>
      </c>
      <c r="N705" t="str">
        <f ca="1">IF(COUNTIFS(A$2:A705,A705,O$2:O705,O705)&gt;1,"Repeat","New")</f>
        <v>New</v>
      </c>
      <c r="O705" s="2" t="e">
        <f t="shared" ca="1" si="132"/>
        <v>#VALUE!</v>
      </c>
      <c r="P705" s="3" t="e">
        <f t="shared" ca="1" si="133"/>
        <v>#VALUE!</v>
      </c>
      <c r="Q705" s="6" t="str">
        <f t="shared" si="134"/>
        <v>Jan-00</v>
      </c>
      <c r="R705" s="6" t="str">
        <f t="shared" si="135"/>
        <v>Q1</v>
      </c>
      <c r="S705" s="6">
        <f t="shared" si="136"/>
        <v>1900</v>
      </c>
      <c r="T705" s="6" t="str">
        <f t="shared" si="137"/>
        <v>Retail</v>
      </c>
    </row>
    <row r="706" spans="8:20" x14ac:dyDescent="0.3">
      <c r="H706">
        <f t="shared" si="131"/>
        <v>0</v>
      </c>
      <c r="I706">
        <f t="shared" ref="I706:I769" si="138">H706-(D706*F706)</f>
        <v>0</v>
      </c>
      <c r="J706">
        <f t="shared" ref="J706:J769" si="139">IF(H706&gt;0,I706/H706,0)</f>
        <v>0</v>
      </c>
      <c r="K706" t="str">
        <f t="shared" ref="K706:K769" si="140">TEXT(A706,"mmmm")</f>
        <v>January</v>
      </c>
      <c r="L706" t="str">
        <f t="shared" ref="L706:L769" si="141">"Q"&amp;ROUNDUP(MONTH(A706)/3,0)</f>
        <v>Q1</v>
      </c>
      <c r="M706" s="2">
        <f t="shared" ref="M706:M769" si="142">YEAR(A706)</f>
        <v>1900</v>
      </c>
      <c r="N706" t="str">
        <f ca="1">IF(COUNTIFS(A$2:A706,A706,O$2:O706,O706)&gt;1,"Repeat","New")</f>
        <v>New</v>
      </c>
      <c r="O706" s="2" t="e">
        <f t="shared" ca="1" si="132"/>
        <v>#VALUE!</v>
      </c>
      <c r="P706" s="3" t="e">
        <f t="shared" ca="1" si="133"/>
        <v>#VALUE!</v>
      </c>
      <c r="Q706" s="6" t="str">
        <f t="shared" si="134"/>
        <v>Jan-00</v>
      </c>
      <c r="R706" s="6" t="str">
        <f t="shared" si="135"/>
        <v>Q1</v>
      </c>
      <c r="S706" s="6">
        <f t="shared" si="136"/>
        <v>1900</v>
      </c>
      <c r="T706" s="6" t="str">
        <f t="shared" si="137"/>
        <v>Retail</v>
      </c>
    </row>
    <row r="707" spans="8:20" x14ac:dyDescent="0.3">
      <c r="H707">
        <f t="shared" ref="H707:H770" si="143">(E707*F707)*(1-G707)</f>
        <v>0</v>
      </c>
      <c r="I707">
        <f t="shared" si="138"/>
        <v>0</v>
      </c>
      <c r="J707">
        <f t="shared" si="139"/>
        <v>0</v>
      </c>
      <c r="K707" t="str">
        <f t="shared" si="140"/>
        <v>January</v>
      </c>
      <c r="L707" t="str">
        <f t="shared" si="141"/>
        <v>Q1</v>
      </c>
      <c r="M707" s="2">
        <f t="shared" si="142"/>
        <v>1900</v>
      </c>
      <c r="N707" t="str">
        <f ca="1">IF(COUNTIFS(A$2:A707,A707,O$2:O707,O707)&gt;1,"Repeat","New")</f>
        <v>New</v>
      </c>
      <c r="O707" s="2" t="e">
        <f t="shared" ca="1" si="132"/>
        <v>#VALUE!</v>
      </c>
      <c r="P707" s="3" t="e">
        <f t="shared" ca="1" si="133"/>
        <v>#VALUE!</v>
      </c>
      <c r="Q707" s="6" t="str">
        <f t="shared" si="134"/>
        <v>Jan-00</v>
      </c>
      <c r="R707" s="6" t="str">
        <f t="shared" si="135"/>
        <v>Q1</v>
      </c>
      <c r="S707" s="6">
        <f t="shared" si="136"/>
        <v>1900</v>
      </c>
      <c r="T707" s="6" t="str">
        <f t="shared" si="137"/>
        <v>Retail</v>
      </c>
    </row>
    <row r="708" spans="8:20" x14ac:dyDescent="0.3">
      <c r="H708">
        <f t="shared" si="143"/>
        <v>0</v>
      </c>
      <c r="I708">
        <f t="shared" si="138"/>
        <v>0</v>
      </c>
      <c r="J708">
        <f t="shared" si="139"/>
        <v>0</v>
      </c>
      <c r="K708" t="str">
        <f t="shared" si="140"/>
        <v>January</v>
      </c>
      <c r="L708" t="str">
        <f t="shared" si="141"/>
        <v>Q1</v>
      </c>
      <c r="M708" s="2">
        <f t="shared" si="142"/>
        <v>1900</v>
      </c>
      <c r="N708" t="str">
        <f ca="1">IF(COUNTIFS(A$2:A708,A708,O$2:O708,O708)&gt;1,"Repeat","New")</f>
        <v>New</v>
      </c>
      <c r="O708" s="2" t="e">
        <f t="shared" ca="1" si="132"/>
        <v>#VALUE!</v>
      </c>
      <c r="P708" s="3" t="e">
        <f t="shared" ca="1" si="133"/>
        <v>#VALUE!</v>
      </c>
      <c r="Q708" s="6" t="str">
        <f t="shared" si="134"/>
        <v>Jan-00</v>
      </c>
      <c r="R708" s="6" t="str">
        <f t="shared" si="135"/>
        <v>Q1</v>
      </c>
      <c r="S708" s="6">
        <f t="shared" si="136"/>
        <v>1900</v>
      </c>
      <c r="T708" s="6" t="str">
        <f t="shared" si="137"/>
        <v>Retail</v>
      </c>
    </row>
    <row r="709" spans="8:20" x14ac:dyDescent="0.3">
      <c r="H709">
        <f t="shared" si="143"/>
        <v>0</v>
      </c>
      <c r="I709">
        <f t="shared" si="138"/>
        <v>0</v>
      </c>
      <c r="J709">
        <f t="shared" si="139"/>
        <v>0</v>
      </c>
      <c r="K709" t="str">
        <f t="shared" si="140"/>
        <v>January</v>
      </c>
      <c r="L709" t="str">
        <f t="shared" si="141"/>
        <v>Q1</v>
      </c>
      <c r="M709" s="2">
        <f t="shared" si="142"/>
        <v>1900</v>
      </c>
      <c r="N709" t="str">
        <f ca="1">IF(COUNTIFS(A$2:A709,A709,O$2:O709,O709)&gt;1,"Repeat","New")</f>
        <v>New</v>
      </c>
      <c r="O709" s="2" t="e">
        <f t="shared" ca="1" si="132"/>
        <v>#VALUE!</v>
      </c>
      <c r="P709" s="3" t="e">
        <f t="shared" ca="1" si="133"/>
        <v>#VALUE!</v>
      </c>
      <c r="Q709" s="6" t="str">
        <f t="shared" si="134"/>
        <v>Jan-00</v>
      </c>
      <c r="R709" s="6" t="str">
        <f t="shared" si="135"/>
        <v>Q1</v>
      </c>
      <c r="S709" s="6">
        <f t="shared" si="136"/>
        <v>1900</v>
      </c>
      <c r="T709" s="6" t="str">
        <f t="shared" si="137"/>
        <v>Retail</v>
      </c>
    </row>
    <row r="710" spans="8:20" x14ac:dyDescent="0.3">
      <c r="H710">
        <f t="shared" si="143"/>
        <v>0</v>
      </c>
      <c r="I710">
        <f t="shared" si="138"/>
        <v>0</v>
      </c>
      <c r="J710">
        <f t="shared" si="139"/>
        <v>0</v>
      </c>
      <c r="K710" t="str">
        <f t="shared" si="140"/>
        <v>January</v>
      </c>
      <c r="L710" t="str">
        <f t="shared" si="141"/>
        <v>Q1</v>
      </c>
      <c r="M710" s="2">
        <f t="shared" si="142"/>
        <v>1900</v>
      </c>
      <c r="N710" t="str">
        <f ca="1">IF(COUNTIFS(A$2:A710,A710,O$2:O710,O710)&gt;1,"Repeat","New")</f>
        <v>New</v>
      </c>
      <c r="O710" s="2" t="e">
        <f t="shared" ca="1" si="132"/>
        <v>#VALUE!</v>
      </c>
      <c r="P710" s="3" t="e">
        <f t="shared" ca="1" si="133"/>
        <v>#VALUE!</v>
      </c>
      <c r="Q710" s="6" t="str">
        <f t="shared" si="134"/>
        <v>Jan-00</v>
      </c>
      <c r="R710" s="6" t="str">
        <f t="shared" si="135"/>
        <v>Q1</v>
      </c>
      <c r="S710" s="6">
        <f t="shared" si="136"/>
        <v>1900</v>
      </c>
      <c r="T710" s="6" t="str">
        <f t="shared" si="137"/>
        <v>Retail</v>
      </c>
    </row>
    <row r="711" spans="8:20" x14ac:dyDescent="0.3">
      <c r="H711">
        <f t="shared" si="143"/>
        <v>0</v>
      </c>
      <c r="I711">
        <f t="shared" si="138"/>
        <v>0</v>
      </c>
      <c r="J711">
        <f t="shared" si="139"/>
        <v>0</v>
      </c>
      <c r="K711" t="str">
        <f t="shared" si="140"/>
        <v>January</v>
      </c>
      <c r="L711" t="str">
        <f t="shared" si="141"/>
        <v>Q1</v>
      </c>
      <c r="M711" s="2">
        <f t="shared" si="142"/>
        <v>1900</v>
      </c>
      <c r="N711" t="str">
        <f ca="1">IF(COUNTIFS(A$2:A711,A711,O$2:O711,O711)&gt;1,"Repeat","New")</f>
        <v>New</v>
      </c>
      <c r="O711" s="2" t="e">
        <f t="shared" ca="1" si="132"/>
        <v>#VALUE!</v>
      </c>
      <c r="P711" s="3" t="e">
        <f t="shared" ca="1" si="133"/>
        <v>#VALUE!</v>
      </c>
      <c r="Q711" s="6" t="str">
        <f t="shared" si="134"/>
        <v>Jan-00</v>
      </c>
      <c r="R711" s="6" t="str">
        <f t="shared" si="135"/>
        <v>Q1</v>
      </c>
      <c r="S711" s="6">
        <f t="shared" si="136"/>
        <v>1900</v>
      </c>
      <c r="T711" s="6" t="str">
        <f t="shared" si="137"/>
        <v>Retail</v>
      </c>
    </row>
    <row r="712" spans="8:20" x14ac:dyDescent="0.3">
      <c r="H712">
        <f t="shared" si="143"/>
        <v>0</v>
      </c>
      <c r="I712">
        <f t="shared" si="138"/>
        <v>0</v>
      </c>
      <c r="J712">
        <f t="shared" si="139"/>
        <v>0</v>
      </c>
      <c r="K712" t="str">
        <f t="shared" si="140"/>
        <v>January</v>
      </c>
      <c r="L712" t="str">
        <f t="shared" si="141"/>
        <v>Q1</v>
      </c>
      <c r="M712" s="2">
        <f t="shared" si="142"/>
        <v>1900</v>
      </c>
      <c r="N712" t="str">
        <f ca="1">IF(COUNTIFS(A$2:A712,A712,O$2:O712,O712)&gt;1,"Repeat","New")</f>
        <v>New</v>
      </c>
      <c r="O712" s="2" t="e">
        <f t="shared" ca="1" si="132"/>
        <v>#VALUE!</v>
      </c>
      <c r="P712" s="3" t="e">
        <f t="shared" ca="1" si="133"/>
        <v>#VALUE!</v>
      </c>
      <c r="Q712" s="6" t="str">
        <f t="shared" si="134"/>
        <v>Jan-00</v>
      </c>
      <c r="R712" s="6" t="str">
        <f t="shared" si="135"/>
        <v>Q1</v>
      </c>
      <c r="S712" s="6">
        <f t="shared" si="136"/>
        <v>1900</v>
      </c>
      <c r="T712" s="6" t="str">
        <f t="shared" si="137"/>
        <v>Retail</v>
      </c>
    </row>
    <row r="713" spans="8:20" x14ac:dyDescent="0.3">
      <c r="H713">
        <f t="shared" si="143"/>
        <v>0</v>
      </c>
      <c r="I713">
        <f t="shared" si="138"/>
        <v>0</v>
      </c>
      <c r="J713">
        <f t="shared" si="139"/>
        <v>0</v>
      </c>
      <c r="K713" t="str">
        <f t="shared" si="140"/>
        <v>January</v>
      </c>
      <c r="L713" t="str">
        <f t="shared" si="141"/>
        <v>Q1</v>
      </c>
      <c r="M713" s="2">
        <f t="shared" si="142"/>
        <v>1900</v>
      </c>
      <c r="N713" t="str">
        <f ca="1">IF(COUNTIFS(A$2:A713,A713,O$2:O713,O713)&gt;1,"Repeat","New")</f>
        <v>New</v>
      </c>
      <c r="O713" s="2" t="e">
        <f t="shared" ca="1" si="132"/>
        <v>#VALUE!</v>
      </c>
      <c r="P713" s="3" t="e">
        <f t="shared" ca="1" si="133"/>
        <v>#VALUE!</v>
      </c>
      <c r="Q713" s="6" t="str">
        <f t="shared" si="134"/>
        <v>Jan-00</v>
      </c>
      <c r="R713" s="6" t="str">
        <f t="shared" si="135"/>
        <v>Q1</v>
      </c>
      <c r="S713" s="6">
        <f t="shared" si="136"/>
        <v>1900</v>
      </c>
      <c r="T713" s="6" t="str">
        <f t="shared" si="137"/>
        <v>Retail</v>
      </c>
    </row>
    <row r="714" spans="8:20" x14ac:dyDescent="0.3">
      <c r="H714">
        <f t="shared" si="143"/>
        <v>0</v>
      </c>
      <c r="I714">
        <f t="shared" si="138"/>
        <v>0</v>
      </c>
      <c r="J714">
        <f t="shared" si="139"/>
        <v>0</v>
      </c>
      <c r="K714" t="str">
        <f t="shared" si="140"/>
        <v>January</v>
      </c>
      <c r="L714" t="str">
        <f t="shared" si="141"/>
        <v>Q1</v>
      </c>
      <c r="M714" s="2">
        <f t="shared" si="142"/>
        <v>1900</v>
      </c>
      <c r="N714" t="str">
        <f ca="1">IF(COUNTIFS(A$2:A714,A714,O$2:O714,O714)&gt;1,"Repeat","New")</f>
        <v>New</v>
      </c>
      <c r="O714" s="2" t="e">
        <f t="shared" ca="1" si="132"/>
        <v>#VALUE!</v>
      </c>
      <c r="P714" s="3" t="e">
        <f t="shared" ca="1" si="133"/>
        <v>#VALUE!</v>
      </c>
      <c r="Q714" s="6" t="str">
        <f t="shared" si="134"/>
        <v>Jan-00</v>
      </c>
      <c r="R714" s="6" t="str">
        <f t="shared" si="135"/>
        <v>Q1</v>
      </c>
      <c r="S714" s="6">
        <f t="shared" si="136"/>
        <v>1900</v>
      </c>
      <c r="T714" s="6" t="str">
        <f t="shared" si="137"/>
        <v>Retail</v>
      </c>
    </row>
    <row r="715" spans="8:20" x14ac:dyDescent="0.3">
      <c r="H715">
        <f t="shared" si="143"/>
        <v>0</v>
      </c>
      <c r="I715">
        <f t="shared" si="138"/>
        <v>0</v>
      </c>
      <c r="J715">
        <f t="shared" si="139"/>
        <v>0</v>
      </c>
      <c r="K715" t="str">
        <f t="shared" si="140"/>
        <v>January</v>
      </c>
      <c r="L715" t="str">
        <f t="shared" si="141"/>
        <v>Q1</v>
      </c>
      <c r="M715" s="2">
        <f t="shared" si="142"/>
        <v>1900</v>
      </c>
      <c r="N715" t="str">
        <f ca="1">IF(COUNTIFS(A$2:A715,A715,O$2:O715,O715)&gt;1,"Repeat","New")</f>
        <v>New</v>
      </c>
      <c r="O715" s="2" t="e">
        <f t="shared" ca="1" si="132"/>
        <v>#VALUE!</v>
      </c>
      <c r="P715" s="3" t="e">
        <f t="shared" ca="1" si="133"/>
        <v>#VALUE!</v>
      </c>
      <c r="Q715" s="6" t="str">
        <f t="shared" si="134"/>
        <v>Jan-00</v>
      </c>
      <c r="R715" s="6" t="str">
        <f t="shared" si="135"/>
        <v>Q1</v>
      </c>
      <c r="S715" s="6">
        <f t="shared" si="136"/>
        <v>1900</v>
      </c>
      <c r="T715" s="6" t="str">
        <f t="shared" si="137"/>
        <v>Retail</v>
      </c>
    </row>
    <row r="716" spans="8:20" x14ac:dyDescent="0.3">
      <c r="H716">
        <f t="shared" si="143"/>
        <v>0</v>
      </c>
      <c r="I716">
        <f t="shared" si="138"/>
        <v>0</v>
      </c>
      <c r="J716">
        <f t="shared" si="139"/>
        <v>0</v>
      </c>
      <c r="K716" t="str">
        <f t="shared" si="140"/>
        <v>January</v>
      </c>
      <c r="L716" t="str">
        <f t="shared" si="141"/>
        <v>Q1</v>
      </c>
      <c r="M716" s="2">
        <f t="shared" si="142"/>
        <v>1900</v>
      </c>
      <c r="N716" t="str">
        <f ca="1">IF(COUNTIFS(A$2:A716,A716,O$2:O716,O716)&gt;1,"Repeat","New")</f>
        <v>New</v>
      </c>
      <c r="O716" s="2" t="e">
        <f t="shared" ca="1" si="132"/>
        <v>#VALUE!</v>
      </c>
      <c r="P716" s="3" t="e">
        <f t="shared" ca="1" si="133"/>
        <v>#VALUE!</v>
      </c>
      <c r="Q716" s="6" t="str">
        <f t="shared" si="134"/>
        <v>Jan-00</v>
      </c>
      <c r="R716" s="6" t="str">
        <f t="shared" si="135"/>
        <v>Q1</v>
      </c>
      <c r="S716" s="6">
        <f t="shared" si="136"/>
        <v>1900</v>
      </c>
      <c r="T716" s="6" t="str">
        <f t="shared" si="137"/>
        <v>Retail</v>
      </c>
    </row>
    <row r="717" spans="8:20" x14ac:dyDescent="0.3">
      <c r="H717">
        <f t="shared" si="143"/>
        <v>0</v>
      </c>
      <c r="I717">
        <f t="shared" si="138"/>
        <v>0</v>
      </c>
      <c r="J717">
        <f t="shared" si="139"/>
        <v>0</v>
      </c>
      <c r="K717" t="str">
        <f t="shared" si="140"/>
        <v>January</v>
      </c>
      <c r="L717" t="str">
        <f t="shared" si="141"/>
        <v>Q1</v>
      </c>
      <c r="M717" s="2">
        <f t="shared" si="142"/>
        <v>1900</v>
      </c>
      <c r="N717" t="str">
        <f ca="1">IF(COUNTIFS(A$2:A717,A717,O$2:O717,O717)&gt;1,"Repeat","New")</f>
        <v>New</v>
      </c>
      <c r="O717" s="2" t="e">
        <f t="shared" ca="1" si="132"/>
        <v>#VALUE!</v>
      </c>
      <c r="P717" s="3" t="e">
        <f t="shared" ca="1" si="133"/>
        <v>#VALUE!</v>
      </c>
      <c r="Q717" s="6" t="str">
        <f t="shared" si="134"/>
        <v>Jan-00</v>
      </c>
      <c r="R717" s="6" t="str">
        <f t="shared" si="135"/>
        <v>Q1</v>
      </c>
      <c r="S717" s="6">
        <f t="shared" si="136"/>
        <v>1900</v>
      </c>
      <c r="T717" s="6" t="str">
        <f t="shared" si="137"/>
        <v>Retail</v>
      </c>
    </row>
    <row r="718" spans="8:20" x14ac:dyDescent="0.3">
      <c r="H718">
        <f t="shared" si="143"/>
        <v>0</v>
      </c>
      <c r="I718">
        <f t="shared" si="138"/>
        <v>0</v>
      </c>
      <c r="J718">
        <f t="shared" si="139"/>
        <v>0</v>
      </c>
      <c r="K718" t="str">
        <f t="shared" si="140"/>
        <v>January</v>
      </c>
      <c r="L718" t="str">
        <f t="shared" si="141"/>
        <v>Q1</v>
      </c>
      <c r="M718" s="2">
        <f t="shared" si="142"/>
        <v>1900</v>
      </c>
      <c r="N718" t="str">
        <f ca="1">IF(COUNTIFS(A$2:A718,A718,O$2:O718,O718)&gt;1,"Repeat","New")</f>
        <v>New</v>
      </c>
      <c r="O718" s="2" t="e">
        <f t="shared" ca="1" si="132"/>
        <v>#VALUE!</v>
      </c>
      <c r="P718" s="3" t="e">
        <f t="shared" ca="1" si="133"/>
        <v>#VALUE!</v>
      </c>
      <c r="Q718" s="6" t="str">
        <f t="shared" si="134"/>
        <v>Jan-00</v>
      </c>
      <c r="R718" s="6" t="str">
        <f t="shared" si="135"/>
        <v>Q1</v>
      </c>
      <c r="S718" s="6">
        <f t="shared" si="136"/>
        <v>1900</v>
      </c>
      <c r="T718" s="6" t="str">
        <f t="shared" si="137"/>
        <v>Retail</v>
      </c>
    </row>
    <row r="719" spans="8:20" x14ac:dyDescent="0.3">
      <c r="H719">
        <f t="shared" si="143"/>
        <v>0</v>
      </c>
      <c r="I719">
        <f t="shared" si="138"/>
        <v>0</v>
      </c>
      <c r="J719">
        <f t="shared" si="139"/>
        <v>0</v>
      </c>
      <c r="K719" t="str">
        <f t="shared" si="140"/>
        <v>January</v>
      </c>
      <c r="L719" t="str">
        <f t="shared" si="141"/>
        <v>Q1</v>
      </c>
      <c r="M719" s="2">
        <f t="shared" si="142"/>
        <v>1900</v>
      </c>
      <c r="N719" t="str">
        <f ca="1">IF(COUNTIFS(A$2:A719,A719,O$2:O719,O719)&gt;1,"Repeat","New")</f>
        <v>New</v>
      </c>
      <c r="O719" s="2" t="e">
        <f t="shared" ca="1" si="132"/>
        <v>#VALUE!</v>
      </c>
      <c r="P719" s="3" t="e">
        <f t="shared" ca="1" si="133"/>
        <v>#VALUE!</v>
      </c>
      <c r="Q719" s="6" t="str">
        <f t="shared" si="134"/>
        <v>Jan-00</v>
      </c>
      <c r="R719" s="6" t="str">
        <f t="shared" si="135"/>
        <v>Q1</v>
      </c>
      <c r="S719" s="6">
        <f t="shared" si="136"/>
        <v>1900</v>
      </c>
      <c r="T719" s="6" t="str">
        <f t="shared" si="137"/>
        <v>Retail</v>
      </c>
    </row>
    <row r="720" spans="8:20" x14ac:dyDescent="0.3">
      <c r="H720">
        <f t="shared" si="143"/>
        <v>0</v>
      </c>
      <c r="I720">
        <f t="shared" si="138"/>
        <v>0</v>
      </c>
      <c r="J720">
        <f t="shared" si="139"/>
        <v>0</v>
      </c>
      <c r="K720" t="str">
        <f t="shared" si="140"/>
        <v>January</v>
      </c>
      <c r="L720" t="str">
        <f t="shared" si="141"/>
        <v>Q1</v>
      </c>
      <c r="M720" s="2">
        <f t="shared" si="142"/>
        <v>1900</v>
      </c>
      <c r="N720" t="str">
        <f ca="1">IF(COUNTIFS(A$2:A720,A720,O$2:O720,O720)&gt;1,"Repeat","New")</f>
        <v>New</v>
      </c>
      <c r="O720" s="2" t="e">
        <f t="shared" ca="1" si="132"/>
        <v>#VALUE!</v>
      </c>
      <c r="P720" s="3" t="e">
        <f t="shared" ca="1" si="133"/>
        <v>#VALUE!</v>
      </c>
      <c r="Q720" s="6" t="str">
        <f t="shared" si="134"/>
        <v>Jan-00</v>
      </c>
      <c r="R720" s="6" t="str">
        <f t="shared" si="135"/>
        <v>Q1</v>
      </c>
      <c r="S720" s="6">
        <f t="shared" si="136"/>
        <v>1900</v>
      </c>
      <c r="T720" s="6" t="str">
        <f t="shared" si="137"/>
        <v>Retail</v>
      </c>
    </row>
    <row r="721" spans="8:20" x14ac:dyDescent="0.3">
      <c r="H721">
        <f t="shared" si="143"/>
        <v>0</v>
      </c>
      <c r="I721">
        <f t="shared" si="138"/>
        <v>0</v>
      </c>
      <c r="J721">
        <f t="shared" si="139"/>
        <v>0</v>
      </c>
      <c r="K721" t="str">
        <f t="shared" si="140"/>
        <v>January</v>
      </c>
      <c r="L721" t="str">
        <f t="shared" si="141"/>
        <v>Q1</v>
      </c>
      <c r="M721" s="2">
        <f t="shared" si="142"/>
        <v>1900</v>
      </c>
      <c r="N721" t="str">
        <f ca="1">IF(COUNTIFS(A$2:A721,A721,O$2:O721,O721)&gt;1,"Repeat","New")</f>
        <v>New</v>
      </c>
      <c r="O721" s="2" t="e">
        <f t="shared" ca="1" si="132"/>
        <v>#VALUE!</v>
      </c>
      <c r="P721" s="3" t="e">
        <f t="shared" ca="1" si="133"/>
        <v>#VALUE!</v>
      </c>
      <c r="Q721" s="6" t="str">
        <f t="shared" si="134"/>
        <v>Jan-00</v>
      </c>
      <c r="R721" s="6" t="str">
        <f t="shared" si="135"/>
        <v>Q1</v>
      </c>
      <c r="S721" s="6">
        <f t="shared" si="136"/>
        <v>1900</v>
      </c>
      <c r="T721" s="6" t="str">
        <f t="shared" si="137"/>
        <v>Retail</v>
      </c>
    </row>
    <row r="722" spans="8:20" x14ac:dyDescent="0.3">
      <c r="H722">
        <f t="shared" si="143"/>
        <v>0</v>
      </c>
      <c r="I722">
        <f t="shared" si="138"/>
        <v>0</v>
      </c>
      <c r="J722">
        <f t="shared" si="139"/>
        <v>0</v>
      </c>
      <c r="K722" t="str">
        <f t="shared" si="140"/>
        <v>January</v>
      </c>
      <c r="L722" t="str">
        <f t="shared" si="141"/>
        <v>Q1</v>
      </c>
      <c r="M722" s="2">
        <f t="shared" si="142"/>
        <v>1900</v>
      </c>
      <c r="N722" t="str">
        <f ca="1">IF(COUNTIFS(A$2:A722,A722,O$2:O722,O722)&gt;1,"Repeat","New")</f>
        <v>New</v>
      </c>
      <c r="O722" s="2" t="e">
        <f t="shared" ca="1" si="132"/>
        <v>#VALUE!</v>
      </c>
      <c r="P722" s="3" t="e">
        <f t="shared" ca="1" si="133"/>
        <v>#VALUE!</v>
      </c>
      <c r="Q722" s="6" t="str">
        <f t="shared" si="134"/>
        <v>Jan-00</v>
      </c>
      <c r="R722" s="6" t="str">
        <f t="shared" si="135"/>
        <v>Q1</v>
      </c>
      <c r="S722" s="6">
        <f t="shared" si="136"/>
        <v>1900</v>
      </c>
      <c r="T722" s="6" t="str">
        <f t="shared" si="137"/>
        <v>Retail</v>
      </c>
    </row>
    <row r="723" spans="8:20" x14ac:dyDescent="0.3">
      <c r="H723">
        <f t="shared" si="143"/>
        <v>0</v>
      </c>
      <c r="I723">
        <f t="shared" si="138"/>
        <v>0</v>
      </c>
      <c r="J723">
        <f t="shared" si="139"/>
        <v>0</v>
      </c>
      <c r="K723" t="str">
        <f t="shared" si="140"/>
        <v>January</v>
      </c>
      <c r="L723" t="str">
        <f t="shared" si="141"/>
        <v>Q1</v>
      </c>
      <c r="M723" s="2">
        <f t="shared" si="142"/>
        <v>1900</v>
      </c>
      <c r="N723" t="str">
        <f ca="1">IF(COUNTIFS(A$2:A723,A723,O$2:O723,O723)&gt;1,"Repeat","New")</f>
        <v>New</v>
      </c>
      <c r="O723" s="2" t="e">
        <f t="shared" ca="1" si="132"/>
        <v>#VALUE!</v>
      </c>
      <c r="P723" s="3" t="e">
        <f t="shared" ca="1" si="133"/>
        <v>#VALUE!</v>
      </c>
      <c r="Q723" s="6" t="str">
        <f t="shared" si="134"/>
        <v>Jan-00</v>
      </c>
      <c r="R723" s="6" t="str">
        <f t="shared" si="135"/>
        <v>Q1</v>
      </c>
      <c r="S723" s="6">
        <f t="shared" si="136"/>
        <v>1900</v>
      </c>
      <c r="T723" s="6" t="str">
        <f t="shared" si="137"/>
        <v>Retail</v>
      </c>
    </row>
    <row r="724" spans="8:20" x14ac:dyDescent="0.3">
      <c r="H724">
        <f t="shared" si="143"/>
        <v>0</v>
      </c>
      <c r="I724">
        <f t="shared" si="138"/>
        <v>0</v>
      </c>
      <c r="J724">
        <f t="shared" si="139"/>
        <v>0</v>
      </c>
      <c r="K724" t="str">
        <f t="shared" si="140"/>
        <v>January</v>
      </c>
      <c r="L724" t="str">
        <f t="shared" si="141"/>
        <v>Q1</v>
      </c>
      <c r="M724" s="2">
        <f t="shared" si="142"/>
        <v>1900</v>
      </c>
      <c r="N724" t="str">
        <f ca="1">IF(COUNTIFS(A$2:A724,A724,O$2:O724,O724)&gt;1,"Repeat","New")</f>
        <v>New</v>
      </c>
      <c r="O724" s="2" t="e">
        <f t="shared" ca="1" si="132"/>
        <v>#VALUE!</v>
      </c>
      <c r="P724" s="3" t="e">
        <f t="shared" ca="1" si="133"/>
        <v>#VALUE!</v>
      </c>
      <c r="Q724" s="6" t="str">
        <f t="shared" si="134"/>
        <v>Jan-00</v>
      </c>
      <c r="R724" s="6" t="str">
        <f t="shared" si="135"/>
        <v>Q1</v>
      </c>
      <c r="S724" s="6">
        <f t="shared" si="136"/>
        <v>1900</v>
      </c>
      <c r="T724" s="6" t="str">
        <f t="shared" si="137"/>
        <v>Retail</v>
      </c>
    </row>
    <row r="725" spans="8:20" x14ac:dyDescent="0.3">
      <c r="H725">
        <f t="shared" si="143"/>
        <v>0</v>
      </c>
      <c r="I725">
        <f t="shared" si="138"/>
        <v>0</v>
      </c>
      <c r="J725">
        <f t="shared" si="139"/>
        <v>0</v>
      </c>
      <c r="K725" t="str">
        <f t="shared" si="140"/>
        <v>January</v>
      </c>
      <c r="L725" t="str">
        <f t="shared" si="141"/>
        <v>Q1</v>
      </c>
      <c r="M725" s="2">
        <f t="shared" si="142"/>
        <v>1900</v>
      </c>
      <c r="N725" t="str">
        <f ca="1">IF(COUNTIFS(A$2:A725,A725,O$2:O725,O725)&gt;1,"Repeat","New")</f>
        <v>New</v>
      </c>
      <c r="O725" s="2" t="e">
        <f t="shared" ca="1" si="132"/>
        <v>#VALUE!</v>
      </c>
      <c r="P725" s="3" t="e">
        <f t="shared" ca="1" si="133"/>
        <v>#VALUE!</v>
      </c>
      <c r="Q725" s="6" t="str">
        <f t="shared" si="134"/>
        <v>Jan-00</v>
      </c>
      <c r="R725" s="6" t="str">
        <f t="shared" si="135"/>
        <v>Q1</v>
      </c>
      <c r="S725" s="6">
        <f t="shared" si="136"/>
        <v>1900</v>
      </c>
      <c r="T725" s="6" t="str">
        <f t="shared" si="137"/>
        <v>Retail</v>
      </c>
    </row>
    <row r="726" spans="8:20" x14ac:dyDescent="0.3">
      <c r="H726">
        <f t="shared" si="143"/>
        <v>0</v>
      </c>
      <c r="I726">
        <f t="shared" si="138"/>
        <v>0</v>
      </c>
      <c r="J726">
        <f t="shared" si="139"/>
        <v>0</v>
      </c>
      <c r="K726" t="str">
        <f t="shared" si="140"/>
        <v>January</v>
      </c>
      <c r="L726" t="str">
        <f t="shared" si="141"/>
        <v>Q1</v>
      </c>
      <c r="M726" s="2">
        <f t="shared" si="142"/>
        <v>1900</v>
      </c>
      <c r="N726" t="str">
        <f ca="1">IF(COUNTIFS(A$2:A726,A726,O$2:O726,O726)&gt;1,"Repeat","New")</f>
        <v>New</v>
      </c>
      <c r="O726" s="2" t="e">
        <f t="shared" ca="1" si="132"/>
        <v>#VALUE!</v>
      </c>
      <c r="P726" s="3" t="e">
        <f t="shared" ca="1" si="133"/>
        <v>#VALUE!</v>
      </c>
      <c r="Q726" s="6" t="str">
        <f t="shared" si="134"/>
        <v>Jan-00</v>
      </c>
      <c r="R726" s="6" t="str">
        <f t="shared" si="135"/>
        <v>Q1</v>
      </c>
      <c r="S726" s="6">
        <f t="shared" si="136"/>
        <v>1900</v>
      </c>
      <c r="T726" s="6" t="str">
        <f t="shared" si="137"/>
        <v>Retail</v>
      </c>
    </row>
    <row r="727" spans="8:20" x14ac:dyDescent="0.3">
      <c r="H727">
        <f t="shared" si="143"/>
        <v>0</v>
      </c>
      <c r="I727">
        <f t="shared" si="138"/>
        <v>0</v>
      </c>
      <c r="J727">
        <f t="shared" si="139"/>
        <v>0</v>
      </c>
      <c r="K727" t="str">
        <f t="shared" si="140"/>
        <v>January</v>
      </c>
      <c r="L727" t="str">
        <f t="shared" si="141"/>
        <v>Q1</v>
      </c>
      <c r="M727" s="2">
        <f t="shared" si="142"/>
        <v>1900</v>
      </c>
      <c r="N727" t="str">
        <f ca="1">IF(COUNTIFS(A$2:A727,A727,O$2:O727,O727)&gt;1,"Repeat","New")</f>
        <v>New</v>
      </c>
      <c r="O727" s="2" t="e">
        <f t="shared" ca="1" si="132"/>
        <v>#VALUE!</v>
      </c>
      <c r="P727" s="3" t="e">
        <f t="shared" ca="1" si="133"/>
        <v>#VALUE!</v>
      </c>
      <c r="Q727" s="6" t="str">
        <f t="shared" si="134"/>
        <v>Jan-00</v>
      </c>
      <c r="R727" s="6" t="str">
        <f t="shared" si="135"/>
        <v>Q1</v>
      </c>
      <c r="S727" s="6">
        <f t="shared" si="136"/>
        <v>1900</v>
      </c>
      <c r="T727" s="6" t="str">
        <f t="shared" si="137"/>
        <v>Retail</v>
      </c>
    </row>
    <row r="728" spans="8:20" x14ac:dyDescent="0.3">
      <c r="H728">
        <f t="shared" si="143"/>
        <v>0</v>
      </c>
      <c r="I728">
        <f t="shared" si="138"/>
        <v>0</v>
      </c>
      <c r="J728">
        <f t="shared" si="139"/>
        <v>0</v>
      </c>
      <c r="K728" t="str">
        <f t="shared" si="140"/>
        <v>January</v>
      </c>
      <c r="L728" t="str">
        <f t="shared" si="141"/>
        <v>Q1</v>
      </c>
      <c r="M728" s="2">
        <f t="shared" si="142"/>
        <v>1900</v>
      </c>
      <c r="N728" t="str">
        <f ca="1">IF(COUNTIFS(A$2:A728,A728,O$2:O728,O728)&gt;1,"Repeat","New")</f>
        <v>New</v>
      </c>
      <c r="O728" s="2" t="e">
        <f t="shared" ca="1" si="132"/>
        <v>#VALUE!</v>
      </c>
      <c r="P728" s="3" t="e">
        <f t="shared" ca="1" si="133"/>
        <v>#VALUE!</v>
      </c>
      <c r="Q728" s="6" t="str">
        <f t="shared" si="134"/>
        <v>Jan-00</v>
      </c>
      <c r="R728" s="6" t="str">
        <f t="shared" si="135"/>
        <v>Q1</v>
      </c>
      <c r="S728" s="6">
        <f t="shared" si="136"/>
        <v>1900</v>
      </c>
      <c r="T728" s="6" t="str">
        <f t="shared" si="137"/>
        <v>Retail</v>
      </c>
    </row>
    <row r="729" spans="8:20" x14ac:dyDescent="0.3">
      <c r="H729">
        <f t="shared" si="143"/>
        <v>0</v>
      </c>
      <c r="I729">
        <f t="shared" si="138"/>
        <v>0</v>
      </c>
      <c r="J729">
        <f t="shared" si="139"/>
        <v>0</v>
      </c>
      <c r="K729" t="str">
        <f t="shared" si="140"/>
        <v>January</v>
      </c>
      <c r="L729" t="str">
        <f t="shared" si="141"/>
        <v>Q1</v>
      </c>
      <c r="M729" s="2">
        <f t="shared" si="142"/>
        <v>1900</v>
      </c>
      <c r="N729" t="str">
        <f ca="1">IF(COUNTIFS(A$2:A729,A729,O$2:O729,O729)&gt;1,"Repeat","New")</f>
        <v>New</v>
      </c>
      <c r="O729" s="2" t="e">
        <f t="shared" ca="1" si="132"/>
        <v>#VALUE!</v>
      </c>
      <c r="P729" s="3" t="e">
        <f t="shared" ca="1" si="133"/>
        <v>#VALUE!</v>
      </c>
      <c r="Q729" s="6" t="str">
        <f t="shared" si="134"/>
        <v>Jan-00</v>
      </c>
      <c r="R729" s="6" t="str">
        <f t="shared" si="135"/>
        <v>Q1</v>
      </c>
      <c r="S729" s="6">
        <f t="shared" si="136"/>
        <v>1900</v>
      </c>
      <c r="T729" s="6" t="str">
        <f t="shared" si="137"/>
        <v>Retail</v>
      </c>
    </row>
    <row r="730" spans="8:20" x14ac:dyDescent="0.3">
      <c r="H730">
        <f t="shared" si="143"/>
        <v>0</v>
      </c>
      <c r="I730">
        <f t="shared" si="138"/>
        <v>0</v>
      </c>
      <c r="J730">
        <f t="shared" si="139"/>
        <v>0</v>
      </c>
      <c r="K730" t="str">
        <f t="shared" si="140"/>
        <v>January</v>
      </c>
      <c r="L730" t="str">
        <f t="shared" si="141"/>
        <v>Q1</v>
      </c>
      <c r="M730" s="2">
        <f t="shared" si="142"/>
        <v>1900</v>
      </c>
      <c r="N730" t="str">
        <f ca="1">IF(COUNTIFS(A$2:A730,A730,O$2:O730,O730)&gt;1,"Repeat","New")</f>
        <v>New</v>
      </c>
      <c r="O730" s="2" t="e">
        <f t="shared" ca="1" si="132"/>
        <v>#VALUE!</v>
      </c>
      <c r="P730" s="3" t="e">
        <f t="shared" ca="1" si="133"/>
        <v>#VALUE!</v>
      </c>
      <c r="Q730" s="6" t="str">
        <f t="shared" si="134"/>
        <v>Jan-00</v>
      </c>
      <c r="R730" s="6" t="str">
        <f t="shared" si="135"/>
        <v>Q1</v>
      </c>
      <c r="S730" s="6">
        <f t="shared" si="136"/>
        <v>1900</v>
      </c>
      <c r="T730" s="6" t="str">
        <f t="shared" si="137"/>
        <v>Retail</v>
      </c>
    </row>
    <row r="731" spans="8:20" x14ac:dyDescent="0.3">
      <c r="H731">
        <f t="shared" si="143"/>
        <v>0</v>
      </c>
      <c r="I731">
        <f t="shared" si="138"/>
        <v>0</v>
      </c>
      <c r="J731">
        <f t="shared" si="139"/>
        <v>0</v>
      </c>
      <c r="K731" t="str">
        <f t="shared" si="140"/>
        <v>January</v>
      </c>
      <c r="L731" t="str">
        <f t="shared" si="141"/>
        <v>Q1</v>
      </c>
      <c r="M731" s="2">
        <f t="shared" si="142"/>
        <v>1900</v>
      </c>
      <c r="N731" t="str">
        <f ca="1">IF(COUNTIFS(A$2:A731,A731,O$2:O731,O731)&gt;1,"Repeat","New")</f>
        <v>New</v>
      </c>
      <c r="O731" s="2" t="e">
        <f t="shared" ca="1" si="132"/>
        <v>#VALUE!</v>
      </c>
      <c r="P731" s="3" t="e">
        <f t="shared" ca="1" si="133"/>
        <v>#VALUE!</v>
      </c>
      <c r="Q731" s="6" t="str">
        <f t="shared" si="134"/>
        <v>Jan-00</v>
      </c>
      <c r="R731" s="6" t="str">
        <f t="shared" si="135"/>
        <v>Q1</v>
      </c>
      <c r="S731" s="6">
        <f t="shared" si="136"/>
        <v>1900</v>
      </c>
      <c r="T731" s="6" t="str">
        <f t="shared" si="137"/>
        <v>Retail</v>
      </c>
    </row>
    <row r="732" spans="8:20" x14ac:dyDescent="0.3">
      <c r="H732">
        <f t="shared" si="143"/>
        <v>0</v>
      </c>
      <c r="I732">
        <f t="shared" si="138"/>
        <v>0</v>
      </c>
      <c r="J732">
        <f t="shared" si="139"/>
        <v>0</v>
      </c>
      <c r="K732" t="str">
        <f t="shared" si="140"/>
        <v>January</v>
      </c>
      <c r="L732" t="str">
        <f t="shared" si="141"/>
        <v>Q1</v>
      </c>
      <c r="M732" s="2">
        <f t="shared" si="142"/>
        <v>1900</v>
      </c>
      <c r="N732" t="str">
        <f ca="1">IF(COUNTIFS(A$2:A732,A732,O$2:O732,O732)&gt;1,"Repeat","New")</f>
        <v>New</v>
      </c>
      <c r="O732" s="2" t="e">
        <f t="shared" ca="1" si="132"/>
        <v>#VALUE!</v>
      </c>
      <c r="P732" s="3" t="e">
        <f t="shared" ca="1" si="133"/>
        <v>#VALUE!</v>
      </c>
      <c r="Q732" s="6" t="str">
        <f t="shared" si="134"/>
        <v>Jan-00</v>
      </c>
      <c r="R732" s="6" t="str">
        <f t="shared" si="135"/>
        <v>Q1</v>
      </c>
      <c r="S732" s="6">
        <f t="shared" si="136"/>
        <v>1900</v>
      </c>
      <c r="T732" s="6" t="str">
        <f t="shared" si="137"/>
        <v>Retail</v>
      </c>
    </row>
    <row r="733" spans="8:20" x14ac:dyDescent="0.3">
      <c r="H733">
        <f t="shared" si="143"/>
        <v>0</v>
      </c>
      <c r="I733">
        <f t="shared" si="138"/>
        <v>0</v>
      </c>
      <c r="J733">
        <f t="shared" si="139"/>
        <v>0</v>
      </c>
      <c r="K733" t="str">
        <f t="shared" si="140"/>
        <v>January</v>
      </c>
      <c r="L733" t="str">
        <f t="shared" si="141"/>
        <v>Q1</v>
      </c>
      <c r="M733" s="2">
        <f t="shared" si="142"/>
        <v>1900</v>
      </c>
      <c r="N733" t="str">
        <f ca="1">IF(COUNTIFS(A$2:A733,A733,O$2:O733,O733)&gt;1,"Repeat","New")</f>
        <v>New</v>
      </c>
      <c r="O733" s="2" t="e">
        <f t="shared" ca="1" si="132"/>
        <v>#VALUE!</v>
      </c>
      <c r="P733" s="3" t="e">
        <f t="shared" ca="1" si="133"/>
        <v>#VALUE!</v>
      </c>
      <c r="Q733" s="6" t="str">
        <f t="shared" si="134"/>
        <v>Jan-00</v>
      </c>
      <c r="R733" s="6" t="str">
        <f t="shared" si="135"/>
        <v>Q1</v>
      </c>
      <c r="S733" s="6">
        <f t="shared" si="136"/>
        <v>1900</v>
      </c>
      <c r="T733" s="6" t="str">
        <f t="shared" si="137"/>
        <v>Retail</v>
      </c>
    </row>
    <row r="734" spans="8:20" x14ac:dyDescent="0.3">
      <c r="H734">
        <f t="shared" si="143"/>
        <v>0</v>
      </c>
      <c r="I734">
        <f t="shared" si="138"/>
        <v>0</v>
      </c>
      <c r="J734">
        <f t="shared" si="139"/>
        <v>0</v>
      </c>
      <c r="K734" t="str">
        <f t="shared" si="140"/>
        <v>January</v>
      </c>
      <c r="L734" t="str">
        <f t="shared" si="141"/>
        <v>Q1</v>
      </c>
      <c r="M734" s="2">
        <f t="shared" si="142"/>
        <v>1900</v>
      </c>
      <c r="N734" t="str">
        <f ca="1">IF(COUNTIFS(A$2:A734,A734,O$2:O734,O734)&gt;1,"Repeat","New")</f>
        <v>New</v>
      </c>
      <c r="O734" s="2" t="e">
        <f t="shared" ca="1" si="132"/>
        <v>#VALUE!</v>
      </c>
      <c r="P734" s="3" t="e">
        <f t="shared" ca="1" si="133"/>
        <v>#VALUE!</v>
      </c>
      <c r="Q734" s="6" t="str">
        <f t="shared" si="134"/>
        <v>Jan-00</v>
      </c>
      <c r="R734" s="6" t="str">
        <f t="shared" si="135"/>
        <v>Q1</v>
      </c>
      <c r="S734" s="6">
        <f t="shared" si="136"/>
        <v>1900</v>
      </c>
      <c r="T734" s="6" t="str">
        <f t="shared" si="137"/>
        <v>Retail</v>
      </c>
    </row>
    <row r="735" spans="8:20" x14ac:dyDescent="0.3">
      <c r="H735">
        <f t="shared" si="143"/>
        <v>0</v>
      </c>
      <c r="I735">
        <f t="shared" si="138"/>
        <v>0</v>
      </c>
      <c r="J735">
        <f t="shared" si="139"/>
        <v>0</v>
      </c>
      <c r="K735" t="str">
        <f t="shared" si="140"/>
        <v>January</v>
      </c>
      <c r="L735" t="str">
        <f t="shared" si="141"/>
        <v>Q1</v>
      </c>
      <c r="M735" s="2">
        <f t="shared" si="142"/>
        <v>1900</v>
      </c>
      <c r="N735" t="str">
        <f ca="1">IF(COUNTIFS(A$2:A735,A735,O$2:O735,O735)&gt;1,"Repeat","New")</f>
        <v>New</v>
      </c>
      <c r="O735" s="2" t="e">
        <f t="shared" ca="1" si="132"/>
        <v>#VALUE!</v>
      </c>
      <c r="P735" s="3" t="e">
        <f t="shared" ca="1" si="133"/>
        <v>#VALUE!</v>
      </c>
      <c r="Q735" s="6" t="str">
        <f t="shared" si="134"/>
        <v>Jan-00</v>
      </c>
      <c r="R735" s="6" t="str">
        <f t="shared" si="135"/>
        <v>Q1</v>
      </c>
      <c r="S735" s="6">
        <f t="shared" si="136"/>
        <v>1900</v>
      </c>
      <c r="T735" s="6" t="str">
        <f t="shared" si="137"/>
        <v>Retail</v>
      </c>
    </row>
    <row r="736" spans="8:20" x14ac:dyDescent="0.3">
      <c r="H736">
        <f t="shared" si="143"/>
        <v>0</v>
      </c>
      <c r="I736">
        <f t="shared" si="138"/>
        <v>0</v>
      </c>
      <c r="J736">
        <f t="shared" si="139"/>
        <v>0</v>
      </c>
      <c r="K736" t="str">
        <f t="shared" si="140"/>
        <v>January</v>
      </c>
      <c r="L736" t="str">
        <f t="shared" si="141"/>
        <v>Q1</v>
      </c>
      <c r="M736" s="2">
        <f t="shared" si="142"/>
        <v>1900</v>
      </c>
      <c r="N736" t="str">
        <f ca="1">IF(COUNTIFS(A$2:A736,A736,O$2:O736,O736)&gt;1,"Repeat","New")</f>
        <v>New</v>
      </c>
      <c r="O736" s="2" t="e">
        <f t="shared" ca="1" si="132"/>
        <v>#VALUE!</v>
      </c>
      <c r="P736" s="3" t="e">
        <f t="shared" ca="1" si="133"/>
        <v>#VALUE!</v>
      </c>
      <c r="Q736" s="6" t="str">
        <f t="shared" si="134"/>
        <v>Jan-00</v>
      </c>
      <c r="R736" s="6" t="str">
        <f t="shared" si="135"/>
        <v>Q1</v>
      </c>
      <c r="S736" s="6">
        <f t="shared" si="136"/>
        <v>1900</v>
      </c>
      <c r="T736" s="6" t="str">
        <f t="shared" si="137"/>
        <v>Retail</v>
      </c>
    </row>
    <row r="737" spans="8:20" x14ac:dyDescent="0.3">
      <c r="H737">
        <f t="shared" si="143"/>
        <v>0</v>
      </c>
      <c r="I737">
        <f t="shared" si="138"/>
        <v>0</v>
      </c>
      <c r="J737">
        <f t="shared" si="139"/>
        <v>0</v>
      </c>
      <c r="K737" t="str">
        <f t="shared" si="140"/>
        <v>January</v>
      </c>
      <c r="L737" t="str">
        <f t="shared" si="141"/>
        <v>Q1</v>
      </c>
      <c r="M737" s="2">
        <f t="shared" si="142"/>
        <v>1900</v>
      </c>
      <c r="N737" t="str">
        <f ca="1">IF(COUNTIFS(A$2:A737,A737,O$2:O737,O737)&gt;1,"Repeat","New")</f>
        <v>New</v>
      </c>
      <c r="O737" s="2" t="e">
        <f t="shared" ca="1" si="132"/>
        <v>#VALUE!</v>
      </c>
      <c r="P737" s="3" t="e">
        <f t="shared" ca="1" si="133"/>
        <v>#VALUE!</v>
      </c>
      <c r="Q737" s="6" t="str">
        <f t="shared" si="134"/>
        <v>Jan-00</v>
      </c>
      <c r="R737" s="6" t="str">
        <f t="shared" si="135"/>
        <v>Q1</v>
      </c>
      <c r="S737" s="6">
        <f t="shared" si="136"/>
        <v>1900</v>
      </c>
      <c r="T737" s="6" t="str">
        <f t="shared" si="137"/>
        <v>Retail</v>
      </c>
    </row>
    <row r="738" spans="8:20" x14ac:dyDescent="0.3">
      <c r="H738">
        <f t="shared" si="143"/>
        <v>0</v>
      </c>
      <c r="I738">
        <f t="shared" si="138"/>
        <v>0</v>
      </c>
      <c r="J738">
        <f t="shared" si="139"/>
        <v>0</v>
      </c>
      <c r="K738" t="str">
        <f t="shared" si="140"/>
        <v>January</v>
      </c>
      <c r="L738" t="str">
        <f t="shared" si="141"/>
        <v>Q1</v>
      </c>
      <c r="M738" s="2">
        <f t="shared" si="142"/>
        <v>1900</v>
      </c>
      <c r="N738" t="str">
        <f ca="1">IF(COUNTIFS(A$2:A738,A738,O$2:O738,O738)&gt;1,"Repeat","New")</f>
        <v>New</v>
      </c>
      <c r="O738" s="2" t="e">
        <f t="shared" ca="1" si="132"/>
        <v>#VALUE!</v>
      </c>
      <c r="P738" s="3" t="e">
        <f t="shared" ca="1" si="133"/>
        <v>#VALUE!</v>
      </c>
      <c r="Q738" s="6" t="str">
        <f t="shared" si="134"/>
        <v>Jan-00</v>
      </c>
      <c r="R738" s="6" t="str">
        <f t="shared" si="135"/>
        <v>Q1</v>
      </c>
      <c r="S738" s="6">
        <f t="shared" si="136"/>
        <v>1900</v>
      </c>
      <c r="T738" s="6" t="str">
        <f t="shared" si="137"/>
        <v>Retail</v>
      </c>
    </row>
    <row r="739" spans="8:20" x14ac:dyDescent="0.3">
      <c r="H739">
        <f t="shared" si="143"/>
        <v>0</v>
      </c>
      <c r="I739">
        <f t="shared" si="138"/>
        <v>0</v>
      </c>
      <c r="J739">
        <f t="shared" si="139"/>
        <v>0</v>
      </c>
      <c r="K739" t="str">
        <f t="shared" si="140"/>
        <v>January</v>
      </c>
      <c r="L739" t="str">
        <f t="shared" si="141"/>
        <v>Q1</v>
      </c>
      <c r="M739" s="2">
        <f t="shared" si="142"/>
        <v>1900</v>
      </c>
      <c r="N739" t="str">
        <f ca="1">IF(COUNTIFS(A$2:A739,A739,O$2:O739,O739)&gt;1,"Repeat","New")</f>
        <v>New</v>
      </c>
      <c r="O739" s="2" t="e">
        <f t="shared" ca="1" si="132"/>
        <v>#VALUE!</v>
      </c>
      <c r="P739" s="3" t="e">
        <f t="shared" ca="1" si="133"/>
        <v>#VALUE!</v>
      </c>
      <c r="Q739" s="6" t="str">
        <f t="shared" si="134"/>
        <v>Jan-00</v>
      </c>
      <c r="R739" s="6" t="str">
        <f t="shared" si="135"/>
        <v>Q1</v>
      </c>
      <c r="S739" s="6">
        <f t="shared" si="136"/>
        <v>1900</v>
      </c>
      <c r="T739" s="6" t="str">
        <f t="shared" si="137"/>
        <v>Retail</v>
      </c>
    </row>
    <row r="740" spans="8:20" x14ac:dyDescent="0.3">
      <c r="H740">
        <f t="shared" si="143"/>
        <v>0</v>
      </c>
      <c r="I740">
        <f t="shared" si="138"/>
        <v>0</v>
      </c>
      <c r="J740">
        <f t="shared" si="139"/>
        <v>0</v>
      </c>
      <c r="K740" t="str">
        <f t="shared" si="140"/>
        <v>January</v>
      </c>
      <c r="L740" t="str">
        <f t="shared" si="141"/>
        <v>Q1</v>
      </c>
      <c r="M740" s="2">
        <f t="shared" si="142"/>
        <v>1900</v>
      </c>
      <c r="N740" t="str">
        <f ca="1">IF(COUNTIFS(A$2:A740,A740,O$2:O740,O740)&gt;1,"Repeat","New")</f>
        <v>New</v>
      </c>
      <c r="O740" s="2" t="e">
        <f t="shared" ca="1" si="132"/>
        <v>#VALUE!</v>
      </c>
      <c r="P740" s="3" t="e">
        <f t="shared" ca="1" si="133"/>
        <v>#VALUE!</v>
      </c>
      <c r="Q740" s="6" t="str">
        <f t="shared" si="134"/>
        <v>Jan-00</v>
      </c>
      <c r="R740" s="6" t="str">
        <f t="shared" si="135"/>
        <v>Q1</v>
      </c>
      <c r="S740" s="6">
        <f t="shared" si="136"/>
        <v>1900</v>
      </c>
      <c r="T740" s="6" t="str">
        <f t="shared" si="137"/>
        <v>Retail</v>
      </c>
    </row>
    <row r="741" spans="8:20" x14ac:dyDescent="0.3">
      <c r="H741">
        <f t="shared" si="143"/>
        <v>0</v>
      </c>
      <c r="I741">
        <f t="shared" si="138"/>
        <v>0</v>
      </c>
      <c r="J741">
        <f t="shared" si="139"/>
        <v>0</v>
      </c>
      <c r="K741" t="str">
        <f t="shared" si="140"/>
        <v>January</v>
      </c>
      <c r="L741" t="str">
        <f t="shared" si="141"/>
        <v>Q1</v>
      </c>
      <c r="M741" s="2">
        <f t="shared" si="142"/>
        <v>1900</v>
      </c>
      <c r="N741" t="str">
        <f ca="1">IF(COUNTIFS(A$2:A741,A741,O$2:O741,O741)&gt;1,"Repeat","New")</f>
        <v>New</v>
      </c>
      <c r="O741" s="2" t="e">
        <f t="shared" ca="1" si="132"/>
        <v>#VALUE!</v>
      </c>
      <c r="P741" s="3" t="e">
        <f t="shared" ca="1" si="133"/>
        <v>#VALUE!</v>
      </c>
      <c r="Q741" s="6" t="str">
        <f t="shared" si="134"/>
        <v>Jan-00</v>
      </c>
      <c r="R741" s="6" t="str">
        <f t="shared" si="135"/>
        <v>Q1</v>
      </c>
      <c r="S741" s="6">
        <f t="shared" si="136"/>
        <v>1900</v>
      </c>
      <c r="T741" s="6" t="str">
        <f t="shared" si="137"/>
        <v>Retail</v>
      </c>
    </row>
    <row r="742" spans="8:20" x14ac:dyDescent="0.3">
      <c r="H742">
        <f t="shared" si="143"/>
        <v>0</v>
      </c>
      <c r="I742">
        <f t="shared" si="138"/>
        <v>0</v>
      </c>
      <c r="J742">
        <f t="shared" si="139"/>
        <v>0</v>
      </c>
      <c r="K742" t="str">
        <f t="shared" si="140"/>
        <v>January</v>
      </c>
      <c r="L742" t="str">
        <f t="shared" si="141"/>
        <v>Q1</v>
      </c>
      <c r="M742" s="2">
        <f t="shared" si="142"/>
        <v>1900</v>
      </c>
      <c r="N742" t="str">
        <f ca="1">IF(COUNTIFS(A$2:A742,A742,O$2:O742,O742)&gt;1,"Repeat","New")</f>
        <v>New</v>
      </c>
      <c r="O742" s="2" t="e">
        <f t="shared" ca="1" si="132"/>
        <v>#VALUE!</v>
      </c>
      <c r="P742" s="3" t="e">
        <f t="shared" ca="1" si="133"/>
        <v>#VALUE!</v>
      </c>
      <c r="Q742" s="6" t="str">
        <f t="shared" si="134"/>
        <v>Jan-00</v>
      </c>
      <c r="R742" s="6" t="str">
        <f t="shared" si="135"/>
        <v>Q1</v>
      </c>
      <c r="S742" s="6">
        <f t="shared" si="136"/>
        <v>1900</v>
      </c>
      <c r="T742" s="6" t="str">
        <f t="shared" si="137"/>
        <v>Retail</v>
      </c>
    </row>
    <row r="743" spans="8:20" x14ac:dyDescent="0.3">
      <c r="H743">
        <f t="shared" si="143"/>
        <v>0</v>
      </c>
      <c r="I743">
        <f t="shared" si="138"/>
        <v>0</v>
      </c>
      <c r="J743">
        <f t="shared" si="139"/>
        <v>0</v>
      </c>
      <c r="K743" t="str">
        <f t="shared" si="140"/>
        <v>January</v>
      </c>
      <c r="L743" t="str">
        <f t="shared" si="141"/>
        <v>Q1</v>
      </c>
      <c r="M743" s="2">
        <f t="shared" si="142"/>
        <v>1900</v>
      </c>
      <c r="N743" t="str">
        <f ca="1">IF(COUNTIFS(A$2:A743,A743,O$2:O743,O743)&gt;1,"Repeat","New")</f>
        <v>New</v>
      </c>
      <c r="O743" s="2" t="e">
        <f t="shared" ca="1" si="132"/>
        <v>#VALUE!</v>
      </c>
      <c r="P743" s="3" t="e">
        <f t="shared" ca="1" si="133"/>
        <v>#VALUE!</v>
      </c>
      <c r="Q743" s="6" t="str">
        <f t="shared" si="134"/>
        <v>Jan-00</v>
      </c>
      <c r="R743" s="6" t="str">
        <f t="shared" si="135"/>
        <v>Q1</v>
      </c>
      <c r="S743" s="6">
        <f t="shared" si="136"/>
        <v>1900</v>
      </c>
      <c r="T743" s="6" t="str">
        <f t="shared" si="137"/>
        <v>Retail</v>
      </c>
    </row>
    <row r="744" spans="8:20" x14ac:dyDescent="0.3">
      <c r="H744">
        <f t="shared" si="143"/>
        <v>0</v>
      </c>
      <c r="I744">
        <f t="shared" si="138"/>
        <v>0</v>
      </c>
      <c r="J744">
        <f t="shared" si="139"/>
        <v>0</v>
      </c>
      <c r="K744" t="str">
        <f t="shared" si="140"/>
        <v>January</v>
      </c>
      <c r="L744" t="str">
        <f t="shared" si="141"/>
        <v>Q1</v>
      </c>
      <c r="M744" s="2">
        <f t="shared" si="142"/>
        <v>1900</v>
      </c>
      <c r="N744" t="str">
        <f ca="1">IF(COUNTIFS(A$2:A744,A744,O$2:O744,O744)&gt;1,"Repeat","New")</f>
        <v>New</v>
      </c>
      <c r="O744" s="2" t="e">
        <f t="shared" ca="1" si="132"/>
        <v>#VALUE!</v>
      </c>
      <c r="P744" s="3" t="e">
        <f t="shared" ca="1" si="133"/>
        <v>#VALUE!</v>
      </c>
      <c r="Q744" s="6" t="str">
        <f t="shared" si="134"/>
        <v>Jan-00</v>
      </c>
      <c r="R744" s="6" t="str">
        <f t="shared" si="135"/>
        <v>Q1</v>
      </c>
      <c r="S744" s="6">
        <f t="shared" si="136"/>
        <v>1900</v>
      </c>
      <c r="T744" s="6" t="str">
        <f t="shared" si="137"/>
        <v>Retail</v>
      </c>
    </row>
    <row r="745" spans="8:20" x14ac:dyDescent="0.3">
      <c r="H745">
        <f t="shared" si="143"/>
        <v>0</v>
      </c>
      <c r="I745">
        <f t="shared" si="138"/>
        <v>0</v>
      </c>
      <c r="J745">
        <f t="shared" si="139"/>
        <v>0</v>
      </c>
      <c r="K745" t="str">
        <f t="shared" si="140"/>
        <v>January</v>
      </c>
      <c r="L745" t="str">
        <f t="shared" si="141"/>
        <v>Q1</v>
      </c>
      <c r="M745" s="2">
        <f t="shared" si="142"/>
        <v>1900</v>
      </c>
      <c r="N745" t="str">
        <f ca="1">IF(COUNTIFS(A$2:A745,A745,O$2:O745,O745)&gt;1,"Repeat","New")</f>
        <v>New</v>
      </c>
      <c r="O745" s="2" t="e">
        <f t="shared" ca="1" si="132"/>
        <v>#VALUE!</v>
      </c>
      <c r="P745" s="3" t="e">
        <f t="shared" ca="1" si="133"/>
        <v>#VALUE!</v>
      </c>
      <c r="Q745" s="6" t="str">
        <f t="shared" si="134"/>
        <v>Jan-00</v>
      </c>
      <c r="R745" s="6" t="str">
        <f t="shared" si="135"/>
        <v>Q1</v>
      </c>
      <c r="S745" s="6">
        <f t="shared" si="136"/>
        <v>1900</v>
      </c>
      <c r="T745" s="6" t="str">
        <f t="shared" si="137"/>
        <v>Retail</v>
      </c>
    </row>
    <row r="746" spans="8:20" x14ac:dyDescent="0.3">
      <c r="H746">
        <f t="shared" si="143"/>
        <v>0</v>
      </c>
      <c r="I746">
        <f t="shared" si="138"/>
        <v>0</v>
      </c>
      <c r="J746">
        <f t="shared" si="139"/>
        <v>0</v>
      </c>
      <c r="K746" t="str">
        <f t="shared" si="140"/>
        <v>January</v>
      </c>
      <c r="L746" t="str">
        <f t="shared" si="141"/>
        <v>Q1</v>
      </c>
      <c r="M746" s="2">
        <f t="shared" si="142"/>
        <v>1900</v>
      </c>
      <c r="N746" t="str">
        <f ca="1">IF(COUNTIFS(A$2:A746,A746,O$2:O746,O746)&gt;1,"Repeat","New")</f>
        <v>New</v>
      </c>
      <c r="O746" s="2" t="e">
        <f t="shared" ca="1" si="132"/>
        <v>#VALUE!</v>
      </c>
      <c r="P746" s="3" t="e">
        <f t="shared" ca="1" si="133"/>
        <v>#VALUE!</v>
      </c>
      <c r="Q746" s="6" t="str">
        <f t="shared" si="134"/>
        <v>Jan-00</v>
      </c>
      <c r="R746" s="6" t="str">
        <f t="shared" si="135"/>
        <v>Q1</v>
      </c>
      <c r="S746" s="6">
        <f t="shared" si="136"/>
        <v>1900</v>
      </c>
      <c r="T746" s="6" t="str">
        <f t="shared" si="137"/>
        <v>Retail</v>
      </c>
    </row>
    <row r="747" spans="8:20" x14ac:dyDescent="0.3">
      <c r="H747">
        <f t="shared" si="143"/>
        <v>0</v>
      </c>
      <c r="I747">
        <f t="shared" si="138"/>
        <v>0</v>
      </c>
      <c r="J747">
        <f t="shared" si="139"/>
        <v>0</v>
      </c>
      <c r="K747" t="str">
        <f t="shared" si="140"/>
        <v>January</v>
      </c>
      <c r="L747" t="str">
        <f t="shared" si="141"/>
        <v>Q1</v>
      </c>
      <c r="M747" s="2">
        <f t="shared" si="142"/>
        <v>1900</v>
      </c>
      <c r="N747" t="str">
        <f ca="1">IF(COUNTIFS(A$2:A747,A747,O$2:O747,O747)&gt;1,"Repeat","New")</f>
        <v>New</v>
      </c>
      <c r="O747" s="2" t="e">
        <f t="shared" ca="1" si="132"/>
        <v>#VALUE!</v>
      </c>
      <c r="P747" s="3" t="e">
        <f t="shared" ca="1" si="133"/>
        <v>#VALUE!</v>
      </c>
      <c r="Q747" s="6" t="str">
        <f t="shared" si="134"/>
        <v>Jan-00</v>
      </c>
      <c r="R747" s="6" t="str">
        <f t="shared" si="135"/>
        <v>Q1</v>
      </c>
      <c r="S747" s="6">
        <f t="shared" si="136"/>
        <v>1900</v>
      </c>
      <c r="T747" s="6" t="str">
        <f t="shared" si="137"/>
        <v>Retail</v>
      </c>
    </row>
    <row r="748" spans="8:20" x14ac:dyDescent="0.3">
      <c r="H748">
        <f t="shared" si="143"/>
        <v>0</v>
      </c>
      <c r="I748">
        <f t="shared" si="138"/>
        <v>0</v>
      </c>
      <c r="J748">
        <f t="shared" si="139"/>
        <v>0</v>
      </c>
      <c r="K748" t="str">
        <f t="shared" si="140"/>
        <v>January</v>
      </c>
      <c r="L748" t="str">
        <f t="shared" si="141"/>
        <v>Q1</v>
      </c>
      <c r="M748" s="2">
        <f t="shared" si="142"/>
        <v>1900</v>
      </c>
      <c r="N748" t="str">
        <f ca="1">IF(COUNTIFS(A$2:A748,A748,O$2:O748,O748)&gt;1,"Repeat","New")</f>
        <v>New</v>
      </c>
      <c r="O748" s="2" t="e">
        <f t="shared" ca="1" si="132"/>
        <v>#VALUE!</v>
      </c>
      <c r="P748" s="3" t="e">
        <f t="shared" ca="1" si="133"/>
        <v>#VALUE!</v>
      </c>
      <c r="Q748" s="6" t="str">
        <f t="shared" si="134"/>
        <v>Jan-00</v>
      </c>
      <c r="R748" s="6" t="str">
        <f t="shared" si="135"/>
        <v>Q1</v>
      </c>
      <c r="S748" s="6">
        <f t="shared" si="136"/>
        <v>1900</v>
      </c>
      <c r="T748" s="6" t="str">
        <f t="shared" si="137"/>
        <v>Retail</v>
      </c>
    </row>
    <row r="749" spans="8:20" x14ac:dyDescent="0.3">
      <c r="H749">
        <f t="shared" si="143"/>
        <v>0</v>
      </c>
      <c r="I749">
        <f t="shared" si="138"/>
        <v>0</v>
      </c>
      <c r="J749">
        <f t="shared" si="139"/>
        <v>0</v>
      </c>
      <c r="K749" t="str">
        <f t="shared" si="140"/>
        <v>January</v>
      </c>
      <c r="L749" t="str">
        <f t="shared" si="141"/>
        <v>Q1</v>
      </c>
      <c r="M749" s="2">
        <f t="shared" si="142"/>
        <v>1900</v>
      </c>
      <c r="N749" t="str">
        <f ca="1">IF(COUNTIFS(A$2:A749,A749,O$2:O749,O749)&gt;1,"Repeat","New")</f>
        <v>New</v>
      </c>
      <c r="O749" s="2" t="e">
        <f t="shared" ca="1" si="132"/>
        <v>#VALUE!</v>
      </c>
      <c r="P749" s="3" t="e">
        <f t="shared" ca="1" si="133"/>
        <v>#VALUE!</v>
      </c>
      <c r="Q749" s="6" t="str">
        <f t="shared" si="134"/>
        <v>Jan-00</v>
      </c>
      <c r="R749" s="6" t="str">
        <f t="shared" si="135"/>
        <v>Q1</v>
      </c>
      <c r="S749" s="6">
        <f t="shared" si="136"/>
        <v>1900</v>
      </c>
      <c r="T749" s="6" t="str">
        <f t="shared" si="137"/>
        <v>Retail</v>
      </c>
    </row>
    <row r="750" spans="8:20" x14ac:dyDescent="0.3">
      <c r="H750">
        <f t="shared" si="143"/>
        <v>0</v>
      </c>
      <c r="I750">
        <f t="shared" si="138"/>
        <v>0</v>
      </c>
      <c r="J750">
        <f t="shared" si="139"/>
        <v>0</v>
      </c>
      <c r="K750" t="str">
        <f t="shared" si="140"/>
        <v>January</v>
      </c>
      <c r="L750" t="str">
        <f t="shared" si="141"/>
        <v>Q1</v>
      </c>
      <c r="M750" s="2">
        <f t="shared" si="142"/>
        <v>1900</v>
      </c>
      <c r="N750" t="str">
        <f ca="1">IF(COUNTIFS(A$2:A750,A750,O$2:O750,O750)&gt;1,"Repeat","New")</f>
        <v>New</v>
      </c>
      <c r="O750" s="2" t="e">
        <f t="shared" ca="1" si="132"/>
        <v>#VALUE!</v>
      </c>
      <c r="P750" s="3" t="e">
        <f t="shared" ca="1" si="133"/>
        <v>#VALUE!</v>
      </c>
      <c r="Q750" s="6" t="str">
        <f t="shared" si="134"/>
        <v>Jan-00</v>
      </c>
      <c r="R750" s="6" t="str">
        <f t="shared" si="135"/>
        <v>Q1</v>
      </c>
      <c r="S750" s="6">
        <f t="shared" si="136"/>
        <v>1900</v>
      </c>
      <c r="T750" s="6" t="str">
        <f t="shared" si="137"/>
        <v>Retail</v>
      </c>
    </row>
    <row r="751" spans="8:20" x14ac:dyDescent="0.3">
      <c r="H751">
        <f t="shared" si="143"/>
        <v>0</v>
      </c>
      <c r="I751">
        <f t="shared" si="138"/>
        <v>0</v>
      </c>
      <c r="J751">
        <f t="shared" si="139"/>
        <v>0</v>
      </c>
      <c r="K751" t="str">
        <f t="shared" si="140"/>
        <v>January</v>
      </c>
      <c r="L751" t="str">
        <f t="shared" si="141"/>
        <v>Q1</v>
      </c>
      <c r="M751" s="2">
        <f t="shared" si="142"/>
        <v>1900</v>
      </c>
      <c r="N751" t="str">
        <f ca="1">IF(COUNTIFS(A$2:A751,A751,O$2:O751,O751)&gt;1,"Repeat","New")</f>
        <v>New</v>
      </c>
      <c r="O751" s="2" t="e">
        <f t="shared" ca="1" si="132"/>
        <v>#VALUE!</v>
      </c>
      <c r="P751" s="3" t="e">
        <f t="shared" ca="1" si="133"/>
        <v>#VALUE!</v>
      </c>
      <c r="Q751" s="6" t="str">
        <f t="shared" si="134"/>
        <v>Jan-00</v>
      </c>
      <c r="R751" s="6" t="str">
        <f t="shared" si="135"/>
        <v>Q1</v>
      </c>
      <c r="S751" s="6">
        <f t="shared" si="136"/>
        <v>1900</v>
      </c>
      <c r="T751" s="6" t="str">
        <f t="shared" si="137"/>
        <v>Retail</v>
      </c>
    </row>
    <row r="752" spans="8:20" x14ac:dyDescent="0.3">
      <c r="H752">
        <f t="shared" si="143"/>
        <v>0</v>
      </c>
      <c r="I752">
        <f t="shared" si="138"/>
        <v>0</v>
      </c>
      <c r="J752">
        <f t="shared" si="139"/>
        <v>0</v>
      </c>
      <c r="K752" t="str">
        <f t="shared" si="140"/>
        <v>January</v>
      </c>
      <c r="L752" t="str">
        <f t="shared" si="141"/>
        <v>Q1</v>
      </c>
      <c r="M752" s="2">
        <f t="shared" si="142"/>
        <v>1900</v>
      </c>
      <c r="N752" t="str">
        <f ca="1">IF(COUNTIFS(A$2:A752,A752,O$2:O752,O752)&gt;1,"Repeat","New")</f>
        <v>New</v>
      </c>
      <c r="O752" s="2" t="e">
        <f t="shared" ca="1" si="132"/>
        <v>#VALUE!</v>
      </c>
      <c r="P752" s="3" t="e">
        <f t="shared" ca="1" si="133"/>
        <v>#VALUE!</v>
      </c>
      <c r="Q752" s="6" t="str">
        <f t="shared" si="134"/>
        <v>Jan-00</v>
      </c>
      <c r="R752" s="6" t="str">
        <f t="shared" si="135"/>
        <v>Q1</v>
      </c>
      <c r="S752" s="6">
        <f t="shared" si="136"/>
        <v>1900</v>
      </c>
      <c r="T752" s="6" t="str">
        <f t="shared" si="137"/>
        <v>Retail</v>
      </c>
    </row>
    <row r="753" spans="8:20" x14ac:dyDescent="0.3">
      <c r="H753">
        <f t="shared" si="143"/>
        <v>0</v>
      </c>
      <c r="I753">
        <f t="shared" si="138"/>
        <v>0</v>
      </c>
      <c r="J753">
        <f t="shared" si="139"/>
        <v>0</v>
      </c>
      <c r="K753" t="str">
        <f t="shared" si="140"/>
        <v>January</v>
      </c>
      <c r="L753" t="str">
        <f t="shared" si="141"/>
        <v>Q1</v>
      </c>
      <c r="M753" s="2">
        <f t="shared" si="142"/>
        <v>1900</v>
      </c>
      <c r="N753" t="str">
        <f ca="1">IF(COUNTIFS(A$2:A753,A753,O$2:O753,O753)&gt;1,"Repeat","New")</f>
        <v>New</v>
      </c>
      <c r="O753" s="2" t="e">
        <f t="shared" ca="1" si="132"/>
        <v>#VALUE!</v>
      </c>
      <c r="P753" s="3" t="e">
        <f t="shared" ca="1" si="133"/>
        <v>#VALUE!</v>
      </c>
      <c r="Q753" s="6" t="str">
        <f t="shared" si="134"/>
        <v>Jan-00</v>
      </c>
      <c r="R753" s="6" t="str">
        <f t="shared" si="135"/>
        <v>Q1</v>
      </c>
      <c r="S753" s="6">
        <f t="shared" si="136"/>
        <v>1900</v>
      </c>
      <c r="T753" s="6" t="str">
        <f t="shared" si="137"/>
        <v>Retail</v>
      </c>
    </row>
    <row r="754" spans="8:20" x14ac:dyDescent="0.3">
      <c r="H754">
        <f t="shared" si="143"/>
        <v>0</v>
      </c>
      <c r="I754">
        <f t="shared" si="138"/>
        <v>0</v>
      </c>
      <c r="J754">
        <f t="shared" si="139"/>
        <v>0</v>
      </c>
      <c r="K754" t="str">
        <f t="shared" si="140"/>
        <v>January</v>
      </c>
      <c r="L754" t="str">
        <f t="shared" si="141"/>
        <v>Q1</v>
      </c>
      <c r="M754" s="2">
        <f t="shared" si="142"/>
        <v>1900</v>
      </c>
      <c r="N754" t="str">
        <f ca="1">IF(COUNTIFS(A$2:A754,A754,O$2:O754,O754)&gt;1,"Repeat","New")</f>
        <v>New</v>
      </c>
      <c r="O754" s="2" t="e">
        <f t="shared" ca="1" si="132"/>
        <v>#VALUE!</v>
      </c>
      <c r="P754" s="3" t="e">
        <f t="shared" ca="1" si="133"/>
        <v>#VALUE!</v>
      </c>
      <c r="Q754" s="6" t="str">
        <f t="shared" si="134"/>
        <v>Jan-00</v>
      </c>
      <c r="R754" s="6" t="str">
        <f t="shared" si="135"/>
        <v>Q1</v>
      </c>
      <c r="S754" s="6">
        <f t="shared" si="136"/>
        <v>1900</v>
      </c>
      <c r="T754" s="6" t="str">
        <f t="shared" si="137"/>
        <v>Retail</v>
      </c>
    </row>
    <row r="755" spans="8:20" x14ac:dyDescent="0.3">
      <c r="H755">
        <f t="shared" si="143"/>
        <v>0</v>
      </c>
      <c r="I755">
        <f t="shared" si="138"/>
        <v>0</v>
      </c>
      <c r="J755">
        <f t="shared" si="139"/>
        <v>0</v>
      </c>
      <c r="K755" t="str">
        <f t="shared" si="140"/>
        <v>January</v>
      </c>
      <c r="L755" t="str">
        <f t="shared" si="141"/>
        <v>Q1</v>
      </c>
      <c r="M755" s="2">
        <f t="shared" si="142"/>
        <v>1900</v>
      </c>
      <c r="N755" t="str">
        <f ca="1">IF(COUNTIFS(A$2:A755,A755,O$2:O755,O755)&gt;1,"Repeat","New")</f>
        <v>New</v>
      </c>
      <c r="O755" s="2" t="e">
        <f t="shared" ca="1" si="132"/>
        <v>#VALUE!</v>
      </c>
      <c r="P755" s="3" t="e">
        <f t="shared" ca="1" si="133"/>
        <v>#VALUE!</v>
      </c>
      <c r="Q755" s="6" t="str">
        <f t="shared" si="134"/>
        <v>Jan-00</v>
      </c>
      <c r="R755" s="6" t="str">
        <f t="shared" si="135"/>
        <v>Q1</v>
      </c>
      <c r="S755" s="6">
        <f t="shared" si="136"/>
        <v>1900</v>
      </c>
      <c r="T755" s="6" t="str">
        <f t="shared" si="137"/>
        <v>Retail</v>
      </c>
    </row>
    <row r="756" spans="8:20" x14ac:dyDescent="0.3">
      <c r="H756">
        <f t="shared" si="143"/>
        <v>0</v>
      </c>
      <c r="I756">
        <f t="shared" si="138"/>
        <v>0</v>
      </c>
      <c r="J756">
        <f t="shared" si="139"/>
        <v>0</v>
      </c>
      <c r="K756" t="str">
        <f t="shared" si="140"/>
        <v>January</v>
      </c>
      <c r="L756" t="str">
        <f t="shared" si="141"/>
        <v>Q1</v>
      </c>
      <c r="M756" s="2">
        <f t="shared" si="142"/>
        <v>1900</v>
      </c>
      <c r="N756" t="str">
        <f ca="1">IF(COUNTIFS(A$2:A756,A756,O$2:O756,O756)&gt;1,"Repeat","New")</f>
        <v>New</v>
      </c>
      <c r="O756" s="2" t="e">
        <f t="shared" ca="1" si="132"/>
        <v>#VALUE!</v>
      </c>
      <c r="P756" s="3" t="e">
        <f t="shared" ca="1" si="133"/>
        <v>#VALUE!</v>
      </c>
      <c r="Q756" s="6" t="str">
        <f t="shared" si="134"/>
        <v>Jan-00</v>
      </c>
      <c r="R756" s="6" t="str">
        <f t="shared" si="135"/>
        <v>Q1</v>
      </c>
      <c r="S756" s="6">
        <f t="shared" si="136"/>
        <v>1900</v>
      </c>
      <c r="T756" s="6" t="str">
        <f t="shared" si="137"/>
        <v>Retail</v>
      </c>
    </row>
    <row r="757" spans="8:20" x14ac:dyDescent="0.3">
      <c r="H757">
        <f t="shared" si="143"/>
        <v>0</v>
      </c>
      <c r="I757">
        <f t="shared" si="138"/>
        <v>0</v>
      </c>
      <c r="J757">
        <f t="shared" si="139"/>
        <v>0</v>
      </c>
      <c r="K757" t="str">
        <f t="shared" si="140"/>
        <v>January</v>
      </c>
      <c r="L757" t="str">
        <f t="shared" si="141"/>
        <v>Q1</v>
      </c>
      <c r="M757" s="2">
        <f t="shared" si="142"/>
        <v>1900</v>
      </c>
      <c r="N757" t="str">
        <f ca="1">IF(COUNTIFS(A$2:A757,A757,O$2:O757,O757)&gt;1,"Repeat","New")</f>
        <v>New</v>
      </c>
      <c r="O757" s="2" t="e">
        <f t="shared" ca="1" si="132"/>
        <v>#VALUE!</v>
      </c>
      <c r="P757" s="3" t="e">
        <f t="shared" ca="1" si="133"/>
        <v>#VALUE!</v>
      </c>
      <c r="Q757" s="6" t="str">
        <f t="shared" si="134"/>
        <v>Jan-00</v>
      </c>
      <c r="R757" s="6" t="str">
        <f t="shared" si="135"/>
        <v>Q1</v>
      </c>
      <c r="S757" s="6">
        <f t="shared" si="136"/>
        <v>1900</v>
      </c>
      <c r="T757" s="6" t="str">
        <f t="shared" si="137"/>
        <v>Retail</v>
      </c>
    </row>
    <row r="758" spans="8:20" x14ac:dyDescent="0.3">
      <c r="H758">
        <f t="shared" si="143"/>
        <v>0</v>
      </c>
      <c r="I758">
        <f t="shared" si="138"/>
        <v>0</v>
      </c>
      <c r="J758">
        <f t="shared" si="139"/>
        <v>0</v>
      </c>
      <c r="K758" t="str">
        <f t="shared" si="140"/>
        <v>January</v>
      </c>
      <c r="L758" t="str">
        <f t="shared" si="141"/>
        <v>Q1</v>
      </c>
      <c r="M758" s="2">
        <f t="shared" si="142"/>
        <v>1900</v>
      </c>
      <c r="N758" t="str">
        <f ca="1">IF(COUNTIFS(A$2:A758,A758,O$2:O758,O758)&gt;1,"Repeat","New")</f>
        <v>New</v>
      </c>
      <c r="O758" s="2" t="e">
        <f t="shared" ref="O758:O821" ca="1" si="144">M758-N758</f>
        <v>#VALUE!</v>
      </c>
      <c r="P758" s="3" t="e">
        <f t="shared" ref="P758:P821" ca="1" si="145">IF(M758&gt;0,O758/M758,0)</f>
        <v>#VALUE!</v>
      </c>
      <c r="Q758" s="6" t="str">
        <f t="shared" ref="Q758:Q821" si="146">TEXT(B758, "mmm-yy")</f>
        <v>Jan-00</v>
      </c>
      <c r="R758" s="6" t="str">
        <f t="shared" ref="R758:R821" si="147">"Q"&amp;INT((MONTH(B758)-1)/3)+1</f>
        <v>Q1</v>
      </c>
      <c r="S758" s="6">
        <f t="shared" ref="S758:S821" si="148">YEAR(B758)</f>
        <v>1900</v>
      </c>
      <c r="T758" s="6" t="str">
        <f t="shared" ref="T758:T821" si="149">IF(M758&gt;5000, "Enterprise", "Retail")</f>
        <v>Retail</v>
      </c>
    </row>
    <row r="759" spans="8:20" x14ac:dyDescent="0.3">
      <c r="H759">
        <f t="shared" si="143"/>
        <v>0</v>
      </c>
      <c r="I759">
        <f t="shared" si="138"/>
        <v>0</v>
      </c>
      <c r="J759">
        <f t="shared" si="139"/>
        <v>0</v>
      </c>
      <c r="K759" t="str">
        <f t="shared" si="140"/>
        <v>January</v>
      </c>
      <c r="L759" t="str">
        <f t="shared" si="141"/>
        <v>Q1</v>
      </c>
      <c r="M759" s="2">
        <f t="shared" si="142"/>
        <v>1900</v>
      </c>
      <c r="N759" t="str">
        <f ca="1">IF(COUNTIFS(A$2:A759,A759,O$2:O759,O759)&gt;1,"Repeat","New")</f>
        <v>New</v>
      </c>
      <c r="O759" s="2" t="e">
        <f t="shared" ca="1" si="144"/>
        <v>#VALUE!</v>
      </c>
      <c r="P759" s="3" t="e">
        <f t="shared" ca="1" si="145"/>
        <v>#VALUE!</v>
      </c>
      <c r="Q759" s="6" t="str">
        <f t="shared" si="146"/>
        <v>Jan-00</v>
      </c>
      <c r="R759" s="6" t="str">
        <f t="shared" si="147"/>
        <v>Q1</v>
      </c>
      <c r="S759" s="6">
        <f t="shared" si="148"/>
        <v>1900</v>
      </c>
      <c r="T759" s="6" t="str">
        <f t="shared" si="149"/>
        <v>Retail</v>
      </c>
    </row>
    <row r="760" spans="8:20" x14ac:dyDescent="0.3">
      <c r="H760">
        <f t="shared" si="143"/>
        <v>0</v>
      </c>
      <c r="I760">
        <f t="shared" si="138"/>
        <v>0</v>
      </c>
      <c r="J760">
        <f t="shared" si="139"/>
        <v>0</v>
      </c>
      <c r="K760" t="str">
        <f t="shared" si="140"/>
        <v>January</v>
      </c>
      <c r="L760" t="str">
        <f t="shared" si="141"/>
        <v>Q1</v>
      </c>
      <c r="M760" s="2">
        <f t="shared" si="142"/>
        <v>1900</v>
      </c>
      <c r="N760" t="str">
        <f ca="1">IF(COUNTIFS(A$2:A760,A760,O$2:O760,O760)&gt;1,"Repeat","New")</f>
        <v>New</v>
      </c>
      <c r="O760" s="2" t="e">
        <f t="shared" ca="1" si="144"/>
        <v>#VALUE!</v>
      </c>
      <c r="P760" s="3" t="e">
        <f t="shared" ca="1" si="145"/>
        <v>#VALUE!</v>
      </c>
      <c r="Q760" s="6" t="str">
        <f t="shared" si="146"/>
        <v>Jan-00</v>
      </c>
      <c r="R760" s="6" t="str">
        <f t="shared" si="147"/>
        <v>Q1</v>
      </c>
      <c r="S760" s="6">
        <f t="shared" si="148"/>
        <v>1900</v>
      </c>
      <c r="T760" s="6" t="str">
        <f t="shared" si="149"/>
        <v>Retail</v>
      </c>
    </row>
    <row r="761" spans="8:20" x14ac:dyDescent="0.3">
      <c r="H761">
        <f t="shared" si="143"/>
        <v>0</v>
      </c>
      <c r="I761">
        <f t="shared" si="138"/>
        <v>0</v>
      </c>
      <c r="J761">
        <f t="shared" si="139"/>
        <v>0</v>
      </c>
      <c r="K761" t="str">
        <f t="shared" si="140"/>
        <v>January</v>
      </c>
      <c r="L761" t="str">
        <f t="shared" si="141"/>
        <v>Q1</v>
      </c>
      <c r="M761" s="2">
        <f t="shared" si="142"/>
        <v>1900</v>
      </c>
      <c r="N761" t="str">
        <f ca="1">IF(COUNTIFS(A$2:A761,A761,O$2:O761,O761)&gt;1,"Repeat","New")</f>
        <v>New</v>
      </c>
      <c r="O761" s="2" t="e">
        <f t="shared" ca="1" si="144"/>
        <v>#VALUE!</v>
      </c>
      <c r="P761" s="3" t="e">
        <f t="shared" ca="1" si="145"/>
        <v>#VALUE!</v>
      </c>
      <c r="Q761" s="6" t="str">
        <f t="shared" si="146"/>
        <v>Jan-00</v>
      </c>
      <c r="R761" s="6" t="str">
        <f t="shared" si="147"/>
        <v>Q1</v>
      </c>
      <c r="S761" s="6">
        <f t="shared" si="148"/>
        <v>1900</v>
      </c>
      <c r="T761" s="6" t="str">
        <f t="shared" si="149"/>
        <v>Retail</v>
      </c>
    </row>
    <row r="762" spans="8:20" x14ac:dyDescent="0.3">
      <c r="H762">
        <f t="shared" si="143"/>
        <v>0</v>
      </c>
      <c r="I762">
        <f t="shared" si="138"/>
        <v>0</v>
      </c>
      <c r="J762">
        <f t="shared" si="139"/>
        <v>0</v>
      </c>
      <c r="K762" t="str">
        <f t="shared" si="140"/>
        <v>January</v>
      </c>
      <c r="L762" t="str">
        <f t="shared" si="141"/>
        <v>Q1</v>
      </c>
      <c r="M762" s="2">
        <f t="shared" si="142"/>
        <v>1900</v>
      </c>
      <c r="N762" t="str">
        <f ca="1">IF(COUNTIFS(A$2:A762,A762,O$2:O762,O762)&gt;1,"Repeat","New")</f>
        <v>New</v>
      </c>
      <c r="O762" s="2" t="e">
        <f t="shared" ca="1" si="144"/>
        <v>#VALUE!</v>
      </c>
      <c r="P762" s="3" t="e">
        <f t="shared" ca="1" si="145"/>
        <v>#VALUE!</v>
      </c>
      <c r="Q762" s="6" t="str">
        <f t="shared" si="146"/>
        <v>Jan-00</v>
      </c>
      <c r="R762" s="6" t="str">
        <f t="shared" si="147"/>
        <v>Q1</v>
      </c>
      <c r="S762" s="6">
        <f t="shared" si="148"/>
        <v>1900</v>
      </c>
      <c r="T762" s="6" t="str">
        <f t="shared" si="149"/>
        <v>Retail</v>
      </c>
    </row>
    <row r="763" spans="8:20" x14ac:dyDescent="0.3">
      <c r="H763">
        <f t="shared" si="143"/>
        <v>0</v>
      </c>
      <c r="I763">
        <f t="shared" si="138"/>
        <v>0</v>
      </c>
      <c r="J763">
        <f t="shared" si="139"/>
        <v>0</v>
      </c>
      <c r="K763" t="str">
        <f t="shared" si="140"/>
        <v>January</v>
      </c>
      <c r="L763" t="str">
        <f t="shared" si="141"/>
        <v>Q1</v>
      </c>
      <c r="M763" s="2">
        <f t="shared" si="142"/>
        <v>1900</v>
      </c>
      <c r="N763" t="str">
        <f ca="1">IF(COUNTIFS(A$2:A763,A763,O$2:O763,O763)&gt;1,"Repeat","New")</f>
        <v>New</v>
      </c>
      <c r="O763" s="2" t="e">
        <f t="shared" ca="1" si="144"/>
        <v>#VALUE!</v>
      </c>
      <c r="P763" s="3" t="e">
        <f t="shared" ca="1" si="145"/>
        <v>#VALUE!</v>
      </c>
      <c r="Q763" s="6" t="str">
        <f t="shared" si="146"/>
        <v>Jan-00</v>
      </c>
      <c r="R763" s="6" t="str">
        <f t="shared" si="147"/>
        <v>Q1</v>
      </c>
      <c r="S763" s="6">
        <f t="shared" si="148"/>
        <v>1900</v>
      </c>
      <c r="T763" s="6" t="str">
        <f t="shared" si="149"/>
        <v>Retail</v>
      </c>
    </row>
    <row r="764" spans="8:20" x14ac:dyDescent="0.3">
      <c r="H764">
        <f t="shared" si="143"/>
        <v>0</v>
      </c>
      <c r="I764">
        <f t="shared" si="138"/>
        <v>0</v>
      </c>
      <c r="J764">
        <f t="shared" si="139"/>
        <v>0</v>
      </c>
      <c r="K764" t="str">
        <f t="shared" si="140"/>
        <v>January</v>
      </c>
      <c r="L764" t="str">
        <f t="shared" si="141"/>
        <v>Q1</v>
      </c>
      <c r="M764" s="2">
        <f t="shared" si="142"/>
        <v>1900</v>
      </c>
      <c r="N764" t="str">
        <f ca="1">IF(COUNTIFS(A$2:A764,A764,O$2:O764,O764)&gt;1,"Repeat","New")</f>
        <v>New</v>
      </c>
      <c r="O764" s="2" t="e">
        <f t="shared" ca="1" si="144"/>
        <v>#VALUE!</v>
      </c>
      <c r="P764" s="3" t="e">
        <f t="shared" ca="1" si="145"/>
        <v>#VALUE!</v>
      </c>
      <c r="Q764" s="6" t="str">
        <f t="shared" si="146"/>
        <v>Jan-00</v>
      </c>
      <c r="R764" s="6" t="str">
        <f t="shared" si="147"/>
        <v>Q1</v>
      </c>
      <c r="S764" s="6">
        <f t="shared" si="148"/>
        <v>1900</v>
      </c>
      <c r="T764" s="6" t="str">
        <f t="shared" si="149"/>
        <v>Retail</v>
      </c>
    </row>
    <row r="765" spans="8:20" x14ac:dyDescent="0.3">
      <c r="H765">
        <f t="shared" si="143"/>
        <v>0</v>
      </c>
      <c r="I765">
        <f t="shared" si="138"/>
        <v>0</v>
      </c>
      <c r="J765">
        <f t="shared" si="139"/>
        <v>0</v>
      </c>
      <c r="K765" t="str">
        <f t="shared" si="140"/>
        <v>January</v>
      </c>
      <c r="L765" t="str">
        <f t="shared" si="141"/>
        <v>Q1</v>
      </c>
      <c r="M765" s="2">
        <f t="shared" si="142"/>
        <v>1900</v>
      </c>
      <c r="N765" t="str">
        <f ca="1">IF(COUNTIFS(A$2:A765,A765,O$2:O765,O765)&gt;1,"Repeat","New")</f>
        <v>New</v>
      </c>
      <c r="O765" s="2" t="e">
        <f t="shared" ca="1" si="144"/>
        <v>#VALUE!</v>
      </c>
      <c r="P765" s="3" t="e">
        <f t="shared" ca="1" si="145"/>
        <v>#VALUE!</v>
      </c>
      <c r="Q765" s="6" t="str">
        <f t="shared" si="146"/>
        <v>Jan-00</v>
      </c>
      <c r="R765" s="6" t="str">
        <f t="shared" si="147"/>
        <v>Q1</v>
      </c>
      <c r="S765" s="6">
        <f t="shared" si="148"/>
        <v>1900</v>
      </c>
      <c r="T765" s="6" t="str">
        <f t="shared" si="149"/>
        <v>Retail</v>
      </c>
    </row>
    <row r="766" spans="8:20" x14ac:dyDescent="0.3">
      <c r="H766">
        <f t="shared" si="143"/>
        <v>0</v>
      </c>
      <c r="I766">
        <f t="shared" si="138"/>
        <v>0</v>
      </c>
      <c r="J766">
        <f t="shared" si="139"/>
        <v>0</v>
      </c>
      <c r="K766" t="str">
        <f t="shared" si="140"/>
        <v>January</v>
      </c>
      <c r="L766" t="str">
        <f t="shared" si="141"/>
        <v>Q1</v>
      </c>
      <c r="M766" s="2">
        <f t="shared" si="142"/>
        <v>1900</v>
      </c>
      <c r="N766" t="str">
        <f ca="1">IF(COUNTIFS(A$2:A766,A766,O$2:O766,O766)&gt;1,"Repeat","New")</f>
        <v>New</v>
      </c>
      <c r="O766" s="2" t="e">
        <f t="shared" ca="1" si="144"/>
        <v>#VALUE!</v>
      </c>
      <c r="P766" s="3" t="e">
        <f t="shared" ca="1" si="145"/>
        <v>#VALUE!</v>
      </c>
      <c r="Q766" s="6" t="str">
        <f t="shared" si="146"/>
        <v>Jan-00</v>
      </c>
      <c r="R766" s="6" t="str">
        <f t="shared" si="147"/>
        <v>Q1</v>
      </c>
      <c r="S766" s="6">
        <f t="shared" si="148"/>
        <v>1900</v>
      </c>
      <c r="T766" s="6" t="str">
        <f t="shared" si="149"/>
        <v>Retail</v>
      </c>
    </row>
    <row r="767" spans="8:20" x14ac:dyDescent="0.3">
      <c r="H767">
        <f t="shared" si="143"/>
        <v>0</v>
      </c>
      <c r="I767">
        <f t="shared" si="138"/>
        <v>0</v>
      </c>
      <c r="J767">
        <f t="shared" si="139"/>
        <v>0</v>
      </c>
      <c r="K767" t="str">
        <f t="shared" si="140"/>
        <v>January</v>
      </c>
      <c r="L767" t="str">
        <f t="shared" si="141"/>
        <v>Q1</v>
      </c>
      <c r="M767" s="2">
        <f t="shared" si="142"/>
        <v>1900</v>
      </c>
      <c r="N767" t="str">
        <f ca="1">IF(COUNTIFS(A$2:A767,A767,O$2:O767,O767)&gt;1,"Repeat","New")</f>
        <v>New</v>
      </c>
      <c r="O767" s="2" t="e">
        <f t="shared" ca="1" si="144"/>
        <v>#VALUE!</v>
      </c>
      <c r="P767" s="3" t="e">
        <f t="shared" ca="1" si="145"/>
        <v>#VALUE!</v>
      </c>
      <c r="Q767" s="6" t="str">
        <f t="shared" si="146"/>
        <v>Jan-00</v>
      </c>
      <c r="R767" s="6" t="str">
        <f t="shared" si="147"/>
        <v>Q1</v>
      </c>
      <c r="S767" s="6">
        <f t="shared" si="148"/>
        <v>1900</v>
      </c>
      <c r="T767" s="6" t="str">
        <f t="shared" si="149"/>
        <v>Retail</v>
      </c>
    </row>
    <row r="768" spans="8:20" x14ac:dyDescent="0.3">
      <c r="H768">
        <f t="shared" si="143"/>
        <v>0</v>
      </c>
      <c r="I768">
        <f t="shared" si="138"/>
        <v>0</v>
      </c>
      <c r="J768">
        <f t="shared" si="139"/>
        <v>0</v>
      </c>
      <c r="K768" t="str">
        <f t="shared" si="140"/>
        <v>January</v>
      </c>
      <c r="L768" t="str">
        <f t="shared" si="141"/>
        <v>Q1</v>
      </c>
      <c r="M768" s="2">
        <f t="shared" si="142"/>
        <v>1900</v>
      </c>
      <c r="N768" t="str">
        <f ca="1">IF(COUNTIFS(A$2:A768,A768,O$2:O768,O768)&gt;1,"Repeat","New")</f>
        <v>New</v>
      </c>
      <c r="O768" s="2" t="e">
        <f t="shared" ca="1" si="144"/>
        <v>#VALUE!</v>
      </c>
      <c r="P768" s="3" t="e">
        <f t="shared" ca="1" si="145"/>
        <v>#VALUE!</v>
      </c>
      <c r="Q768" s="6" t="str">
        <f t="shared" si="146"/>
        <v>Jan-00</v>
      </c>
      <c r="R768" s="6" t="str">
        <f t="shared" si="147"/>
        <v>Q1</v>
      </c>
      <c r="S768" s="6">
        <f t="shared" si="148"/>
        <v>1900</v>
      </c>
      <c r="T768" s="6" t="str">
        <f t="shared" si="149"/>
        <v>Retail</v>
      </c>
    </row>
    <row r="769" spans="8:20" x14ac:dyDescent="0.3">
      <c r="H769">
        <f t="shared" si="143"/>
        <v>0</v>
      </c>
      <c r="I769">
        <f t="shared" si="138"/>
        <v>0</v>
      </c>
      <c r="J769">
        <f t="shared" si="139"/>
        <v>0</v>
      </c>
      <c r="K769" t="str">
        <f t="shared" si="140"/>
        <v>January</v>
      </c>
      <c r="L769" t="str">
        <f t="shared" si="141"/>
        <v>Q1</v>
      </c>
      <c r="M769" s="2">
        <f t="shared" si="142"/>
        <v>1900</v>
      </c>
      <c r="N769" t="str">
        <f ca="1">IF(COUNTIFS(A$2:A769,A769,O$2:O769,O769)&gt;1,"Repeat","New")</f>
        <v>New</v>
      </c>
      <c r="O769" s="2" t="e">
        <f t="shared" ca="1" si="144"/>
        <v>#VALUE!</v>
      </c>
      <c r="P769" s="3" t="e">
        <f t="shared" ca="1" si="145"/>
        <v>#VALUE!</v>
      </c>
      <c r="Q769" s="6" t="str">
        <f t="shared" si="146"/>
        <v>Jan-00</v>
      </c>
      <c r="R769" s="6" t="str">
        <f t="shared" si="147"/>
        <v>Q1</v>
      </c>
      <c r="S769" s="6">
        <f t="shared" si="148"/>
        <v>1900</v>
      </c>
      <c r="T769" s="6" t="str">
        <f t="shared" si="149"/>
        <v>Retail</v>
      </c>
    </row>
    <row r="770" spans="8:20" x14ac:dyDescent="0.3">
      <c r="H770">
        <f t="shared" si="143"/>
        <v>0</v>
      </c>
      <c r="I770">
        <f t="shared" ref="I770:I833" si="150">H770-(D770*F770)</f>
        <v>0</v>
      </c>
      <c r="J770">
        <f t="shared" ref="J770:J833" si="151">IF(H770&gt;0,I770/H770,0)</f>
        <v>0</v>
      </c>
      <c r="K770" t="str">
        <f t="shared" ref="K770:K833" si="152">TEXT(A770,"mmmm")</f>
        <v>January</v>
      </c>
      <c r="L770" t="str">
        <f t="shared" ref="L770:L833" si="153">"Q"&amp;ROUNDUP(MONTH(A770)/3,0)</f>
        <v>Q1</v>
      </c>
      <c r="M770" s="2">
        <f t="shared" ref="M770:M833" si="154">YEAR(A770)</f>
        <v>1900</v>
      </c>
      <c r="N770" t="str">
        <f ca="1">IF(COUNTIFS(A$2:A770,A770,O$2:O770,O770)&gt;1,"Repeat","New")</f>
        <v>New</v>
      </c>
      <c r="O770" s="2" t="e">
        <f t="shared" ca="1" si="144"/>
        <v>#VALUE!</v>
      </c>
      <c r="P770" s="3" t="e">
        <f t="shared" ca="1" si="145"/>
        <v>#VALUE!</v>
      </c>
      <c r="Q770" s="6" t="str">
        <f t="shared" si="146"/>
        <v>Jan-00</v>
      </c>
      <c r="R770" s="6" t="str">
        <f t="shared" si="147"/>
        <v>Q1</v>
      </c>
      <c r="S770" s="6">
        <f t="shared" si="148"/>
        <v>1900</v>
      </c>
      <c r="T770" s="6" t="str">
        <f t="shared" si="149"/>
        <v>Retail</v>
      </c>
    </row>
    <row r="771" spans="8:20" x14ac:dyDescent="0.3">
      <c r="H771">
        <f t="shared" ref="H771:H834" si="155">(E771*F771)*(1-G771)</f>
        <v>0</v>
      </c>
      <c r="I771">
        <f t="shared" si="150"/>
        <v>0</v>
      </c>
      <c r="J771">
        <f t="shared" si="151"/>
        <v>0</v>
      </c>
      <c r="K771" t="str">
        <f t="shared" si="152"/>
        <v>January</v>
      </c>
      <c r="L771" t="str">
        <f t="shared" si="153"/>
        <v>Q1</v>
      </c>
      <c r="M771" s="2">
        <f t="shared" si="154"/>
        <v>1900</v>
      </c>
      <c r="N771" t="str">
        <f ca="1">IF(COUNTIFS(A$2:A771,A771,O$2:O771,O771)&gt;1,"Repeat","New")</f>
        <v>New</v>
      </c>
      <c r="O771" s="2" t="e">
        <f t="shared" ca="1" si="144"/>
        <v>#VALUE!</v>
      </c>
      <c r="P771" s="3" t="e">
        <f t="shared" ca="1" si="145"/>
        <v>#VALUE!</v>
      </c>
      <c r="Q771" s="6" t="str">
        <f t="shared" si="146"/>
        <v>Jan-00</v>
      </c>
      <c r="R771" s="6" t="str">
        <f t="shared" si="147"/>
        <v>Q1</v>
      </c>
      <c r="S771" s="6">
        <f t="shared" si="148"/>
        <v>1900</v>
      </c>
      <c r="T771" s="6" t="str">
        <f t="shared" si="149"/>
        <v>Retail</v>
      </c>
    </row>
    <row r="772" spans="8:20" x14ac:dyDescent="0.3">
      <c r="H772">
        <f t="shared" si="155"/>
        <v>0</v>
      </c>
      <c r="I772">
        <f t="shared" si="150"/>
        <v>0</v>
      </c>
      <c r="J772">
        <f t="shared" si="151"/>
        <v>0</v>
      </c>
      <c r="K772" t="str">
        <f t="shared" si="152"/>
        <v>January</v>
      </c>
      <c r="L772" t="str">
        <f t="shared" si="153"/>
        <v>Q1</v>
      </c>
      <c r="M772" s="2">
        <f t="shared" si="154"/>
        <v>1900</v>
      </c>
      <c r="N772" t="str">
        <f ca="1">IF(COUNTIFS(A$2:A772,A772,O$2:O772,O772)&gt;1,"Repeat","New")</f>
        <v>New</v>
      </c>
      <c r="O772" s="2" t="e">
        <f t="shared" ca="1" si="144"/>
        <v>#VALUE!</v>
      </c>
      <c r="P772" s="3" t="e">
        <f t="shared" ca="1" si="145"/>
        <v>#VALUE!</v>
      </c>
      <c r="Q772" s="6" t="str">
        <f t="shared" si="146"/>
        <v>Jan-00</v>
      </c>
      <c r="R772" s="6" t="str">
        <f t="shared" si="147"/>
        <v>Q1</v>
      </c>
      <c r="S772" s="6">
        <f t="shared" si="148"/>
        <v>1900</v>
      </c>
      <c r="T772" s="6" t="str">
        <f t="shared" si="149"/>
        <v>Retail</v>
      </c>
    </row>
    <row r="773" spans="8:20" x14ac:dyDescent="0.3">
      <c r="H773">
        <f t="shared" si="155"/>
        <v>0</v>
      </c>
      <c r="I773">
        <f t="shared" si="150"/>
        <v>0</v>
      </c>
      <c r="J773">
        <f t="shared" si="151"/>
        <v>0</v>
      </c>
      <c r="K773" t="str">
        <f t="shared" si="152"/>
        <v>January</v>
      </c>
      <c r="L773" t="str">
        <f t="shared" si="153"/>
        <v>Q1</v>
      </c>
      <c r="M773" s="2">
        <f t="shared" si="154"/>
        <v>1900</v>
      </c>
      <c r="N773" t="str">
        <f ca="1">IF(COUNTIFS(A$2:A773,A773,O$2:O773,O773)&gt;1,"Repeat","New")</f>
        <v>New</v>
      </c>
      <c r="O773" s="2" t="e">
        <f t="shared" ca="1" si="144"/>
        <v>#VALUE!</v>
      </c>
      <c r="P773" s="3" t="e">
        <f t="shared" ca="1" si="145"/>
        <v>#VALUE!</v>
      </c>
      <c r="Q773" s="6" t="str">
        <f t="shared" si="146"/>
        <v>Jan-00</v>
      </c>
      <c r="R773" s="6" t="str">
        <f t="shared" si="147"/>
        <v>Q1</v>
      </c>
      <c r="S773" s="6">
        <f t="shared" si="148"/>
        <v>1900</v>
      </c>
      <c r="T773" s="6" t="str">
        <f t="shared" si="149"/>
        <v>Retail</v>
      </c>
    </row>
    <row r="774" spans="8:20" x14ac:dyDescent="0.3">
      <c r="H774">
        <f t="shared" si="155"/>
        <v>0</v>
      </c>
      <c r="I774">
        <f t="shared" si="150"/>
        <v>0</v>
      </c>
      <c r="J774">
        <f t="shared" si="151"/>
        <v>0</v>
      </c>
      <c r="K774" t="str">
        <f t="shared" si="152"/>
        <v>January</v>
      </c>
      <c r="L774" t="str">
        <f t="shared" si="153"/>
        <v>Q1</v>
      </c>
      <c r="M774" s="2">
        <f t="shared" si="154"/>
        <v>1900</v>
      </c>
      <c r="N774" t="str">
        <f ca="1">IF(COUNTIFS(A$2:A774,A774,O$2:O774,O774)&gt;1,"Repeat","New")</f>
        <v>New</v>
      </c>
      <c r="O774" s="2" t="e">
        <f t="shared" ca="1" si="144"/>
        <v>#VALUE!</v>
      </c>
      <c r="P774" s="3" t="e">
        <f t="shared" ca="1" si="145"/>
        <v>#VALUE!</v>
      </c>
      <c r="Q774" s="6" t="str">
        <f t="shared" si="146"/>
        <v>Jan-00</v>
      </c>
      <c r="R774" s="6" t="str">
        <f t="shared" si="147"/>
        <v>Q1</v>
      </c>
      <c r="S774" s="6">
        <f t="shared" si="148"/>
        <v>1900</v>
      </c>
      <c r="T774" s="6" t="str">
        <f t="shared" si="149"/>
        <v>Retail</v>
      </c>
    </row>
    <row r="775" spans="8:20" x14ac:dyDescent="0.3">
      <c r="H775">
        <f t="shared" si="155"/>
        <v>0</v>
      </c>
      <c r="I775">
        <f t="shared" si="150"/>
        <v>0</v>
      </c>
      <c r="J775">
        <f t="shared" si="151"/>
        <v>0</v>
      </c>
      <c r="K775" t="str">
        <f t="shared" si="152"/>
        <v>January</v>
      </c>
      <c r="L775" t="str">
        <f t="shared" si="153"/>
        <v>Q1</v>
      </c>
      <c r="M775" s="2">
        <f t="shared" si="154"/>
        <v>1900</v>
      </c>
      <c r="N775" t="str">
        <f ca="1">IF(COUNTIFS(A$2:A775,A775,O$2:O775,O775)&gt;1,"Repeat","New")</f>
        <v>New</v>
      </c>
      <c r="O775" s="2" t="e">
        <f t="shared" ca="1" si="144"/>
        <v>#VALUE!</v>
      </c>
      <c r="P775" s="3" t="e">
        <f t="shared" ca="1" si="145"/>
        <v>#VALUE!</v>
      </c>
      <c r="Q775" s="6" t="str">
        <f t="shared" si="146"/>
        <v>Jan-00</v>
      </c>
      <c r="R775" s="6" t="str">
        <f t="shared" si="147"/>
        <v>Q1</v>
      </c>
      <c r="S775" s="6">
        <f t="shared" si="148"/>
        <v>1900</v>
      </c>
      <c r="T775" s="6" t="str">
        <f t="shared" si="149"/>
        <v>Retail</v>
      </c>
    </row>
    <row r="776" spans="8:20" x14ac:dyDescent="0.3">
      <c r="H776">
        <f t="shared" si="155"/>
        <v>0</v>
      </c>
      <c r="I776">
        <f t="shared" si="150"/>
        <v>0</v>
      </c>
      <c r="J776">
        <f t="shared" si="151"/>
        <v>0</v>
      </c>
      <c r="K776" t="str">
        <f t="shared" si="152"/>
        <v>January</v>
      </c>
      <c r="L776" t="str">
        <f t="shared" si="153"/>
        <v>Q1</v>
      </c>
      <c r="M776" s="2">
        <f t="shared" si="154"/>
        <v>1900</v>
      </c>
      <c r="N776" t="str">
        <f ca="1">IF(COUNTIFS(A$2:A776,A776,O$2:O776,O776)&gt;1,"Repeat","New")</f>
        <v>New</v>
      </c>
      <c r="O776" s="2" t="e">
        <f t="shared" ca="1" si="144"/>
        <v>#VALUE!</v>
      </c>
      <c r="P776" s="3" t="e">
        <f t="shared" ca="1" si="145"/>
        <v>#VALUE!</v>
      </c>
      <c r="Q776" s="6" t="str">
        <f t="shared" si="146"/>
        <v>Jan-00</v>
      </c>
      <c r="R776" s="6" t="str">
        <f t="shared" si="147"/>
        <v>Q1</v>
      </c>
      <c r="S776" s="6">
        <f t="shared" si="148"/>
        <v>1900</v>
      </c>
      <c r="T776" s="6" t="str">
        <f t="shared" si="149"/>
        <v>Retail</v>
      </c>
    </row>
    <row r="777" spans="8:20" x14ac:dyDescent="0.3">
      <c r="H777">
        <f t="shared" si="155"/>
        <v>0</v>
      </c>
      <c r="I777">
        <f t="shared" si="150"/>
        <v>0</v>
      </c>
      <c r="J777">
        <f t="shared" si="151"/>
        <v>0</v>
      </c>
      <c r="K777" t="str">
        <f t="shared" si="152"/>
        <v>January</v>
      </c>
      <c r="L777" t="str">
        <f t="shared" si="153"/>
        <v>Q1</v>
      </c>
      <c r="M777" s="2">
        <f t="shared" si="154"/>
        <v>1900</v>
      </c>
      <c r="N777" t="str">
        <f ca="1">IF(COUNTIFS(A$2:A777,A777,O$2:O777,O777)&gt;1,"Repeat","New")</f>
        <v>New</v>
      </c>
      <c r="O777" s="2" t="e">
        <f t="shared" ca="1" si="144"/>
        <v>#VALUE!</v>
      </c>
      <c r="P777" s="3" t="e">
        <f t="shared" ca="1" si="145"/>
        <v>#VALUE!</v>
      </c>
      <c r="Q777" s="6" t="str">
        <f t="shared" si="146"/>
        <v>Jan-00</v>
      </c>
      <c r="R777" s="6" t="str">
        <f t="shared" si="147"/>
        <v>Q1</v>
      </c>
      <c r="S777" s="6">
        <f t="shared" si="148"/>
        <v>1900</v>
      </c>
      <c r="T777" s="6" t="str">
        <f t="shared" si="149"/>
        <v>Retail</v>
      </c>
    </row>
    <row r="778" spans="8:20" x14ac:dyDescent="0.3">
      <c r="H778">
        <f t="shared" si="155"/>
        <v>0</v>
      </c>
      <c r="I778">
        <f t="shared" si="150"/>
        <v>0</v>
      </c>
      <c r="J778">
        <f t="shared" si="151"/>
        <v>0</v>
      </c>
      <c r="K778" t="str">
        <f t="shared" si="152"/>
        <v>January</v>
      </c>
      <c r="L778" t="str">
        <f t="shared" si="153"/>
        <v>Q1</v>
      </c>
      <c r="M778" s="2">
        <f t="shared" si="154"/>
        <v>1900</v>
      </c>
      <c r="N778" t="str">
        <f ca="1">IF(COUNTIFS(A$2:A778,A778,O$2:O778,O778)&gt;1,"Repeat","New")</f>
        <v>New</v>
      </c>
      <c r="O778" s="2" t="e">
        <f t="shared" ca="1" si="144"/>
        <v>#VALUE!</v>
      </c>
      <c r="P778" s="3" t="e">
        <f t="shared" ca="1" si="145"/>
        <v>#VALUE!</v>
      </c>
      <c r="Q778" s="6" t="str">
        <f t="shared" si="146"/>
        <v>Jan-00</v>
      </c>
      <c r="R778" s="6" t="str">
        <f t="shared" si="147"/>
        <v>Q1</v>
      </c>
      <c r="S778" s="6">
        <f t="shared" si="148"/>
        <v>1900</v>
      </c>
      <c r="T778" s="6" t="str">
        <f t="shared" si="149"/>
        <v>Retail</v>
      </c>
    </row>
    <row r="779" spans="8:20" x14ac:dyDescent="0.3">
      <c r="H779">
        <f t="shared" si="155"/>
        <v>0</v>
      </c>
      <c r="I779">
        <f t="shared" si="150"/>
        <v>0</v>
      </c>
      <c r="J779">
        <f t="shared" si="151"/>
        <v>0</v>
      </c>
      <c r="K779" t="str">
        <f t="shared" si="152"/>
        <v>January</v>
      </c>
      <c r="L779" t="str">
        <f t="shared" si="153"/>
        <v>Q1</v>
      </c>
      <c r="M779" s="2">
        <f t="shared" si="154"/>
        <v>1900</v>
      </c>
      <c r="N779" t="str">
        <f ca="1">IF(COUNTIFS(A$2:A779,A779,O$2:O779,O779)&gt;1,"Repeat","New")</f>
        <v>New</v>
      </c>
      <c r="O779" s="2" t="e">
        <f t="shared" ca="1" si="144"/>
        <v>#VALUE!</v>
      </c>
      <c r="P779" s="3" t="e">
        <f t="shared" ca="1" si="145"/>
        <v>#VALUE!</v>
      </c>
      <c r="Q779" s="6" t="str">
        <f t="shared" si="146"/>
        <v>Jan-00</v>
      </c>
      <c r="R779" s="6" t="str">
        <f t="shared" si="147"/>
        <v>Q1</v>
      </c>
      <c r="S779" s="6">
        <f t="shared" si="148"/>
        <v>1900</v>
      </c>
      <c r="T779" s="6" t="str">
        <f t="shared" si="149"/>
        <v>Retail</v>
      </c>
    </row>
    <row r="780" spans="8:20" x14ac:dyDescent="0.3">
      <c r="H780">
        <f t="shared" si="155"/>
        <v>0</v>
      </c>
      <c r="I780">
        <f t="shared" si="150"/>
        <v>0</v>
      </c>
      <c r="J780">
        <f t="shared" si="151"/>
        <v>0</v>
      </c>
      <c r="K780" t="str">
        <f t="shared" si="152"/>
        <v>January</v>
      </c>
      <c r="L780" t="str">
        <f t="shared" si="153"/>
        <v>Q1</v>
      </c>
      <c r="M780" s="2">
        <f t="shared" si="154"/>
        <v>1900</v>
      </c>
      <c r="N780" t="str">
        <f ca="1">IF(COUNTIFS(A$2:A780,A780,O$2:O780,O780)&gt;1,"Repeat","New")</f>
        <v>New</v>
      </c>
      <c r="O780" s="2" t="e">
        <f t="shared" ca="1" si="144"/>
        <v>#VALUE!</v>
      </c>
      <c r="P780" s="3" t="e">
        <f t="shared" ca="1" si="145"/>
        <v>#VALUE!</v>
      </c>
      <c r="Q780" s="6" t="str">
        <f t="shared" si="146"/>
        <v>Jan-00</v>
      </c>
      <c r="R780" s="6" t="str">
        <f t="shared" si="147"/>
        <v>Q1</v>
      </c>
      <c r="S780" s="6">
        <f t="shared" si="148"/>
        <v>1900</v>
      </c>
      <c r="T780" s="6" t="str">
        <f t="shared" si="149"/>
        <v>Retail</v>
      </c>
    </row>
    <row r="781" spans="8:20" x14ac:dyDescent="0.3">
      <c r="H781">
        <f t="shared" si="155"/>
        <v>0</v>
      </c>
      <c r="I781">
        <f t="shared" si="150"/>
        <v>0</v>
      </c>
      <c r="J781">
        <f t="shared" si="151"/>
        <v>0</v>
      </c>
      <c r="K781" t="str">
        <f t="shared" si="152"/>
        <v>January</v>
      </c>
      <c r="L781" t="str">
        <f t="shared" si="153"/>
        <v>Q1</v>
      </c>
      <c r="M781" s="2">
        <f t="shared" si="154"/>
        <v>1900</v>
      </c>
      <c r="N781" t="str">
        <f ca="1">IF(COUNTIFS(A$2:A781,A781,O$2:O781,O781)&gt;1,"Repeat","New")</f>
        <v>New</v>
      </c>
      <c r="O781" s="2" t="e">
        <f t="shared" ca="1" si="144"/>
        <v>#VALUE!</v>
      </c>
      <c r="P781" s="3" t="e">
        <f t="shared" ca="1" si="145"/>
        <v>#VALUE!</v>
      </c>
      <c r="Q781" s="6" t="str">
        <f t="shared" si="146"/>
        <v>Jan-00</v>
      </c>
      <c r="R781" s="6" t="str">
        <f t="shared" si="147"/>
        <v>Q1</v>
      </c>
      <c r="S781" s="6">
        <f t="shared" si="148"/>
        <v>1900</v>
      </c>
      <c r="T781" s="6" t="str">
        <f t="shared" si="149"/>
        <v>Retail</v>
      </c>
    </row>
    <row r="782" spans="8:20" x14ac:dyDescent="0.3">
      <c r="H782">
        <f t="shared" si="155"/>
        <v>0</v>
      </c>
      <c r="I782">
        <f t="shared" si="150"/>
        <v>0</v>
      </c>
      <c r="J782">
        <f t="shared" si="151"/>
        <v>0</v>
      </c>
      <c r="K782" t="str">
        <f t="shared" si="152"/>
        <v>January</v>
      </c>
      <c r="L782" t="str">
        <f t="shared" si="153"/>
        <v>Q1</v>
      </c>
      <c r="M782" s="2">
        <f t="shared" si="154"/>
        <v>1900</v>
      </c>
      <c r="N782" t="str">
        <f ca="1">IF(COUNTIFS(A$2:A782,A782,O$2:O782,O782)&gt;1,"Repeat","New")</f>
        <v>New</v>
      </c>
      <c r="O782" s="2" t="e">
        <f t="shared" ca="1" si="144"/>
        <v>#VALUE!</v>
      </c>
      <c r="P782" s="3" t="e">
        <f t="shared" ca="1" si="145"/>
        <v>#VALUE!</v>
      </c>
      <c r="Q782" s="6" t="str">
        <f t="shared" si="146"/>
        <v>Jan-00</v>
      </c>
      <c r="R782" s="6" t="str">
        <f t="shared" si="147"/>
        <v>Q1</v>
      </c>
      <c r="S782" s="6">
        <f t="shared" si="148"/>
        <v>1900</v>
      </c>
      <c r="T782" s="6" t="str">
        <f t="shared" si="149"/>
        <v>Retail</v>
      </c>
    </row>
    <row r="783" spans="8:20" x14ac:dyDescent="0.3">
      <c r="H783">
        <f t="shared" si="155"/>
        <v>0</v>
      </c>
      <c r="I783">
        <f t="shared" si="150"/>
        <v>0</v>
      </c>
      <c r="J783">
        <f t="shared" si="151"/>
        <v>0</v>
      </c>
      <c r="K783" t="str">
        <f t="shared" si="152"/>
        <v>January</v>
      </c>
      <c r="L783" t="str">
        <f t="shared" si="153"/>
        <v>Q1</v>
      </c>
      <c r="M783" s="2">
        <f t="shared" si="154"/>
        <v>1900</v>
      </c>
      <c r="N783" t="str">
        <f ca="1">IF(COUNTIFS(A$2:A783,A783,O$2:O783,O783)&gt;1,"Repeat","New")</f>
        <v>New</v>
      </c>
      <c r="O783" s="2" t="e">
        <f t="shared" ca="1" si="144"/>
        <v>#VALUE!</v>
      </c>
      <c r="P783" s="3" t="e">
        <f t="shared" ca="1" si="145"/>
        <v>#VALUE!</v>
      </c>
      <c r="Q783" s="6" t="str">
        <f t="shared" si="146"/>
        <v>Jan-00</v>
      </c>
      <c r="R783" s="6" t="str">
        <f t="shared" si="147"/>
        <v>Q1</v>
      </c>
      <c r="S783" s="6">
        <f t="shared" si="148"/>
        <v>1900</v>
      </c>
      <c r="T783" s="6" t="str">
        <f t="shared" si="149"/>
        <v>Retail</v>
      </c>
    </row>
    <row r="784" spans="8:20" x14ac:dyDescent="0.3">
      <c r="H784">
        <f t="shared" si="155"/>
        <v>0</v>
      </c>
      <c r="I784">
        <f t="shared" si="150"/>
        <v>0</v>
      </c>
      <c r="J784">
        <f t="shared" si="151"/>
        <v>0</v>
      </c>
      <c r="K784" t="str">
        <f t="shared" si="152"/>
        <v>January</v>
      </c>
      <c r="L784" t="str">
        <f t="shared" si="153"/>
        <v>Q1</v>
      </c>
      <c r="M784" s="2">
        <f t="shared" si="154"/>
        <v>1900</v>
      </c>
      <c r="N784" t="str">
        <f ca="1">IF(COUNTIFS(A$2:A784,A784,O$2:O784,O784)&gt;1,"Repeat","New")</f>
        <v>New</v>
      </c>
      <c r="O784" s="2" t="e">
        <f t="shared" ca="1" si="144"/>
        <v>#VALUE!</v>
      </c>
      <c r="P784" s="3" t="e">
        <f t="shared" ca="1" si="145"/>
        <v>#VALUE!</v>
      </c>
      <c r="Q784" s="6" t="str">
        <f t="shared" si="146"/>
        <v>Jan-00</v>
      </c>
      <c r="R784" s="6" t="str">
        <f t="shared" si="147"/>
        <v>Q1</v>
      </c>
      <c r="S784" s="6">
        <f t="shared" si="148"/>
        <v>1900</v>
      </c>
      <c r="T784" s="6" t="str">
        <f t="shared" si="149"/>
        <v>Retail</v>
      </c>
    </row>
    <row r="785" spans="8:20" x14ac:dyDescent="0.3">
      <c r="H785">
        <f t="shared" si="155"/>
        <v>0</v>
      </c>
      <c r="I785">
        <f t="shared" si="150"/>
        <v>0</v>
      </c>
      <c r="J785">
        <f t="shared" si="151"/>
        <v>0</v>
      </c>
      <c r="K785" t="str">
        <f t="shared" si="152"/>
        <v>January</v>
      </c>
      <c r="L785" t="str">
        <f t="shared" si="153"/>
        <v>Q1</v>
      </c>
      <c r="M785" s="2">
        <f t="shared" si="154"/>
        <v>1900</v>
      </c>
      <c r="N785" t="str">
        <f ca="1">IF(COUNTIFS(A$2:A785,A785,O$2:O785,O785)&gt;1,"Repeat","New")</f>
        <v>New</v>
      </c>
      <c r="O785" s="2" t="e">
        <f t="shared" ca="1" si="144"/>
        <v>#VALUE!</v>
      </c>
      <c r="P785" s="3" t="e">
        <f t="shared" ca="1" si="145"/>
        <v>#VALUE!</v>
      </c>
      <c r="Q785" s="6" t="str">
        <f t="shared" si="146"/>
        <v>Jan-00</v>
      </c>
      <c r="R785" s="6" t="str">
        <f t="shared" si="147"/>
        <v>Q1</v>
      </c>
      <c r="S785" s="6">
        <f t="shared" si="148"/>
        <v>1900</v>
      </c>
      <c r="T785" s="6" t="str">
        <f t="shared" si="149"/>
        <v>Retail</v>
      </c>
    </row>
    <row r="786" spans="8:20" x14ac:dyDescent="0.3">
      <c r="H786">
        <f t="shared" si="155"/>
        <v>0</v>
      </c>
      <c r="I786">
        <f t="shared" si="150"/>
        <v>0</v>
      </c>
      <c r="J786">
        <f t="shared" si="151"/>
        <v>0</v>
      </c>
      <c r="K786" t="str">
        <f t="shared" si="152"/>
        <v>January</v>
      </c>
      <c r="L786" t="str">
        <f t="shared" si="153"/>
        <v>Q1</v>
      </c>
      <c r="M786" s="2">
        <f t="shared" si="154"/>
        <v>1900</v>
      </c>
      <c r="N786" t="str">
        <f ca="1">IF(COUNTIFS(A$2:A786,A786,O$2:O786,O786)&gt;1,"Repeat","New")</f>
        <v>New</v>
      </c>
      <c r="O786" s="2" t="e">
        <f t="shared" ca="1" si="144"/>
        <v>#VALUE!</v>
      </c>
      <c r="P786" s="3" t="e">
        <f t="shared" ca="1" si="145"/>
        <v>#VALUE!</v>
      </c>
      <c r="Q786" s="6" t="str">
        <f t="shared" si="146"/>
        <v>Jan-00</v>
      </c>
      <c r="R786" s="6" t="str">
        <f t="shared" si="147"/>
        <v>Q1</v>
      </c>
      <c r="S786" s="6">
        <f t="shared" si="148"/>
        <v>1900</v>
      </c>
      <c r="T786" s="6" t="str">
        <f t="shared" si="149"/>
        <v>Retail</v>
      </c>
    </row>
    <row r="787" spans="8:20" x14ac:dyDescent="0.3">
      <c r="H787">
        <f t="shared" si="155"/>
        <v>0</v>
      </c>
      <c r="I787">
        <f t="shared" si="150"/>
        <v>0</v>
      </c>
      <c r="J787">
        <f t="shared" si="151"/>
        <v>0</v>
      </c>
      <c r="K787" t="str">
        <f t="shared" si="152"/>
        <v>January</v>
      </c>
      <c r="L787" t="str">
        <f t="shared" si="153"/>
        <v>Q1</v>
      </c>
      <c r="M787" s="2">
        <f t="shared" si="154"/>
        <v>1900</v>
      </c>
      <c r="N787" t="str">
        <f ca="1">IF(COUNTIFS(A$2:A787,A787,O$2:O787,O787)&gt;1,"Repeat","New")</f>
        <v>New</v>
      </c>
      <c r="O787" s="2" t="e">
        <f t="shared" ca="1" si="144"/>
        <v>#VALUE!</v>
      </c>
      <c r="P787" s="3" t="e">
        <f t="shared" ca="1" si="145"/>
        <v>#VALUE!</v>
      </c>
      <c r="Q787" s="6" t="str">
        <f t="shared" si="146"/>
        <v>Jan-00</v>
      </c>
      <c r="R787" s="6" t="str">
        <f t="shared" si="147"/>
        <v>Q1</v>
      </c>
      <c r="S787" s="6">
        <f t="shared" si="148"/>
        <v>1900</v>
      </c>
      <c r="T787" s="6" t="str">
        <f t="shared" si="149"/>
        <v>Retail</v>
      </c>
    </row>
    <row r="788" spans="8:20" x14ac:dyDescent="0.3">
      <c r="H788">
        <f t="shared" si="155"/>
        <v>0</v>
      </c>
      <c r="I788">
        <f t="shared" si="150"/>
        <v>0</v>
      </c>
      <c r="J788">
        <f t="shared" si="151"/>
        <v>0</v>
      </c>
      <c r="K788" t="str">
        <f t="shared" si="152"/>
        <v>January</v>
      </c>
      <c r="L788" t="str">
        <f t="shared" si="153"/>
        <v>Q1</v>
      </c>
      <c r="M788" s="2">
        <f t="shared" si="154"/>
        <v>1900</v>
      </c>
      <c r="N788" t="str">
        <f ca="1">IF(COUNTIFS(A$2:A788,A788,O$2:O788,O788)&gt;1,"Repeat","New")</f>
        <v>New</v>
      </c>
      <c r="O788" s="2" t="e">
        <f t="shared" ca="1" si="144"/>
        <v>#VALUE!</v>
      </c>
      <c r="P788" s="3" t="e">
        <f t="shared" ca="1" si="145"/>
        <v>#VALUE!</v>
      </c>
      <c r="Q788" s="6" t="str">
        <f t="shared" si="146"/>
        <v>Jan-00</v>
      </c>
      <c r="R788" s="6" t="str">
        <f t="shared" si="147"/>
        <v>Q1</v>
      </c>
      <c r="S788" s="6">
        <f t="shared" si="148"/>
        <v>1900</v>
      </c>
      <c r="T788" s="6" t="str">
        <f t="shared" si="149"/>
        <v>Retail</v>
      </c>
    </row>
    <row r="789" spans="8:20" x14ac:dyDescent="0.3">
      <c r="H789">
        <f t="shared" si="155"/>
        <v>0</v>
      </c>
      <c r="I789">
        <f t="shared" si="150"/>
        <v>0</v>
      </c>
      <c r="J789">
        <f t="shared" si="151"/>
        <v>0</v>
      </c>
      <c r="K789" t="str">
        <f t="shared" si="152"/>
        <v>January</v>
      </c>
      <c r="L789" t="str">
        <f t="shared" si="153"/>
        <v>Q1</v>
      </c>
      <c r="M789" s="2">
        <f t="shared" si="154"/>
        <v>1900</v>
      </c>
      <c r="N789" t="str">
        <f ca="1">IF(COUNTIFS(A$2:A789,A789,O$2:O789,O789)&gt;1,"Repeat","New")</f>
        <v>New</v>
      </c>
      <c r="O789" s="2" t="e">
        <f t="shared" ca="1" si="144"/>
        <v>#VALUE!</v>
      </c>
      <c r="P789" s="3" t="e">
        <f t="shared" ca="1" si="145"/>
        <v>#VALUE!</v>
      </c>
      <c r="Q789" s="6" t="str">
        <f t="shared" si="146"/>
        <v>Jan-00</v>
      </c>
      <c r="R789" s="6" t="str">
        <f t="shared" si="147"/>
        <v>Q1</v>
      </c>
      <c r="S789" s="6">
        <f t="shared" si="148"/>
        <v>1900</v>
      </c>
      <c r="T789" s="6" t="str">
        <f t="shared" si="149"/>
        <v>Retail</v>
      </c>
    </row>
    <row r="790" spans="8:20" x14ac:dyDescent="0.3">
      <c r="H790">
        <f t="shared" si="155"/>
        <v>0</v>
      </c>
      <c r="I790">
        <f t="shared" si="150"/>
        <v>0</v>
      </c>
      <c r="J790">
        <f t="shared" si="151"/>
        <v>0</v>
      </c>
      <c r="K790" t="str">
        <f t="shared" si="152"/>
        <v>January</v>
      </c>
      <c r="L790" t="str">
        <f t="shared" si="153"/>
        <v>Q1</v>
      </c>
      <c r="M790" s="2">
        <f t="shared" si="154"/>
        <v>1900</v>
      </c>
      <c r="N790" t="str">
        <f ca="1">IF(COUNTIFS(A$2:A790,A790,O$2:O790,O790)&gt;1,"Repeat","New")</f>
        <v>New</v>
      </c>
      <c r="O790" s="2" t="e">
        <f t="shared" ca="1" si="144"/>
        <v>#VALUE!</v>
      </c>
      <c r="P790" s="3" t="e">
        <f t="shared" ca="1" si="145"/>
        <v>#VALUE!</v>
      </c>
      <c r="Q790" s="6" t="str">
        <f t="shared" si="146"/>
        <v>Jan-00</v>
      </c>
      <c r="R790" s="6" t="str">
        <f t="shared" si="147"/>
        <v>Q1</v>
      </c>
      <c r="S790" s="6">
        <f t="shared" si="148"/>
        <v>1900</v>
      </c>
      <c r="T790" s="6" t="str">
        <f t="shared" si="149"/>
        <v>Retail</v>
      </c>
    </row>
    <row r="791" spans="8:20" x14ac:dyDescent="0.3">
      <c r="H791">
        <f t="shared" si="155"/>
        <v>0</v>
      </c>
      <c r="I791">
        <f t="shared" si="150"/>
        <v>0</v>
      </c>
      <c r="J791">
        <f t="shared" si="151"/>
        <v>0</v>
      </c>
      <c r="K791" t="str">
        <f t="shared" si="152"/>
        <v>January</v>
      </c>
      <c r="L791" t="str">
        <f t="shared" si="153"/>
        <v>Q1</v>
      </c>
      <c r="M791" s="2">
        <f t="shared" si="154"/>
        <v>1900</v>
      </c>
      <c r="N791" t="str">
        <f ca="1">IF(COUNTIFS(A$2:A791,A791,O$2:O791,O791)&gt;1,"Repeat","New")</f>
        <v>New</v>
      </c>
      <c r="O791" s="2" t="e">
        <f t="shared" ca="1" si="144"/>
        <v>#VALUE!</v>
      </c>
      <c r="P791" s="3" t="e">
        <f t="shared" ca="1" si="145"/>
        <v>#VALUE!</v>
      </c>
      <c r="Q791" s="6" t="str">
        <f t="shared" si="146"/>
        <v>Jan-00</v>
      </c>
      <c r="R791" s="6" t="str">
        <f t="shared" si="147"/>
        <v>Q1</v>
      </c>
      <c r="S791" s="6">
        <f t="shared" si="148"/>
        <v>1900</v>
      </c>
      <c r="T791" s="6" t="str">
        <f t="shared" si="149"/>
        <v>Retail</v>
      </c>
    </row>
    <row r="792" spans="8:20" x14ac:dyDescent="0.3">
      <c r="H792">
        <f t="shared" si="155"/>
        <v>0</v>
      </c>
      <c r="I792">
        <f t="shared" si="150"/>
        <v>0</v>
      </c>
      <c r="J792">
        <f t="shared" si="151"/>
        <v>0</v>
      </c>
      <c r="K792" t="str">
        <f t="shared" si="152"/>
        <v>January</v>
      </c>
      <c r="L792" t="str">
        <f t="shared" si="153"/>
        <v>Q1</v>
      </c>
      <c r="M792" s="2">
        <f t="shared" si="154"/>
        <v>1900</v>
      </c>
      <c r="N792" t="str">
        <f ca="1">IF(COUNTIFS(A$2:A792,A792,O$2:O792,O792)&gt;1,"Repeat","New")</f>
        <v>New</v>
      </c>
      <c r="O792" s="2" t="e">
        <f t="shared" ca="1" si="144"/>
        <v>#VALUE!</v>
      </c>
      <c r="P792" s="3" t="e">
        <f t="shared" ca="1" si="145"/>
        <v>#VALUE!</v>
      </c>
      <c r="Q792" s="6" t="str">
        <f t="shared" si="146"/>
        <v>Jan-00</v>
      </c>
      <c r="R792" s="6" t="str">
        <f t="shared" si="147"/>
        <v>Q1</v>
      </c>
      <c r="S792" s="6">
        <f t="shared" si="148"/>
        <v>1900</v>
      </c>
      <c r="T792" s="6" t="str">
        <f t="shared" si="149"/>
        <v>Retail</v>
      </c>
    </row>
    <row r="793" spans="8:20" x14ac:dyDescent="0.3">
      <c r="H793">
        <f t="shared" si="155"/>
        <v>0</v>
      </c>
      <c r="I793">
        <f t="shared" si="150"/>
        <v>0</v>
      </c>
      <c r="J793">
        <f t="shared" si="151"/>
        <v>0</v>
      </c>
      <c r="K793" t="str">
        <f t="shared" si="152"/>
        <v>January</v>
      </c>
      <c r="L793" t="str">
        <f t="shared" si="153"/>
        <v>Q1</v>
      </c>
      <c r="M793" s="2">
        <f t="shared" si="154"/>
        <v>1900</v>
      </c>
      <c r="N793" t="str">
        <f ca="1">IF(COUNTIFS(A$2:A793,A793,O$2:O793,O793)&gt;1,"Repeat","New")</f>
        <v>New</v>
      </c>
      <c r="O793" s="2" t="e">
        <f t="shared" ca="1" si="144"/>
        <v>#VALUE!</v>
      </c>
      <c r="P793" s="3" t="e">
        <f t="shared" ca="1" si="145"/>
        <v>#VALUE!</v>
      </c>
      <c r="Q793" s="6" t="str">
        <f t="shared" si="146"/>
        <v>Jan-00</v>
      </c>
      <c r="R793" s="6" t="str">
        <f t="shared" si="147"/>
        <v>Q1</v>
      </c>
      <c r="S793" s="6">
        <f t="shared" si="148"/>
        <v>1900</v>
      </c>
      <c r="T793" s="6" t="str">
        <f t="shared" si="149"/>
        <v>Retail</v>
      </c>
    </row>
    <row r="794" spans="8:20" x14ac:dyDescent="0.3">
      <c r="H794">
        <f t="shared" si="155"/>
        <v>0</v>
      </c>
      <c r="I794">
        <f t="shared" si="150"/>
        <v>0</v>
      </c>
      <c r="J794">
        <f t="shared" si="151"/>
        <v>0</v>
      </c>
      <c r="K794" t="str">
        <f t="shared" si="152"/>
        <v>January</v>
      </c>
      <c r="L794" t="str">
        <f t="shared" si="153"/>
        <v>Q1</v>
      </c>
      <c r="M794" s="2">
        <f t="shared" si="154"/>
        <v>1900</v>
      </c>
      <c r="N794" t="str">
        <f ca="1">IF(COUNTIFS(A$2:A794,A794,O$2:O794,O794)&gt;1,"Repeat","New")</f>
        <v>New</v>
      </c>
      <c r="O794" s="2" t="e">
        <f t="shared" ca="1" si="144"/>
        <v>#VALUE!</v>
      </c>
      <c r="P794" s="3" t="e">
        <f t="shared" ca="1" si="145"/>
        <v>#VALUE!</v>
      </c>
      <c r="Q794" s="6" t="str">
        <f t="shared" si="146"/>
        <v>Jan-00</v>
      </c>
      <c r="R794" s="6" t="str">
        <f t="shared" si="147"/>
        <v>Q1</v>
      </c>
      <c r="S794" s="6">
        <f t="shared" si="148"/>
        <v>1900</v>
      </c>
      <c r="T794" s="6" t="str">
        <f t="shared" si="149"/>
        <v>Retail</v>
      </c>
    </row>
    <row r="795" spans="8:20" x14ac:dyDescent="0.3">
      <c r="H795">
        <f t="shared" si="155"/>
        <v>0</v>
      </c>
      <c r="I795">
        <f t="shared" si="150"/>
        <v>0</v>
      </c>
      <c r="J795">
        <f t="shared" si="151"/>
        <v>0</v>
      </c>
      <c r="K795" t="str">
        <f t="shared" si="152"/>
        <v>January</v>
      </c>
      <c r="L795" t="str">
        <f t="shared" si="153"/>
        <v>Q1</v>
      </c>
      <c r="M795" s="2">
        <f t="shared" si="154"/>
        <v>1900</v>
      </c>
      <c r="N795" t="str">
        <f ca="1">IF(COUNTIFS(A$2:A795,A795,O$2:O795,O795)&gt;1,"Repeat","New")</f>
        <v>New</v>
      </c>
      <c r="O795" s="2" t="e">
        <f t="shared" ca="1" si="144"/>
        <v>#VALUE!</v>
      </c>
      <c r="P795" s="3" t="e">
        <f t="shared" ca="1" si="145"/>
        <v>#VALUE!</v>
      </c>
      <c r="Q795" s="6" t="str">
        <f t="shared" si="146"/>
        <v>Jan-00</v>
      </c>
      <c r="R795" s="6" t="str">
        <f t="shared" si="147"/>
        <v>Q1</v>
      </c>
      <c r="S795" s="6">
        <f t="shared" si="148"/>
        <v>1900</v>
      </c>
      <c r="T795" s="6" t="str">
        <f t="shared" si="149"/>
        <v>Retail</v>
      </c>
    </row>
    <row r="796" spans="8:20" x14ac:dyDescent="0.3">
      <c r="H796">
        <f t="shared" si="155"/>
        <v>0</v>
      </c>
      <c r="I796">
        <f t="shared" si="150"/>
        <v>0</v>
      </c>
      <c r="J796">
        <f t="shared" si="151"/>
        <v>0</v>
      </c>
      <c r="K796" t="str">
        <f t="shared" si="152"/>
        <v>January</v>
      </c>
      <c r="L796" t="str">
        <f t="shared" si="153"/>
        <v>Q1</v>
      </c>
      <c r="M796" s="2">
        <f t="shared" si="154"/>
        <v>1900</v>
      </c>
      <c r="N796" t="str">
        <f ca="1">IF(COUNTIFS(A$2:A796,A796,O$2:O796,O796)&gt;1,"Repeat","New")</f>
        <v>New</v>
      </c>
      <c r="O796" s="2" t="e">
        <f t="shared" ca="1" si="144"/>
        <v>#VALUE!</v>
      </c>
      <c r="P796" s="3" t="e">
        <f t="shared" ca="1" si="145"/>
        <v>#VALUE!</v>
      </c>
      <c r="Q796" s="6" t="str">
        <f t="shared" si="146"/>
        <v>Jan-00</v>
      </c>
      <c r="R796" s="6" t="str">
        <f t="shared" si="147"/>
        <v>Q1</v>
      </c>
      <c r="S796" s="6">
        <f t="shared" si="148"/>
        <v>1900</v>
      </c>
      <c r="T796" s="6" t="str">
        <f t="shared" si="149"/>
        <v>Retail</v>
      </c>
    </row>
    <row r="797" spans="8:20" x14ac:dyDescent="0.3">
      <c r="H797">
        <f t="shared" si="155"/>
        <v>0</v>
      </c>
      <c r="I797">
        <f t="shared" si="150"/>
        <v>0</v>
      </c>
      <c r="J797">
        <f t="shared" si="151"/>
        <v>0</v>
      </c>
      <c r="K797" t="str">
        <f t="shared" si="152"/>
        <v>January</v>
      </c>
      <c r="L797" t="str">
        <f t="shared" si="153"/>
        <v>Q1</v>
      </c>
      <c r="M797" s="2">
        <f t="shared" si="154"/>
        <v>1900</v>
      </c>
      <c r="N797" t="str">
        <f ca="1">IF(COUNTIFS(A$2:A797,A797,O$2:O797,O797)&gt;1,"Repeat","New")</f>
        <v>New</v>
      </c>
      <c r="O797" s="2" t="e">
        <f t="shared" ca="1" si="144"/>
        <v>#VALUE!</v>
      </c>
      <c r="P797" s="3" t="e">
        <f t="shared" ca="1" si="145"/>
        <v>#VALUE!</v>
      </c>
      <c r="Q797" s="6" t="str">
        <f t="shared" si="146"/>
        <v>Jan-00</v>
      </c>
      <c r="R797" s="6" t="str">
        <f t="shared" si="147"/>
        <v>Q1</v>
      </c>
      <c r="S797" s="6">
        <f t="shared" si="148"/>
        <v>1900</v>
      </c>
      <c r="T797" s="6" t="str">
        <f t="shared" si="149"/>
        <v>Retail</v>
      </c>
    </row>
    <row r="798" spans="8:20" x14ac:dyDescent="0.3">
      <c r="H798">
        <f t="shared" si="155"/>
        <v>0</v>
      </c>
      <c r="I798">
        <f t="shared" si="150"/>
        <v>0</v>
      </c>
      <c r="J798">
        <f t="shared" si="151"/>
        <v>0</v>
      </c>
      <c r="K798" t="str">
        <f t="shared" si="152"/>
        <v>January</v>
      </c>
      <c r="L798" t="str">
        <f t="shared" si="153"/>
        <v>Q1</v>
      </c>
      <c r="M798" s="2">
        <f t="shared" si="154"/>
        <v>1900</v>
      </c>
      <c r="N798" t="str">
        <f ca="1">IF(COUNTIFS(A$2:A798,A798,O$2:O798,O798)&gt;1,"Repeat","New")</f>
        <v>New</v>
      </c>
      <c r="O798" s="2" t="e">
        <f t="shared" ca="1" si="144"/>
        <v>#VALUE!</v>
      </c>
      <c r="P798" s="3" t="e">
        <f t="shared" ca="1" si="145"/>
        <v>#VALUE!</v>
      </c>
      <c r="Q798" s="6" t="str">
        <f t="shared" si="146"/>
        <v>Jan-00</v>
      </c>
      <c r="R798" s="6" t="str">
        <f t="shared" si="147"/>
        <v>Q1</v>
      </c>
      <c r="S798" s="6">
        <f t="shared" si="148"/>
        <v>1900</v>
      </c>
      <c r="T798" s="6" t="str">
        <f t="shared" si="149"/>
        <v>Retail</v>
      </c>
    </row>
    <row r="799" spans="8:20" x14ac:dyDescent="0.3">
      <c r="H799">
        <f t="shared" si="155"/>
        <v>0</v>
      </c>
      <c r="I799">
        <f t="shared" si="150"/>
        <v>0</v>
      </c>
      <c r="J799">
        <f t="shared" si="151"/>
        <v>0</v>
      </c>
      <c r="K799" t="str">
        <f t="shared" si="152"/>
        <v>January</v>
      </c>
      <c r="L799" t="str">
        <f t="shared" si="153"/>
        <v>Q1</v>
      </c>
      <c r="M799" s="2">
        <f t="shared" si="154"/>
        <v>1900</v>
      </c>
      <c r="N799" t="str">
        <f ca="1">IF(COUNTIFS(A$2:A799,A799,O$2:O799,O799)&gt;1,"Repeat","New")</f>
        <v>New</v>
      </c>
      <c r="O799" s="2" t="e">
        <f t="shared" ca="1" si="144"/>
        <v>#VALUE!</v>
      </c>
      <c r="P799" s="3" t="e">
        <f t="shared" ca="1" si="145"/>
        <v>#VALUE!</v>
      </c>
      <c r="Q799" s="6" t="str">
        <f t="shared" si="146"/>
        <v>Jan-00</v>
      </c>
      <c r="R799" s="6" t="str">
        <f t="shared" si="147"/>
        <v>Q1</v>
      </c>
      <c r="S799" s="6">
        <f t="shared" si="148"/>
        <v>1900</v>
      </c>
      <c r="T799" s="6" t="str">
        <f t="shared" si="149"/>
        <v>Retail</v>
      </c>
    </row>
    <row r="800" spans="8:20" x14ac:dyDescent="0.3">
      <c r="H800">
        <f t="shared" si="155"/>
        <v>0</v>
      </c>
      <c r="I800">
        <f t="shared" si="150"/>
        <v>0</v>
      </c>
      <c r="J800">
        <f t="shared" si="151"/>
        <v>0</v>
      </c>
      <c r="K800" t="str">
        <f t="shared" si="152"/>
        <v>January</v>
      </c>
      <c r="L800" t="str">
        <f t="shared" si="153"/>
        <v>Q1</v>
      </c>
      <c r="M800" s="2">
        <f t="shared" si="154"/>
        <v>1900</v>
      </c>
      <c r="N800" t="str">
        <f ca="1">IF(COUNTIFS(A$2:A800,A800,O$2:O800,O800)&gt;1,"Repeat","New")</f>
        <v>New</v>
      </c>
      <c r="O800" s="2" t="e">
        <f t="shared" ca="1" si="144"/>
        <v>#VALUE!</v>
      </c>
      <c r="P800" s="3" t="e">
        <f t="shared" ca="1" si="145"/>
        <v>#VALUE!</v>
      </c>
      <c r="Q800" s="6" t="str">
        <f t="shared" si="146"/>
        <v>Jan-00</v>
      </c>
      <c r="R800" s="6" t="str">
        <f t="shared" si="147"/>
        <v>Q1</v>
      </c>
      <c r="S800" s="6">
        <f t="shared" si="148"/>
        <v>1900</v>
      </c>
      <c r="T800" s="6" t="str">
        <f t="shared" si="149"/>
        <v>Retail</v>
      </c>
    </row>
    <row r="801" spans="8:20" x14ac:dyDescent="0.3">
      <c r="H801">
        <f t="shared" si="155"/>
        <v>0</v>
      </c>
      <c r="I801">
        <f t="shared" si="150"/>
        <v>0</v>
      </c>
      <c r="J801">
        <f t="shared" si="151"/>
        <v>0</v>
      </c>
      <c r="K801" t="str">
        <f t="shared" si="152"/>
        <v>January</v>
      </c>
      <c r="L801" t="str">
        <f t="shared" si="153"/>
        <v>Q1</v>
      </c>
      <c r="M801" s="2">
        <f t="shared" si="154"/>
        <v>1900</v>
      </c>
      <c r="N801" t="str">
        <f ca="1">IF(COUNTIFS(A$2:A801,A801,O$2:O801,O801)&gt;1,"Repeat","New")</f>
        <v>New</v>
      </c>
      <c r="O801" s="2" t="e">
        <f t="shared" ca="1" si="144"/>
        <v>#VALUE!</v>
      </c>
      <c r="P801" s="3" t="e">
        <f t="shared" ca="1" si="145"/>
        <v>#VALUE!</v>
      </c>
      <c r="Q801" s="6" t="str">
        <f t="shared" si="146"/>
        <v>Jan-00</v>
      </c>
      <c r="R801" s="6" t="str">
        <f t="shared" si="147"/>
        <v>Q1</v>
      </c>
      <c r="S801" s="6">
        <f t="shared" si="148"/>
        <v>1900</v>
      </c>
      <c r="T801" s="6" t="str">
        <f t="shared" si="149"/>
        <v>Retail</v>
      </c>
    </row>
    <row r="802" spans="8:20" x14ac:dyDescent="0.3">
      <c r="H802">
        <f t="shared" si="155"/>
        <v>0</v>
      </c>
      <c r="I802">
        <f t="shared" si="150"/>
        <v>0</v>
      </c>
      <c r="J802">
        <f t="shared" si="151"/>
        <v>0</v>
      </c>
      <c r="K802" t="str">
        <f t="shared" si="152"/>
        <v>January</v>
      </c>
      <c r="L802" t="str">
        <f t="shared" si="153"/>
        <v>Q1</v>
      </c>
      <c r="M802" s="2">
        <f t="shared" si="154"/>
        <v>1900</v>
      </c>
      <c r="N802" t="str">
        <f ca="1">IF(COUNTIFS(A$2:A802,A802,O$2:O802,O802)&gt;1,"Repeat","New")</f>
        <v>New</v>
      </c>
      <c r="O802" s="2" t="e">
        <f t="shared" ca="1" si="144"/>
        <v>#VALUE!</v>
      </c>
      <c r="P802" s="3" t="e">
        <f t="shared" ca="1" si="145"/>
        <v>#VALUE!</v>
      </c>
      <c r="Q802" s="6" t="str">
        <f t="shared" si="146"/>
        <v>Jan-00</v>
      </c>
      <c r="R802" s="6" t="str">
        <f t="shared" si="147"/>
        <v>Q1</v>
      </c>
      <c r="S802" s="6">
        <f t="shared" si="148"/>
        <v>1900</v>
      </c>
      <c r="T802" s="6" t="str">
        <f t="shared" si="149"/>
        <v>Retail</v>
      </c>
    </row>
    <row r="803" spans="8:20" x14ac:dyDescent="0.3">
      <c r="H803">
        <f t="shared" si="155"/>
        <v>0</v>
      </c>
      <c r="I803">
        <f t="shared" si="150"/>
        <v>0</v>
      </c>
      <c r="J803">
        <f t="shared" si="151"/>
        <v>0</v>
      </c>
      <c r="K803" t="str">
        <f t="shared" si="152"/>
        <v>January</v>
      </c>
      <c r="L803" t="str">
        <f t="shared" si="153"/>
        <v>Q1</v>
      </c>
      <c r="M803" s="2">
        <f t="shared" si="154"/>
        <v>1900</v>
      </c>
      <c r="N803" t="str">
        <f ca="1">IF(COUNTIFS(A$2:A803,A803,O$2:O803,O803)&gt;1,"Repeat","New")</f>
        <v>New</v>
      </c>
      <c r="O803" s="2" t="e">
        <f t="shared" ca="1" si="144"/>
        <v>#VALUE!</v>
      </c>
      <c r="P803" s="3" t="e">
        <f t="shared" ca="1" si="145"/>
        <v>#VALUE!</v>
      </c>
      <c r="Q803" s="6" t="str">
        <f t="shared" si="146"/>
        <v>Jan-00</v>
      </c>
      <c r="R803" s="6" t="str">
        <f t="shared" si="147"/>
        <v>Q1</v>
      </c>
      <c r="S803" s="6">
        <f t="shared" si="148"/>
        <v>1900</v>
      </c>
      <c r="T803" s="6" t="str">
        <f t="shared" si="149"/>
        <v>Retail</v>
      </c>
    </row>
    <row r="804" spans="8:20" x14ac:dyDescent="0.3">
      <c r="H804">
        <f t="shared" si="155"/>
        <v>0</v>
      </c>
      <c r="I804">
        <f t="shared" si="150"/>
        <v>0</v>
      </c>
      <c r="J804">
        <f t="shared" si="151"/>
        <v>0</v>
      </c>
      <c r="K804" t="str">
        <f t="shared" si="152"/>
        <v>January</v>
      </c>
      <c r="L804" t="str">
        <f t="shared" si="153"/>
        <v>Q1</v>
      </c>
      <c r="M804" s="2">
        <f t="shared" si="154"/>
        <v>1900</v>
      </c>
      <c r="N804" t="str">
        <f ca="1">IF(COUNTIFS(A$2:A804,A804,O$2:O804,O804)&gt;1,"Repeat","New")</f>
        <v>New</v>
      </c>
      <c r="O804" s="2" t="e">
        <f t="shared" ca="1" si="144"/>
        <v>#VALUE!</v>
      </c>
      <c r="P804" s="3" t="e">
        <f t="shared" ca="1" si="145"/>
        <v>#VALUE!</v>
      </c>
      <c r="Q804" s="6" t="str">
        <f t="shared" si="146"/>
        <v>Jan-00</v>
      </c>
      <c r="R804" s="6" t="str">
        <f t="shared" si="147"/>
        <v>Q1</v>
      </c>
      <c r="S804" s="6">
        <f t="shared" si="148"/>
        <v>1900</v>
      </c>
      <c r="T804" s="6" t="str">
        <f t="shared" si="149"/>
        <v>Retail</v>
      </c>
    </row>
    <row r="805" spans="8:20" x14ac:dyDescent="0.3">
      <c r="H805">
        <f t="shared" si="155"/>
        <v>0</v>
      </c>
      <c r="I805">
        <f t="shared" si="150"/>
        <v>0</v>
      </c>
      <c r="J805">
        <f t="shared" si="151"/>
        <v>0</v>
      </c>
      <c r="K805" t="str">
        <f t="shared" si="152"/>
        <v>January</v>
      </c>
      <c r="L805" t="str">
        <f t="shared" si="153"/>
        <v>Q1</v>
      </c>
      <c r="M805" s="2">
        <f t="shared" si="154"/>
        <v>1900</v>
      </c>
      <c r="N805" t="str">
        <f ca="1">IF(COUNTIFS(A$2:A805,A805,O$2:O805,O805)&gt;1,"Repeat","New")</f>
        <v>New</v>
      </c>
      <c r="O805" s="2" t="e">
        <f t="shared" ca="1" si="144"/>
        <v>#VALUE!</v>
      </c>
      <c r="P805" s="3" t="e">
        <f t="shared" ca="1" si="145"/>
        <v>#VALUE!</v>
      </c>
      <c r="Q805" s="6" t="str">
        <f t="shared" si="146"/>
        <v>Jan-00</v>
      </c>
      <c r="R805" s="6" t="str">
        <f t="shared" si="147"/>
        <v>Q1</v>
      </c>
      <c r="S805" s="6">
        <f t="shared" si="148"/>
        <v>1900</v>
      </c>
      <c r="T805" s="6" t="str">
        <f t="shared" si="149"/>
        <v>Retail</v>
      </c>
    </row>
    <row r="806" spans="8:20" x14ac:dyDescent="0.3">
      <c r="H806">
        <f t="shared" si="155"/>
        <v>0</v>
      </c>
      <c r="I806">
        <f t="shared" si="150"/>
        <v>0</v>
      </c>
      <c r="J806">
        <f t="shared" si="151"/>
        <v>0</v>
      </c>
      <c r="K806" t="str">
        <f t="shared" si="152"/>
        <v>January</v>
      </c>
      <c r="L806" t="str">
        <f t="shared" si="153"/>
        <v>Q1</v>
      </c>
      <c r="M806" s="2">
        <f t="shared" si="154"/>
        <v>1900</v>
      </c>
      <c r="N806" t="str">
        <f ca="1">IF(COUNTIFS(A$2:A806,A806,O$2:O806,O806)&gt;1,"Repeat","New")</f>
        <v>New</v>
      </c>
      <c r="O806" s="2" t="e">
        <f t="shared" ca="1" si="144"/>
        <v>#VALUE!</v>
      </c>
      <c r="P806" s="3" t="e">
        <f t="shared" ca="1" si="145"/>
        <v>#VALUE!</v>
      </c>
      <c r="Q806" s="6" t="str">
        <f t="shared" si="146"/>
        <v>Jan-00</v>
      </c>
      <c r="R806" s="6" t="str">
        <f t="shared" si="147"/>
        <v>Q1</v>
      </c>
      <c r="S806" s="6">
        <f t="shared" si="148"/>
        <v>1900</v>
      </c>
      <c r="T806" s="6" t="str">
        <f t="shared" si="149"/>
        <v>Retail</v>
      </c>
    </row>
    <row r="807" spans="8:20" x14ac:dyDescent="0.3">
      <c r="H807">
        <f t="shared" si="155"/>
        <v>0</v>
      </c>
      <c r="I807">
        <f t="shared" si="150"/>
        <v>0</v>
      </c>
      <c r="J807">
        <f t="shared" si="151"/>
        <v>0</v>
      </c>
      <c r="K807" t="str">
        <f t="shared" si="152"/>
        <v>January</v>
      </c>
      <c r="L807" t="str">
        <f t="shared" si="153"/>
        <v>Q1</v>
      </c>
      <c r="M807" s="2">
        <f t="shared" si="154"/>
        <v>1900</v>
      </c>
      <c r="N807" t="str">
        <f ca="1">IF(COUNTIFS(A$2:A807,A807,O$2:O807,O807)&gt;1,"Repeat","New")</f>
        <v>New</v>
      </c>
      <c r="O807" s="2" t="e">
        <f t="shared" ca="1" si="144"/>
        <v>#VALUE!</v>
      </c>
      <c r="P807" s="3" t="e">
        <f t="shared" ca="1" si="145"/>
        <v>#VALUE!</v>
      </c>
      <c r="Q807" s="6" t="str">
        <f t="shared" si="146"/>
        <v>Jan-00</v>
      </c>
      <c r="R807" s="6" t="str">
        <f t="shared" si="147"/>
        <v>Q1</v>
      </c>
      <c r="S807" s="6">
        <f t="shared" si="148"/>
        <v>1900</v>
      </c>
      <c r="T807" s="6" t="str">
        <f t="shared" si="149"/>
        <v>Retail</v>
      </c>
    </row>
    <row r="808" spans="8:20" x14ac:dyDescent="0.3">
      <c r="H808">
        <f t="shared" si="155"/>
        <v>0</v>
      </c>
      <c r="I808">
        <f t="shared" si="150"/>
        <v>0</v>
      </c>
      <c r="J808">
        <f t="shared" si="151"/>
        <v>0</v>
      </c>
      <c r="K808" t="str">
        <f t="shared" si="152"/>
        <v>January</v>
      </c>
      <c r="L808" t="str">
        <f t="shared" si="153"/>
        <v>Q1</v>
      </c>
      <c r="M808" s="2">
        <f t="shared" si="154"/>
        <v>1900</v>
      </c>
      <c r="N808" t="str">
        <f ca="1">IF(COUNTIFS(A$2:A808,A808,O$2:O808,O808)&gt;1,"Repeat","New")</f>
        <v>New</v>
      </c>
      <c r="O808" s="2" t="e">
        <f t="shared" ca="1" si="144"/>
        <v>#VALUE!</v>
      </c>
      <c r="P808" s="3" t="e">
        <f t="shared" ca="1" si="145"/>
        <v>#VALUE!</v>
      </c>
      <c r="Q808" s="6" t="str">
        <f t="shared" si="146"/>
        <v>Jan-00</v>
      </c>
      <c r="R808" s="6" t="str">
        <f t="shared" si="147"/>
        <v>Q1</v>
      </c>
      <c r="S808" s="6">
        <f t="shared" si="148"/>
        <v>1900</v>
      </c>
      <c r="T808" s="6" t="str">
        <f t="shared" si="149"/>
        <v>Retail</v>
      </c>
    </row>
    <row r="809" spans="8:20" x14ac:dyDescent="0.3">
      <c r="H809">
        <f t="shared" si="155"/>
        <v>0</v>
      </c>
      <c r="I809">
        <f t="shared" si="150"/>
        <v>0</v>
      </c>
      <c r="J809">
        <f t="shared" si="151"/>
        <v>0</v>
      </c>
      <c r="K809" t="str">
        <f t="shared" si="152"/>
        <v>January</v>
      </c>
      <c r="L809" t="str">
        <f t="shared" si="153"/>
        <v>Q1</v>
      </c>
      <c r="M809" s="2">
        <f t="shared" si="154"/>
        <v>1900</v>
      </c>
      <c r="N809" t="str">
        <f ca="1">IF(COUNTIFS(A$2:A809,A809,O$2:O809,O809)&gt;1,"Repeat","New")</f>
        <v>New</v>
      </c>
      <c r="O809" s="2" t="e">
        <f t="shared" ca="1" si="144"/>
        <v>#VALUE!</v>
      </c>
      <c r="P809" s="3" t="e">
        <f t="shared" ca="1" si="145"/>
        <v>#VALUE!</v>
      </c>
      <c r="Q809" s="6" t="str">
        <f t="shared" si="146"/>
        <v>Jan-00</v>
      </c>
      <c r="R809" s="6" t="str">
        <f t="shared" si="147"/>
        <v>Q1</v>
      </c>
      <c r="S809" s="6">
        <f t="shared" si="148"/>
        <v>1900</v>
      </c>
      <c r="T809" s="6" t="str">
        <f t="shared" si="149"/>
        <v>Retail</v>
      </c>
    </row>
    <row r="810" spans="8:20" x14ac:dyDescent="0.3">
      <c r="H810">
        <f t="shared" si="155"/>
        <v>0</v>
      </c>
      <c r="I810">
        <f t="shared" si="150"/>
        <v>0</v>
      </c>
      <c r="J810">
        <f t="shared" si="151"/>
        <v>0</v>
      </c>
      <c r="K810" t="str">
        <f t="shared" si="152"/>
        <v>January</v>
      </c>
      <c r="L810" t="str">
        <f t="shared" si="153"/>
        <v>Q1</v>
      </c>
      <c r="M810" s="2">
        <f t="shared" si="154"/>
        <v>1900</v>
      </c>
      <c r="N810" t="str">
        <f ca="1">IF(COUNTIFS(A$2:A810,A810,O$2:O810,O810)&gt;1,"Repeat","New")</f>
        <v>New</v>
      </c>
      <c r="O810" s="2" t="e">
        <f t="shared" ca="1" si="144"/>
        <v>#VALUE!</v>
      </c>
      <c r="P810" s="3" t="e">
        <f t="shared" ca="1" si="145"/>
        <v>#VALUE!</v>
      </c>
      <c r="Q810" s="6" t="str">
        <f t="shared" si="146"/>
        <v>Jan-00</v>
      </c>
      <c r="R810" s="6" t="str">
        <f t="shared" si="147"/>
        <v>Q1</v>
      </c>
      <c r="S810" s="6">
        <f t="shared" si="148"/>
        <v>1900</v>
      </c>
      <c r="T810" s="6" t="str">
        <f t="shared" si="149"/>
        <v>Retail</v>
      </c>
    </row>
    <row r="811" spans="8:20" x14ac:dyDescent="0.3">
      <c r="H811">
        <f t="shared" si="155"/>
        <v>0</v>
      </c>
      <c r="I811">
        <f t="shared" si="150"/>
        <v>0</v>
      </c>
      <c r="J811">
        <f t="shared" si="151"/>
        <v>0</v>
      </c>
      <c r="K811" t="str">
        <f t="shared" si="152"/>
        <v>January</v>
      </c>
      <c r="L811" t="str">
        <f t="shared" si="153"/>
        <v>Q1</v>
      </c>
      <c r="M811" s="2">
        <f t="shared" si="154"/>
        <v>1900</v>
      </c>
      <c r="N811" t="str">
        <f ca="1">IF(COUNTIFS(A$2:A811,A811,O$2:O811,O811)&gt;1,"Repeat","New")</f>
        <v>New</v>
      </c>
      <c r="O811" s="2" t="e">
        <f t="shared" ca="1" si="144"/>
        <v>#VALUE!</v>
      </c>
      <c r="P811" s="3" t="e">
        <f t="shared" ca="1" si="145"/>
        <v>#VALUE!</v>
      </c>
      <c r="Q811" s="6" t="str">
        <f t="shared" si="146"/>
        <v>Jan-00</v>
      </c>
      <c r="R811" s="6" t="str">
        <f t="shared" si="147"/>
        <v>Q1</v>
      </c>
      <c r="S811" s="6">
        <f t="shared" si="148"/>
        <v>1900</v>
      </c>
      <c r="T811" s="6" t="str">
        <f t="shared" si="149"/>
        <v>Retail</v>
      </c>
    </row>
    <row r="812" spans="8:20" x14ac:dyDescent="0.3">
      <c r="H812">
        <f t="shared" si="155"/>
        <v>0</v>
      </c>
      <c r="I812">
        <f t="shared" si="150"/>
        <v>0</v>
      </c>
      <c r="J812">
        <f t="shared" si="151"/>
        <v>0</v>
      </c>
      <c r="K812" t="str">
        <f t="shared" si="152"/>
        <v>January</v>
      </c>
      <c r="L812" t="str">
        <f t="shared" si="153"/>
        <v>Q1</v>
      </c>
      <c r="M812" s="2">
        <f t="shared" si="154"/>
        <v>1900</v>
      </c>
      <c r="N812" t="str">
        <f ca="1">IF(COUNTIFS(A$2:A812,A812,O$2:O812,O812)&gt;1,"Repeat","New")</f>
        <v>New</v>
      </c>
      <c r="O812" s="2" t="e">
        <f t="shared" ca="1" si="144"/>
        <v>#VALUE!</v>
      </c>
      <c r="P812" s="3" t="e">
        <f t="shared" ca="1" si="145"/>
        <v>#VALUE!</v>
      </c>
      <c r="Q812" s="6" t="str">
        <f t="shared" si="146"/>
        <v>Jan-00</v>
      </c>
      <c r="R812" s="6" t="str">
        <f t="shared" si="147"/>
        <v>Q1</v>
      </c>
      <c r="S812" s="6">
        <f t="shared" si="148"/>
        <v>1900</v>
      </c>
      <c r="T812" s="6" t="str">
        <f t="shared" si="149"/>
        <v>Retail</v>
      </c>
    </row>
    <row r="813" spans="8:20" x14ac:dyDescent="0.3">
      <c r="H813">
        <f t="shared" si="155"/>
        <v>0</v>
      </c>
      <c r="I813">
        <f t="shared" si="150"/>
        <v>0</v>
      </c>
      <c r="J813">
        <f t="shared" si="151"/>
        <v>0</v>
      </c>
      <c r="K813" t="str">
        <f t="shared" si="152"/>
        <v>January</v>
      </c>
      <c r="L813" t="str">
        <f t="shared" si="153"/>
        <v>Q1</v>
      </c>
      <c r="M813" s="2">
        <f t="shared" si="154"/>
        <v>1900</v>
      </c>
      <c r="N813" t="str">
        <f ca="1">IF(COUNTIFS(A$2:A813,A813,O$2:O813,O813)&gt;1,"Repeat","New")</f>
        <v>New</v>
      </c>
      <c r="O813" s="2" t="e">
        <f t="shared" ca="1" si="144"/>
        <v>#VALUE!</v>
      </c>
      <c r="P813" s="3" t="e">
        <f t="shared" ca="1" si="145"/>
        <v>#VALUE!</v>
      </c>
      <c r="Q813" s="6" t="str">
        <f t="shared" si="146"/>
        <v>Jan-00</v>
      </c>
      <c r="R813" s="6" t="str">
        <f t="shared" si="147"/>
        <v>Q1</v>
      </c>
      <c r="S813" s="6">
        <f t="shared" si="148"/>
        <v>1900</v>
      </c>
      <c r="T813" s="6" t="str">
        <f t="shared" si="149"/>
        <v>Retail</v>
      </c>
    </row>
    <row r="814" spans="8:20" x14ac:dyDescent="0.3">
      <c r="H814">
        <f t="shared" si="155"/>
        <v>0</v>
      </c>
      <c r="I814">
        <f t="shared" si="150"/>
        <v>0</v>
      </c>
      <c r="J814">
        <f t="shared" si="151"/>
        <v>0</v>
      </c>
      <c r="K814" t="str">
        <f t="shared" si="152"/>
        <v>January</v>
      </c>
      <c r="L814" t="str">
        <f t="shared" si="153"/>
        <v>Q1</v>
      </c>
      <c r="M814" s="2">
        <f t="shared" si="154"/>
        <v>1900</v>
      </c>
      <c r="N814" t="str">
        <f ca="1">IF(COUNTIFS(A$2:A814,A814,O$2:O814,O814)&gt;1,"Repeat","New")</f>
        <v>New</v>
      </c>
      <c r="O814" s="2" t="e">
        <f t="shared" ca="1" si="144"/>
        <v>#VALUE!</v>
      </c>
      <c r="P814" s="3" t="e">
        <f t="shared" ca="1" si="145"/>
        <v>#VALUE!</v>
      </c>
      <c r="Q814" s="6" t="str">
        <f t="shared" si="146"/>
        <v>Jan-00</v>
      </c>
      <c r="R814" s="6" t="str">
        <f t="shared" si="147"/>
        <v>Q1</v>
      </c>
      <c r="S814" s="6">
        <f t="shared" si="148"/>
        <v>1900</v>
      </c>
      <c r="T814" s="6" t="str">
        <f t="shared" si="149"/>
        <v>Retail</v>
      </c>
    </row>
    <row r="815" spans="8:20" x14ac:dyDescent="0.3">
      <c r="H815">
        <f t="shared" si="155"/>
        <v>0</v>
      </c>
      <c r="I815">
        <f t="shared" si="150"/>
        <v>0</v>
      </c>
      <c r="J815">
        <f t="shared" si="151"/>
        <v>0</v>
      </c>
      <c r="K815" t="str">
        <f t="shared" si="152"/>
        <v>January</v>
      </c>
      <c r="L815" t="str">
        <f t="shared" si="153"/>
        <v>Q1</v>
      </c>
      <c r="M815" s="2">
        <f t="shared" si="154"/>
        <v>1900</v>
      </c>
      <c r="N815" t="str">
        <f ca="1">IF(COUNTIFS(A$2:A815,A815,O$2:O815,O815)&gt;1,"Repeat","New")</f>
        <v>New</v>
      </c>
      <c r="O815" s="2" t="e">
        <f t="shared" ca="1" si="144"/>
        <v>#VALUE!</v>
      </c>
      <c r="P815" s="3" t="e">
        <f t="shared" ca="1" si="145"/>
        <v>#VALUE!</v>
      </c>
      <c r="Q815" s="6" t="str">
        <f t="shared" si="146"/>
        <v>Jan-00</v>
      </c>
      <c r="R815" s="6" t="str">
        <f t="shared" si="147"/>
        <v>Q1</v>
      </c>
      <c r="S815" s="6">
        <f t="shared" si="148"/>
        <v>1900</v>
      </c>
      <c r="T815" s="6" t="str">
        <f t="shared" si="149"/>
        <v>Retail</v>
      </c>
    </row>
    <row r="816" spans="8:20" x14ac:dyDescent="0.3">
      <c r="H816">
        <f t="shared" si="155"/>
        <v>0</v>
      </c>
      <c r="I816">
        <f t="shared" si="150"/>
        <v>0</v>
      </c>
      <c r="J816">
        <f t="shared" si="151"/>
        <v>0</v>
      </c>
      <c r="K816" t="str">
        <f t="shared" si="152"/>
        <v>January</v>
      </c>
      <c r="L816" t="str">
        <f t="shared" si="153"/>
        <v>Q1</v>
      </c>
      <c r="M816" s="2">
        <f t="shared" si="154"/>
        <v>1900</v>
      </c>
      <c r="N816" t="str">
        <f ca="1">IF(COUNTIFS(A$2:A816,A816,O$2:O816,O816)&gt;1,"Repeat","New")</f>
        <v>New</v>
      </c>
      <c r="O816" s="2" t="e">
        <f t="shared" ca="1" si="144"/>
        <v>#VALUE!</v>
      </c>
      <c r="P816" s="3" t="e">
        <f t="shared" ca="1" si="145"/>
        <v>#VALUE!</v>
      </c>
      <c r="Q816" s="6" t="str">
        <f t="shared" si="146"/>
        <v>Jan-00</v>
      </c>
      <c r="R816" s="6" t="str">
        <f t="shared" si="147"/>
        <v>Q1</v>
      </c>
      <c r="S816" s="6">
        <f t="shared" si="148"/>
        <v>1900</v>
      </c>
      <c r="T816" s="6" t="str">
        <f t="shared" si="149"/>
        <v>Retail</v>
      </c>
    </row>
    <row r="817" spans="8:20" x14ac:dyDescent="0.3">
      <c r="H817">
        <f t="shared" si="155"/>
        <v>0</v>
      </c>
      <c r="I817">
        <f t="shared" si="150"/>
        <v>0</v>
      </c>
      <c r="J817">
        <f t="shared" si="151"/>
        <v>0</v>
      </c>
      <c r="K817" t="str">
        <f t="shared" si="152"/>
        <v>January</v>
      </c>
      <c r="L817" t="str">
        <f t="shared" si="153"/>
        <v>Q1</v>
      </c>
      <c r="M817" s="2">
        <f t="shared" si="154"/>
        <v>1900</v>
      </c>
      <c r="N817" t="str">
        <f ca="1">IF(COUNTIFS(A$2:A817,A817,O$2:O817,O817)&gt;1,"Repeat","New")</f>
        <v>New</v>
      </c>
      <c r="O817" s="2" t="e">
        <f t="shared" ca="1" si="144"/>
        <v>#VALUE!</v>
      </c>
      <c r="P817" s="3" t="e">
        <f t="shared" ca="1" si="145"/>
        <v>#VALUE!</v>
      </c>
      <c r="Q817" s="6" t="str">
        <f t="shared" si="146"/>
        <v>Jan-00</v>
      </c>
      <c r="R817" s="6" t="str">
        <f t="shared" si="147"/>
        <v>Q1</v>
      </c>
      <c r="S817" s="6">
        <f t="shared" si="148"/>
        <v>1900</v>
      </c>
      <c r="T817" s="6" t="str">
        <f t="shared" si="149"/>
        <v>Retail</v>
      </c>
    </row>
    <row r="818" spans="8:20" x14ac:dyDescent="0.3">
      <c r="H818">
        <f t="shared" si="155"/>
        <v>0</v>
      </c>
      <c r="I818">
        <f t="shared" si="150"/>
        <v>0</v>
      </c>
      <c r="J818">
        <f t="shared" si="151"/>
        <v>0</v>
      </c>
      <c r="K818" t="str">
        <f t="shared" si="152"/>
        <v>January</v>
      </c>
      <c r="L818" t="str">
        <f t="shared" si="153"/>
        <v>Q1</v>
      </c>
      <c r="M818" s="2">
        <f t="shared" si="154"/>
        <v>1900</v>
      </c>
      <c r="N818" t="str">
        <f ca="1">IF(COUNTIFS(A$2:A818,A818,O$2:O818,O818)&gt;1,"Repeat","New")</f>
        <v>New</v>
      </c>
      <c r="O818" s="2" t="e">
        <f t="shared" ca="1" si="144"/>
        <v>#VALUE!</v>
      </c>
      <c r="P818" s="3" t="e">
        <f t="shared" ca="1" si="145"/>
        <v>#VALUE!</v>
      </c>
      <c r="Q818" s="6" t="str">
        <f t="shared" si="146"/>
        <v>Jan-00</v>
      </c>
      <c r="R818" s="6" t="str">
        <f t="shared" si="147"/>
        <v>Q1</v>
      </c>
      <c r="S818" s="6">
        <f t="shared" si="148"/>
        <v>1900</v>
      </c>
      <c r="T818" s="6" t="str">
        <f t="shared" si="149"/>
        <v>Retail</v>
      </c>
    </row>
    <row r="819" spans="8:20" x14ac:dyDescent="0.3">
      <c r="H819">
        <f t="shared" si="155"/>
        <v>0</v>
      </c>
      <c r="I819">
        <f t="shared" si="150"/>
        <v>0</v>
      </c>
      <c r="J819">
        <f t="shared" si="151"/>
        <v>0</v>
      </c>
      <c r="K819" t="str">
        <f t="shared" si="152"/>
        <v>January</v>
      </c>
      <c r="L819" t="str">
        <f t="shared" si="153"/>
        <v>Q1</v>
      </c>
      <c r="M819" s="2">
        <f t="shared" si="154"/>
        <v>1900</v>
      </c>
      <c r="N819" t="str">
        <f ca="1">IF(COUNTIFS(A$2:A819,A819,O$2:O819,O819)&gt;1,"Repeat","New")</f>
        <v>New</v>
      </c>
      <c r="O819" s="2" t="e">
        <f t="shared" ca="1" si="144"/>
        <v>#VALUE!</v>
      </c>
      <c r="P819" s="3" t="e">
        <f t="shared" ca="1" si="145"/>
        <v>#VALUE!</v>
      </c>
      <c r="Q819" s="6" t="str">
        <f t="shared" si="146"/>
        <v>Jan-00</v>
      </c>
      <c r="R819" s="6" t="str">
        <f t="shared" si="147"/>
        <v>Q1</v>
      </c>
      <c r="S819" s="6">
        <f t="shared" si="148"/>
        <v>1900</v>
      </c>
      <c r="T819" s="6" t="str">
        <f t="shared" si="149"/>
        <v>Retail</v>
      </c>
    </row>
    <row r="820" spans="8:20" x14ac:dyDescent="0.3">
      <c r="H820">
        <f t="shared" si="155"/>
        <v>0</v>
      </c>
      <c r="I820">
        <f t="shared" si="150"/>
        <v>0</v>
      </c>
      <c r="J820">
        <f t="shared" si="151"/>
        <v>0</v>
      </c>
      <c r="K820" t="str">
        <f t="shared" si="152"/>
        <v>January</v>
      </c>
      <c r="L820" t="str">
        <f t="shared" si="153"/>
        <v>Q1</v>
      </c>
      <c r="M820" s="2">
        <f t="shared" si="154"/>
        <v>1900</v>
      </c>
      <c r="N820" t="str">
        <f ca="1">IF(COUNTIFS(A$2:A820,A820,O$2:O820,O820)&gt;1,"Repeat","New")</f>
        <v>New</v>
      </c>
      <c r="O820" s="2" t="e">
        <f t="shared" ca="1" si="144"/>
        <v>#VALUE!</v>
      </c>
      <c r="P820" s="3" t="e">
        <f t="shared" ca="1" si="145"/>
        <v>#VALUE!</v>
      </c>
      <c r="Q820" s="6" t="str">
        <f t="shared" si="146"/>
        <v>Jan-00</v>
      </c>
      <c r="R820" s="6" t="str">
        <f t="shared" si="147"/>
        <v>Q1</v>
      </c>
      <c r="S820" s="6">
        <f t="shared" si="148"/>
        <v>1900</v>
      </c>
      <c r="T820" s="6" t="str">
        <f t="shared" si="149"/>
        <v>Retail</v>
      </c>
    </row>
    <row r="821" spans="8:20" x14ac:dyDescent="0.3">
      <c r="H821">
        <f t="shared" si="155"/>
        <v>0</v>
      </c>
      <c r="I821">
        <f t="shared" si="150"/>
        <v>0</v>
      </c>
      <c r="J821">
        <f t="shared" si="151"/>
        <v>0</v>
      </c>
      <c r="K821" t="str">
        <f t="shared" si="152"/>
        <v>January</v>
      </c>
      <c r="L821" t="str">
        <f t="shared" si="153"/>
        <v>Q1</v>
      </c>
      <c r="M821" s="2">
        <f t="shared" si="154"/>
        <v>1900</v>
      </c>
      <c r="N821" t="str">
        <f ca="1">IF(COUNTIFS(A$2:A821,A821,O$2:O821,O821)&gt;1,"Repeat","New")</f>
        <v>New</v>
      </c>
      <c r="O821" s="2" t="e">
        <f t="shared" ca="1" si="144"/>
        <v>#VALUE!</v>
      </c>
      <c r="P821" s="3" t="e">
        <f t="shared" ca="1" si="145"/>
        <v>#VALUE!</v>
      </c>
      <c r="Q821" s="6" t="str">
        <f t="shared" si="146"/>
        <v>Jan-00</v>
      </c>
      <c r="R821" s="6" t="str">
        <f t="shared" si="147"/>
        <v>Q1</v>
      </c>
      <c r="S821" s="6">
        <f t="shared" si="148"/>
        <v>1900</v>
      </c>
      <c r="T821" s="6" t="str">
        <f t="shared" si="149"/>
        <v>Retail</v>
      </c>
    </row>
    <row r="822" spans="8:20" x14ac:dyDescent="0.3">
      <c r="H822">
        <f t="shared" si="155"/>
        <v>0</v>
      </c>
      <c r="I822">
        <f t="shared" si="150"/>
        <v>0</v>
      </c>
      <c r="J822">
        <f t="shared" si="151"/>
        <v>0</v>
      </c>
      <c r="K822" t="str">
        <f t="shared" si="152"/>
        <v>January</v>
      </c>
      <c r="L822" t="str">
        <f t="shared" si="153"/>
        <v>Q1</v>
      </c>
      <c r="M822" s="2">
        <f t="shared" si="154"/>
        <v>1900</v>
      </c>
      <c r="N822" t="str">
        <f ca="1">IF(COUNTIFS(A$2:A822,A822,O$2:O822,O822)&gt;1,"Repeat","New")</f>
        <v>New</v>
      </c>
      <c r="O822" s="2" t="e">
        <f t="shared" ref="O822:O885" ca="1" si="156">M822-N822</f>
        <v>#VALUE!</v>
      </c>
      <c r="P822" s="3" t="e">
        <f t="shared" ref="P822:P885" ca="1" si="157">IF(M822&gt;0,O822/M822,0)</f>
        <v>#VALUE!</v>
      </c>
      <c r="Q822" s="6" t="str">
        <f t="shared" ref="Q822:Q885" si="158">TEXT(B822, "mmm-yy")</f>
        <v>Jan-00</v>
      </c>
      <c r="R822" s="6" t="str">
        <f t="shared" ref="R822:R885" si="159">"Q"&amp;INT((MONTH(B822)-1)/3)+1</f>
        <v>Q1</v>
      </c>
      <c r="S822" s="6">
        <f t="shared" ref="S822:S885" si="160">YEAR(B822)</f>
        <v>1900</v>
      </c>
      <c r="T822" s="6" t="str">
        <f t="shared" ref="T822:T885" si="161">IF(M822&gt;5000, "Enterprise", "Retail")</f>
        <v>Retail</v>
      </c>
    </row>
    <row r="823" spans="8:20" x14ac:dyDescent="0.3">
      <c r="H823">
        <f t="shared" si="155"/>
        <v>0</v>
      </c>
      <c r="I823">
        <f t="shared" si="150"/>
        <v>0</v>
      </c>
      <c r="J823">
        <f t="shared" si="151"/>
        <v>0</v>
      </c>
      <c r="K823" t="str">
        <f t="shared" si="152"/>
        <v>January</v>
      </c>
      <c r="L823" t="str">
        <f t="shared" si="153"/>
        <v>Q1</v>
      </c>
      <c r="M823" s="2">
        <f t="shared" si="154"/>
        <v>1900</v>
      </c>
      <c r="N823" t="str">
        <f ca="1">IF(COUNTIFS(A$2:A823,A823,O$2:O823,O823)&gt;1,"Repeat","New")</f>
        <v>New</v>
      </c>
      <c r="O823" s="2" t="e">
        <f t="shared" ca="1" si="156"/>
        <v>#VALUE!</v>
      </c>
      <c r="P823" s="3" t="e">
        <f t="shared" ca="1" si="157"/>
        <v>#VALUE!</v>
      </c>
      <c r="Q823" s="6" t="str">
        <f t="shared" si="158"/>
        <v>Jan-00</v>
      </c>
      <c r="R823" s="6" t="str">
        <f t="shared" si="159"/>
        <v>Q1</v>
      </c>
      <c r="S823" s="6">
        <f t="shared" si="160"/>
        <v>1900</v>
      </c>
      <c r="T823" s="6" t="str">
        <f t="shared" si="161"/>
        <v>Retail</v>
      </c>
    </row>
    <row r="824" spans="8:20" x14ac:dyDescent="0.3">
      <c r="H824">
        <f t="shared" si="155"/>
        <v>0</v>
      </c>
      <c r="I824">
        <f t="shared" si="150"/>
        <v>0</v>
      </c>
      <c r="J824">
        <f t="shared" si="151"/>
        <v>0</v>
      </c>
      <c r="K824" t="str">
        <f t="shared" si="152"/>
        <v>January</v>
      </c>
      <c r="L824" t="str">
        <f t="shared" si="153"/>
        <v>Q1</v>
      </c>
      <c r="M824" s="2">
        <f t="shared" si="154"/>
        <v>1900</v>
      </c>
      <c r="N824" t="str">
        <f ca="1">IF(COUNTIFS(A$2:A824,A824,O$2:O824,O824)&gt;1,"Repeat","New")</f>
        <v>New</v>
      </c>
      <c r="O824" s="2" t="e">
        <f t="shared" ca="1" si="156"/>
        <v>#VALUE!</v>
      </c>
      <c r="P824" s="3" t="e">
        <f t="shared" ca="1" si="157"/>
        <v>#VALUE!</v>
      </c>
      <c r="Q824" s="6" t="str">
        <f t="shared" si="158"/>
        <v>Jan-00</v>
      </c>
      <c r="R824" s="6" t="str">
        <f t="shared" si="159"/>
        <v>Q1</v>
      </c>
      <c r="S824" s="6">
        <f t="shared" si="160"/>
        <v>1900</v>
      </c>
      <c r="T824" s="6" t="str">
        <f t="shared" si="161"/>
        <v>Retail</v>
      </c>
    </row>
    <row r="825" spans="8:20" x14ac:dyDescent="0.3">
      <c r="H825">
        <f t="shared" si="155"/>
        <v>0</v>
      </c>
      <c r="I825">
        <f t="shared" si="150"/>
        <v>0</v>
      </c>
      <c r="J825">
        <f t="shared" si="151"/>
        <v>0</v>
      </c>
      <c r="K825" t="str">
        <f t="shared" si="152"/>
        <v>January</v>
      </c>
      <c r="L825" t="str">
        <f t="shared" si="153"/>
        <v>Q1</v>
      </c>
      <c r="M825" s="2">
        <f t="shared" si="154"/>
        <v>1900</v>
      </c>
      <c r="N825" t="str">
        <f ca="1">IF(COUNTIFS(A$2:A825,A825,O$2:O825,O825)&gt;1,"Repeat","New")</f>
        <v>New</v>
      </c>
      <c r="O825" s="2" t="e">
        <f t="shared" ca="1" si="156"/>
        <v>#VALUE!</v>
      </c>
      <c r="P825" s="3" t="e">
        <f t="shared" ca="1" si="157"/>
        <v>#VALUE!</v>
      </c>
      <c r="Q825" s="6" t="str">
        <f t="shared" si="158"/>
        <v>Jan-00</v>
      </c>
      <c r="R825" s="6" t="str">
        <f t="shared" si="159"/>
        <v>Q1</v>
      </c>
      <c r="S825" s="6">
        <f t="shared" si="160"/>
        <v>1900</v>
      </c>
      <c r="T825" s="6" t="str">
        <f t="shared" si="161"/>
        <v>Retail</v>
      </c>
    </row>
    <row r="826" spans="8:20" x14ac:dyDescent="0.3">
      <c r="H826">
        <f t="shared" si="155"/>
        <v>0</v>
      </c>
      <c r="I826">
        <f t="shared" si="150"/>
        <v>0</v>
      </c>
      <c r="J826">
        <f t="shared" si="151"/>
        <v>0</v>
      </c>
      <c r="K826" t="str">
        <f t="shared" si="152"/>
        <v>January</v>
      </c>
      <c r="L826" t="str">
        <f t="shared" si="153"/>
        <v>Q1</v>
      </c>
      <c r="M826" s="2">
        <f t="shared" si="154"/>
        <v>1900</v>
      </c>
      <c r="N826" t="str">
        <f ca="1">IF(COUNTIFS(A$2:A826,A826,O$2:O826,O826)&gt;1,"Repeat","New")</f>
        <v>New</v>
      </c>
      <c r="O826" s="2" t="e">
        <f t="shared" ca="1" si="156"/>
        <v>#VALUE!</v>
      </c>
      <c r="P826" s="3" t="e">
        <f t="shared" ca="1" si="157"/>
        <v>#VALUE!</v>
      </c>
      <c r="Q826" s="6" t="str">
        <f t="shared" si="158"/>
        <v>Jan-00</v>
      </c>
      <c r="R826" s="6" t="str">
        <f t="shared" si="159"/>
        <v>Q1</v>
      </c>
      <c r="S826" s="6">
        <f t="shared" si="160"/>
        <v>1900</v>
      </c>
      <c r="T826" s="6" t="str">
        <f t="shared" si="161"/>
        <v>Retail</v>
      </c>
    </row>
    <row r="827" spans="8:20" x14ac:dyDescent="0.3">
      <c r="H827">
        <f t="shared" si="155"/>
        <v>0</v>
      </c>
      <c r="I827">
        <f t="shared" si="150"/>
        <v>0</v>
      </c>
      <c r="J827">
        <f t="shared" si="151"/>
        <v>0</v>
      </c>
      <c r="K827" t="str">
        <f t="shared" si="152"/>
        <v>January</v>
      </c>
      <c r="L827" t="str">
        <f t="shared" si="153"/>
        <v>Q1</v>
      </c>
      <c r="M827" s="2">
        <f t="shared" si="154"/>
        <v>1900</v>
      </c>
      <c r="N827" t="str">
        <f ca="1">IF(COUNTIFS(A$2:A827,A827,O$2:O827,O827)&gt;1,"Repeat","New")</f>
        <v>New</v>
      </c>
      <c r="O827" s="2" t="e">
        <f t="shared" ca="1" si="156"/>
        <v>#VALUE!</v>
      </c>
      <c r="P827" s="3" t="e">
        <f t="shared" ca="1" si="157"/>
        <v>#VALUE!</v>
      </c>
      <c r="Q827" s="6" t="str">
        <f t="shared" si="158"/>
        <v>Jan-00</v>
      </c>
      <c r="R827" s="6" t="str">
        <f t="shared" si="159"/>
        <v>Q1</v>
      </c>
      <c r="S827" s="6">
        <f t="shared" si="160"/>
        <v>1900</v>
      </c>
      <c r="T827" s="6" t="str">
        <f t="shared" si="161"/>
        <v>Retail</v>
      </c>
    </row>
    <row r="828" spans="8:20" x14ac:dyDescent="0.3">
      <c r="H828">
        <f t="shared" si="155"/>
        <v>0</v>
      </c>
      <c r="I828">
        <f t="shared" si="150"/>
        <v>0</v>
      </c>
      <c r="J828">
        <f t="shared" si="151"/>
        <v>0</v>
      </c>
      <c r="K828" t="str">
        <f t="shared" si="152"/>
        <v>January</v>
      </c>
      <c r="L828" t="str">
        <f t="shared" si="153"/>
        <v>Q1</v>
      </c>
      <c r="M828" s="2">
        <f t="shared" si="154"/>
        <v>1900</v>
      </c>
      <c r="N828" t="str">
        <f ca="1">IF(COUNTIFS(A$2:A828,A828,O$2:O828,O828)&gt;1,"Repeat","New")</f>
        <v>New</v>
      </c>
      <c r="O828" s="2" t="e">
        <f t="shared" ca="1" si="156"/>
        <v>#VALUE!</v>
      </c>
      <c r="P828" s="3" t="e">
        <f t="shared" ca="1" si="157"/>
        <v>#VALUE!</v>
      </c>
      <c r="Q828" s="6" t="str">
        <f t="shared" si="158"/>
        <v>Jan-00</v>
      </c>
      <c r="R828" s="6" t="str">
        <f t="shared" si="159"/>
        <v>Q1</v>
      </c>
      <c r="S828" s="6">
        <f t="shared" si="160"/>
        <v>1900</v>
      </c>
      <c r="T828" s="6" t="str">
        <f t="shared" si="161"/>
        <v>Retail</v>
      </c>
    </row>
    <row r="829" spans="8:20" x14ac:dyDescent="0.3">
      <c r="H829">
        <f t="shared" si="155"/>
        <v>0</v>
      </c>
      <c r="I829">
        <f t="shared" si="150"/>
        <v>0</v>
      </c>
      <c r="J829">
        <f t="shared" si="151"/>
        <v>0</v>
      </c>
      <c r="K829" t="str">
        <f t="shared" si="152"/>
        <v>January</v>
      </c>
      <c r="L829" t="str">
        <f t="shared" si="153"/>
        <v>Q1</v>
      </c>
      <c r="M829" s="2">
        <f t="shared" si="154"/>
        <v>1900</v>
      </c>
      <c r="N829" t="str">
        <f ca="1">IF(COUNTIFS(A$2:A829,A829,O$2:O829,O829)&gt;1,"Repeat","New")</f>
        <v>New</v>
      </c>
      <c r="O829" s="2" t="e">
        <f t="shared" ca="1" si="156"/>
        <v>#VALUE!</v>
      </c>
      <c r="P829" s="3" t="e">
        <f t="shared" ca="1" si="157"/>
        <v>#VALUE!</v>
      </c>
      <c r="Q829" s="6" t="str">
        <f t="shared" si="158"/>
        <v>Jan-00</v>
      </c>
      <c r="R829" s="6" t="str">
        <f t="shared" si="159"/>
        <v>Q1</v>
      </c>
      <c r="S829" s="6">
        <f t="shared" si="160"/>
        <v>1900</v>
      </c>
      <c r="T829" s="6" t="str">
        <f t="shared" si="161"/>
        <v>Retail</v>
      </c>
    </row>
    <row r="830" spans="8:20" x14ac:dyDescent="0.3">
      <c r="H830">
        <f t="shared" si="155"/>
        <v>0</v>
      </c>
      <c r="I830">
        <f t="shared" si="150"/>
        <v>0</v>
      </c>
      <c r="J830">
        <f t="shared" si="151"/>
        <v>0</v>
      </c>
      <c r="K830" t="str">
        <f t="shared" si="152"/>
        <v>January</v>
      </c>
      <c r="L830" t="str">
        <f t="shared" si="153"/>
        <v>Q1</v>
      </c>
      <c r="M830" s="2">
        <f t="shared" si="154"/>
        <v>1900</v>
      </c>
      <c r="N830" t="str">
        <f ca="1">IF(COUNTIFS(A$2:A830,A830,O$2:O830,O830)&gt;1,"Repeat","New")</f>
        <v>New</v>
      </c>
      <c r="O830" s="2" t="e">
        <f t="shared" ca="1" si="156"/>
        <v>#VALUE!</v>
      </c>
      <c r="P830" s="3" t="e">
        <f t="shared" ca="1" si="157"/>
        <v>#VALUE!</v>
      </c>
      <c r="Q830" s="6" t="str">
        <f t="shared" si="158"/>
        <v>Jan-00</v>
      </c>
      <c r="R830" s="6" t="str">
        <f t="shared" si="159"/>
        <v>Q1</v>
      </c>
      <c r="S830" s="6">
        <f t="shared" si="160"/>
        <v>1900</v>
      </c>
      <c r="T830" s="6" t="str">
        <f t="shared" si="161"/>
        <v>Retail</v>
      </c>
    </row>
    <row r="831" spans="8:20" x14ac:dyDescent="0.3">
      <c r="H831">
        <f t="shared" si="155"/>
        <v>0</v>
      </c>
      <c r="I831">
        <f t="shared" si="150"/>
        <v>0</v>
      </c>
      <c r="J831">
        <f t="shared" si="151"/>
        <v>0</v>
      </c>
      <c r="K831" t="str">
        <f t="shared" si="152"/>
        <v>January</v>
      </c>
      <c r="L831" t="str">
        <f t="shared" si="153"/>
        <v>Q1</v>
      </c>
      <c r="M831" s="2">
        <f t="shared" si="154"/>
        <v>1900</v>
      </c>
      <c r="N831" t="str">
        <f ca="1">IF(COUNTIFS(A$2:A831,A831,O$2:O831,O831)&gt;1,"Repeat","New")</f>
        <v>New</v>
      </c>
      <c r="O831" s="2" t="e">
        <f t="shared" ca="1" si="156"/>
        <v>#VALUE!</v>
      </c>
      <c r="P831" s="3" t="e">
        <f t="shared" ca="1" si="157"/>
        <v>#VALUE!</v>
      </c>
      <c r="Q831" s="6" t="str">
        <f t="shared" si="158"/>
        <v>Jan-00</v>
      </c>
      <c r="R831" s="6" t="str">
        <f t="shared" si="159"/>
        <v>Q1</v>
      </c>
      <c r="S831" s="6">
        <f t="shared" si="160"/>
        <v>1900</v>
      </c>
      <c r="T831" s="6" t="str">
        <f t="shared" si="161"/>
        <v>Retail</v>
      </c>
    </row>
    <row r="832" spans="8:20" x14ac:dyDescent="0.3">
      <c r="H832">
        <f t="shared" si="155"/>
        <v>0</v>
      </c>
      <c r="I832">
        <f t="shared" si="150"/>
        <v>0</v>
      </c>
      <c r="J832">
        <f t="shared" si="151"/>
        <v>0</v>
      </c>
      <c r="K832" t="str">
        <f t="shared" si="152"/>
        <v>January</v>
      </c>
      <c r="L832" t="str">
        <f t="shared" si="153"/>
        <v>Q1</v>
      </c>
      <c r="M832" s="2">
        <f t="shared" si="154"/>
        <v>1900</v>
      </c>
      <c r="N832" t="str">
        <f ca="1">IF(COUNTIFS(A$2:A832,A832,O$2:O832,O832)&gt;1,"Repeat","New")</f>
        <v>New</v>
      </c>
      <c r="O832" s="2" t="e">
        <f t="shared" ca="1" si="156"/>
        <v>#VALUE!</v>
      </c>
      <c r="P832" s="3" t="e">
        <f t="shared" ca="1" si="157"/>
        <v>#VALUE!</v>
      </c>
      <c r="Q832" s="6" t="str">
        <f t="shared" si="158"/>
        <v>Jan-00</v>
      </c>
      <c r="R832" s="6" t="str">
        <f t="shared" si="159"/>
        <v>Q1</v>
      </c>
      <c r="S832" s="6">
        <f t="shared" si="160"/>
        <v>1900</v>
      </c>
      <c r="T832" s="6" t="str">
        <f t="shared" si="161"/>
        <v>Retail</v>
      </c>
    </row>
    <row r="833" spans="8:20" x14ac:dyDescent="0.3">
      <c r="H833">
        <f t="shared" si="155"/>
        <v>0</v>
      </c>
      <c r="I833">
        <f t="shared" si="150"/>
        <v>0</v>
      </c>
      <c r="J833">
        <f t="shared" si="151"/>
        <v>0</v>
      </c>
      <c r="K833" t="str">
        <f t="shared" si="152"/>
        <v>January</v>
      </c>
      <c r="L833" t="str">
        <f t="shared" si="153"/>
        <v>Q1</v>
      </c>
      <c r="M833" s="2">
        <f t="shared" si="154"/>
        <v>1900</v>
      </c>
      <c r="N833" t="str">
        <f ca="1">IF(COUNTIFS(A$2:A833,A833,O$2:O833,O833)&gt;1,"Repeat","New")</f>
        <v>New</v>
      </c>
      <c r="O833" s="2" t="e">
        <f t="shared" ca="1" si="156"/>
        <v>#VALUE!</v>
      </c>
      <c r="P833" s="3" t="e">
        <f t="shared" ca="1" si="157"/>
        <v>#VALUE!</v>
      </c>
      <c r="Q833" s="6" t="str">
        <f t="shared" si="158"/>
        <v>Jan-00</v>
      </c>
      <c r="R833" s="6" t="str">
        <f t="shared" si="159"/>
        <v>Q1</v>
      </c>
      <c r="S833" s="6">
        <f t="shared" si="160"/>
        <v>1900</v>
      </c>
      <c r="T833" s="6" t="str">
        <f t="shared" si="161"/>
        <v>Retail</v>
      </c>
    </row>
    <row r="834" spans="8:20" x14ac:dyDescent="0.3">
      <c r="H834">
        <f t="shared" si="155"/>
        <v>0</v>
      </c>
      <c r="I834">
        <f t="shared" ref="I834:I897" si="162">H834-(D834*F834)</f>
        <v>0</v>
      </c>
      <c r="J834">
        <f t="shared" ref="J834:J897" si="163">IF(H834&gt;0,I834/H834,0)</f>
        <v>0</v>
      </c>
      <c r="K834" t="str">
        <f t="shared" ref="K834:K897" si="164">TEXT(A834,"mmmm")</f>
        <v>January</v>
      </c>
      <c r="L834" t="str">
        <f t="shared" ref="L834:L897" si="165">"Q"&amp;ROUNDUP(MONTH(A834)/3,0)</f>
        <v>Q1</v>
      </c>
      <c r="M834" s="2">
        <f t="shared" ref="M834:M897" si="166">YEAR(A834)</f>
        <v>1900</v>
      </c>
      <c r="N834" t="str">
        <f ca="1">IF(COUNTIFS(A$2:A834,A834,O$2:O834,O834)&gt;1,"Repeat","New")</f>
        <v>New</v>
      </c>
      <c r="O834" s="2" t="e">
        <f t="shared" ca="1" si="156"/>
        <v>#VALUE!</v>
      </c>
      <c r="P834" s="3" t="e">
        <f t="shared" ca="1" si="157"/>
        <v>#VALUE!</v>
      </c>
      <c r="Q834" s="6" t="str">
        <f t="shared" si="158"/>
        <v>Jan-00</v>
      </c>
      <c r="R834" s="6" t="str">
        <f t="shared" si="159"/>
        <v>Q1</v>
      </c>
      <c r="S834" s="6">
        <f t="shared" si="160"/>
        <v>1900</v>
      </c>
      <c r="T834" s="6" t="str">
        <f t="shared" si="161"/>
        <v>Retail</v>
      </c>
    </row>
    <row r="835" spans="8:20" x14ac:dyDescent="0.3">
      <c r="H835">
        <f t="shared" ref="H835:H898" si="167">(E835*F835)*(1-G835)</f>
        <v>0</v>
      </c>
      <c r="I835">
        <f t="shared" si="162"/>
        <v>0</v>
      </c>
      <c r="J835">
        <f t="shared" si="163"/>
        <v>0</v>
      </c>
      <c r="K835" t="str">
        <f t="shared" si="164"/>
        <v>January</v>
      </c>
      <c r="L835" t="str">
        <f t="shared" si="165"/>
        <v>Q1</v>
      </c>
      <c r="M835" s="2">
        <f t="shared" si="166"/>
        <v>1900</v>
      </c>
      <c r="N835" t="str">
        <f ca="1">IF(COUNTIFS(A$2:A835,A835,O$2:O835,O835)&gt;1,"Repeat","New")</f>
        <v>New</v>
      </c>
      <c r="O835" s="2" t="e">
        <f t="shared" ca="1" si="156"/>
        <v>#VALUE!</v>
      </c>
      <c r="P835" s="3" t="e">
        <f t="shared" ca="1" si="157"/>
        <v>#VALUE!</v>
      </c>
      <c r="Q835" s="6" t="str">
        <f t="shared" si="158"/>
        <v>Jan-00</v>
      </c>
      <c r="R835" s="6" t="str">
        <f t="shared" si="159"/>
        <v>Q1</v>
      </c>
      <c r="S835" s="6">
        <f t="shared" si="160"/>
        <v>1900</v>
      </c>
      <c r="T835" s="6" t="str">
        <f t="shared" si="161"/>
        <v>Retail</v>
      </c>
    </row>
    <row r="836" spans="8:20" x14ac:dyDescent="0.3">
      <c r="H836">
        <f t="shared" si="167"/>
        <v>0</v>
      </c>
      <c r="I836">
        <f t="shared" si="162"/>
        <v>0</v>
      </c>
      <c r="J836">
        <f t="shared" si="163"/>
        <v>0</v>
      </c>
      <c r="K836" t="str">
        <f t="shared" si="164"/>
        <v>January</v>
      </c>
      <c r="L836" t="str">
        <f t="shared" si="165"/>
        <v>Q1</v>
      </c>
      <c r="M836" s="2">
        <f t="shared" si="166"/>
        <v>1900</v>
      </c>
      <c r="N836" t="str">
        <f ca="1">IF(COUNTIFS(A$2:A836,A836,O$2:O836,O836)&gt;1,"Repeat","New")</f>
        <v>New</v>
      </c>
      <c r="O836" s="2" t="e">
        <f t="shared" ca="1" si="156"/>
        <v>#VALUE!</v>
      </c>
      <c r="P836" s="3" t="e">
        <f t="shared" ca="1" si="157"/>
        <v>#VALUE!</v>
      </c>
      <c r="Q836" s="6" t="str">
        <f t="shared" si="158"/>
        <v>Jan-00</v>
      </c>
      <c r="R836" s="6" t="str">
        <f t="shared" si="159"/>
        <v>Q1</v>
      </c>
      <c r="S836" s="6">
        <f t="shared" si="160"/>
        <v>1900</v>
      </c>
      <c r="T836" s="6" t="str">
        <f t="shared" si="161"/>
        <v>Retail</v>
      </c>
    </row>
    <row r="837" spans="8:20" x14ac:dyDescent="0.3">
      <c r="H837">
        <f t="shared" si="167"/>
        <v>0</v>
      </c>
      <c r="I837">
        <f t="shared" si="162"/>
        <v>0</v>
      </c>
      <c r="J837">
        <f t="shared" si="163"/>
        <v>0</v>
      </c>
      <c r="K837" t="str">
        <f t="shared" si="164"/>
        <v>January</v>
      </c>
      <c r="L837" t="str">
        <f t="shared" si="165"/>
        <v>Q1</v>
      </c>
      <c r="M837" s="2">
        <f t="shared" si="166"/>
        <v>1900</v>
      </c>
      <c r="N837" t="str">
        <f ca="1">IF(COUNTIFS(A$2:A837,A837,O$2:O837,O837)&gt;1,"Repeat","New")</f>
        <v>New</v>
      </c>
      <c r="O837" s="2" t="e">
        <f t="shared" ca="1" si="156"/>
        <v>#VALUE!</v>
      </c>
      <c r="P837" s="3" t="e">
        <f t="shared" ca="1" si="157"/>
        <v>#VALUE!</v>
      </c>
      <c r="Q837" s="6" t="str">
        <f t="shared" si="158"/>
        <v>Jan-00</v>
      </c>
      <c r="R837" s="6" t="str">
        <f t="shared" si="159"/>
        <v>Q1</v>
      </c>
      <c r="S837" s="6">
        <f t="shared" si="160"/>
        <v>1900</v>
      </c>
      <c r="T837" s="6" t="str">
        <f t="shared" si="161"/>
        <v>Retail</v>
      </c>
    </row>
    <row r="838" spans="8:20" x14ac:dyDescent="0.3">
      <c r="H838">
        <f t="shared" si="167"/>
        <v>0</v>
      </c>
      <c r="I838">
        <f t="shared" si="162"/>
        <v>0</v>
      </c>
      <c r="J838">
        <f t="shared" si="163"/>
        <v>0</v>
      </c>
      <c r="K838" t="str">
        <f t="shared" si="164"/>
        <v>January</v>
      </c>
      <c r="L838" t="str">
        <f t="shared" si="165"/>
        <v>Q1</v>
      </c>
      <c r="M838" s="2">
        <f t="shared" si="166"/>
        <v>1900</v>
      </c>
      <c r="N838" t="str">
        <f ca="1">IF(COUNTIFS(A$2:A838,A838,O$2:O838,O838)&gt;1,"Repeat","New")</f>
        <v>New</v>
      </c>
      <c r="O838" s="2" t="e">
        <f t="shared" ca="1" si="156"/>
        <v>#VALUE!</v>
      </c>
      <c r="P838" s="3" t="e">
        <f t="shared" ca="1" si="157"/>
        <v>#VALUE!</v>
      </c>
      <c r="Q838" s="6" t="str">
        <f t="shared" si="158"/>
        <v>Jan-00</v>
      </c>
      <c r="R838" s="6" t="str">
        <f t="shared" si="159"/>
        <v>Q1</v>
      </c>
      <c r="S838" s="6">
        <f t="shared" si="160"/>
        <v>1900</v>
      </c>
      <c r="T838" s="6" t="str">
        <f t="shared" si="161"/>
        <v>Retail</v>
      </c>
    </row>
    <row r="839" spans="8:20" x14ac:dyDescent="0.3">
      <c r="H839">
        <f t="shared" si="167"/>
        <v>0</v>
      </c>
      <c r="I839">
        <f t="shared" si="162"/>
        <v>0</v>
      </c>
      <c r="J839">
        <f t="shared" si="163"/>
        <v>0</v>
      </c>
      <c r="K839" t="str">
        <f t="shared" si="164"/>
        <v>January</v>
      </c>
      <c r="L839" t="str">
        <f t="shared" si="165"/>
        <v>Q1</v>
      </c>
      <c r="M839" s="2">
        <f t="shared" si="166"/>
        <v>1900</v>
      </c>
      <c r="N839" t="str">
        <f ca="1">IF(COUNTIFS(A$2:A839,A839,O$2:O839,O839)&gt;1,"Repeat","New")</f>
        <v>New</v>
      </c>
      <c r="O839" s="2" t="e">
        <f t="shared" ca="1" si="156"/>
        <v>#VALUE!</v>
      </c>
      <c r="P839" s="3" t="e">
        <f t="shared" ca="1" si="157"/>
        <v>#VALUE!</v>
      </c>
      <c r="Q839" s="6" t="str">
        <f t="shared" si="158"/>
        <v>Jan-00</v>
      </c>
      <c r="R839" s="6" t="str">
        <f t="shared" si="159"/>
        <v>Q1</v>
      </c>
      <c r="S839" s="6">
        <f t="shared" si="160"/>
        <v>1900</v>
      </c>
      <c r="T839" s="6" t="str">
        <f t="shared" si="161"/>
        <v>Retail</v>
      </c>
    </row>
    <row r="840" spans="8:20" x14ac:dyDescent="0.3">
      <c r="H840">
        <f t="shared" si="167"/>
        <v>0</v>
      </c>
      <c r="I840">
        <f t="shared" si="162"/>
        <v>0</v>
      </c>
      <c r="J840">
        <f t="shared" si="163"/>
        <v>0</v>
      </c>
      <c r="K840" t="str">
        <f t="shared" si="164"/>
        <v>January</v>
      </c>
      <c r="L840" t="str">
        <f t="shared" si="165"/>
        <v>Q1</v>
      </c>
      <c r="M840" s="2">
        <f t="shared" si="166"/>
        <v>1900</v>
      </c>
      <c r="N840" t="str">
        <f ca="1">IF(COUNTIFS(A$2:A840,A840,O$2:O840,O840)&gt;1,"Repeat","New")</f>
        <v>New</v>
      </c>
      <c r="O840" s="2" t="e">
        <f t="shared" ca="1" si="156"/>
        <v>#VALUE!</v>
      </c>
      <c r="P840" s="3" t="e">
        <f t="shared" ca="1" si="157"/>
        <v>#VALUE!</v>
      </c>
      <c r="Q840" s="6" t="str">
        <f t="shared" si="158"/>
        <v>Jan-00</v>
      </c>
      <c r="R840" s="6" t="str">
        <f t="shared" si="159"/>
        <v>Q1</v>
      </c>
      <c r="S840" s="6">
        <f t="shared" si="160"/>
        <v>1900</v>
      </c>
      <c r="T840" s="6" t="str">
        <f t="shared" si="161"/>
        <v>Retail</v>
      </c>
    </row>
    <row r="841" spans="8:20" x14ac:dyDescent="0.3">
      <c r="H841">
        <f t="shared" si="167"/>
        <v>0</v>
      </c>
      <c r="I841">
        <f t="shared" si="162"/>
        <v>0</v>
      </c>
      <c r="J841">
        <f t="shared" si="163"/>
        <v>0</v>
      </c>
      <c r="K841" t="str">
        <f t="shared" si="164"/>
        <v>January</v>
      </c>
      <c r="L841" t="str">
        <f t="shared" si="165"/>
        <v>Q1</v>
      </c>
      <c r="M841" s="2">
        <f t="shared" si="166"/>
        <v>1900</v>
      </c>
      <c r="N841" t="str">
        <f ca="1">IF(COUNTIFS(A$2:A841,A841,O$2:O841,O841)&gt;1,"Repeat","New")</f>
        <v>New</v>
      </c>
      <c r="O841" s="2" t="e">
        <f t="shared" ca="1" si="156"/>
        <v>#VALUE!</v>
      </c>
      <c r="P841" s="3" t="e">
        <f t="shared" ca="1" si="157"/>
        <v>#VALUE!</v>
      </c>
      <c r="Q841" s="6" t="str">
        <f t="shared" si="158"/>
        <v>Jan-00</v>
      </c>
      <c r="R841" s="6" t="str">
        <f t="shared" si="159"/>
        <v>Q1</v>
      </c>
      <c r="S841" s="6">
        <f t="shared" si="160"/>
        <v>1900</v>
      </c>
      <c r="T841" s="6" t="str">
        <f t="shared" si="161"/>
        <v>Retail</v>
      </c>
    </row>
    <row r="842" spans="8:20" x14ac:dyDescent="0.3">
      <c r="H842">
        <f t="shared" si="167"/>
        <v>0</v>
      </c>
      <c r="I842">
        <f t="shared" si="162"/>
        <v>0</v>
      </c>
      <c r="J842">
        <f t="shared" si="163"/>
        <v>0</v>
      </c>
      <c r="K842" t="str">
        <f t="shared" si="164"/>
        <v>January</v>
      </c>
      <c r="L842" t="str">
        <f t="shared" si="165"/>
        <v>Q1</v>
      </c>
      <c r="M842" s="2">
        <f t="shared" si="166"/>
        <v>1900</v>
      </c>
      <c r="N842" t="str">
        <f ca="1">IF(COUNTIFS(A$2:A842,A842,O$2:O842,O842)&gt;1,"Repeat","New")</f>
        <v>New</v>
      </c>
      <c r="O842" s="2" t="e">
        <f t="shared" ca="1" si="156"/>
        <v>#VALUE!</v>
      </c>
      <c r="P842" s="3" t="e">
        <f t="shared" ca="1" si="157"/>
        <v>#VALUE!</v>
      </c>
      <c r="Q842" s="6" t="str">
        <f t="shared" si="158"/>
        <v>Jan-00</v>
      </c>
      <c r="R842" s="6" t="str">
        <f t="shared" si="159"/>
        <v>Q1</v>
      </c>
      <c r="S842" s="6">
        <f t="shared" si="160"/>
        <v>1900</v>
      </c>
      <c r="T842" s="6" t="str">
        <f t="shared" si="161"/>
        <v>Retail</v>
      </c>
    </row>
    <row r="843" spans="8:20" x14ac:dyDescent="0.3">
      <c r="H843">
        <f t="shared" si="167"/>
        <v>0</v>
      </c>
      <c r="I843">
        <f t="shared" si="162"/>
        <v>0</v>
      </c>
      <c r="J843">
        <f t="shared" si="163"/>
        <v>0</v>
      </c>
      <c r="K843" t="str">
        <f t="shared" si="164"/>
        <v>January</v>
      </c>
      <c r="L843" t="str">
        <f t="shared" si="165"/>
        <v>Q1</v>
      </c>
      <c r="M843" s="2">
        <f t="shared" si="166"/>
        <v>1900</v>
      </c>
      <c r="N843" t="str">
        <f ca="1">IF(COUNTIFS(A$2:A843,A843,O$2:O843,O843)&gt;1,"Repeat","New")</f>
        <v>New</v>
      </c>
      <c r="O843" s="2" t="e">
        <f t="shared" ca="1" si="156"/>
        <v>#VALUE!</v>
      </c>
      <c r="P843" s="3" t="e">
        <f t="shared" ca="1" si="157"/>
        <v>#VALUE!</v>
      </c>
      <c r="Q843" s="6" t="str">
        <f t="shared" si="158"/>
        <v>Jan-00</v>
      </c>
      <c r="R843" s="6" t="str">
        <f t="shared" si="159"/>
        <v>Q1</v>
      </c>
      <c r="S843" s="6">
        <f t="shared" si="160"/>
        <v>1900</v>
      </c>
      <c r="T843" s="6" t="str">
        <f t="shared" si="161"/>
        <v>Retail</v>
      </c>
    </row>
    <row r="844" spans="8:20" x14ac:dyDescent="0.3">
      <c r="H844">
        <f t="shared" si="167"/>
        <v>0</v>
      </c>
      <c r="I844">
        <f t="shared" si="162"/>
        <v>0</v>
      </c>
      <c r="J844">
        <f t="shared" si="163"/>
        <v>0</v>
      </c>
      <c r="K844" t="str">
        <f t="shared" si="164"/>
        <v>January</v>
      </c>
      <c r="L844" t="str">
        <f t="shared" si="165"/>
        <v>Q1</v>
      </c>
      <c r="M844" s="2">
        <f t="shared" si="166"/>
        <v>1900</v>
      </c>
      <c r="N844" t="str">
        <f ca="1">IF(COUNTIFS(A$2:A844,A844,O$2:O844,O844)&gt;1,"Repeat","New")</f>
        <v>New</v>
      </c>
      <c r="O844" s="2" t="e">
        <f t="shared" ca="1" si="156"/>
        <v>#VALUE!</v>
      </c>
      <c r="P844" s="3" t="e">
        <f t="shared" ca="1" si="157"/>
        <v>#VALUE!</v>
      </c>
      <c r="Q844" s="6" t="str">
        <f t="shared" si="158"/>
        <v>Jan-00</v>
      </c>
      <c r="R844" s="6" t="str">
        <f t="shared" si="159"/>
        <v>Q1</v>
      </c>
      <c r="S844" s="6">
        <f t="shared" si="160"/>
        <v>1900</v>
      </c>
      <c r="T844" s="6" t="str">
        <f t="shared" si="161"/>
        <v>Retail</v>
      </c>
    </row>
    <row r="845" spans="8:20" x14ac:dyDescent="0.3">
      <c r="H845">
        <f t="shared" si="167"/>
        <v>0</v>
      </c>
      <c r="I845">
        <f t="shared" si="162"/>
        <v>0</v>
      </c>
      <c r="J845">
        <f t="shared" si="163"/>
        <v>0</v>
      </c>
      <c r="K845" t="str">
        <f t="shared" si="164"/>
        <v>January</v>
      </c>
      <c r="L845" t="str">
        <f t="shared" si="165"/>
        <v>Q1</v>
      </c>
      <c r="M845" s="2">
        <f t="shared" si="166"/>
        <v>1900</v>
      </c>
      <c r="N845" t="str">
        <f ca="1">IF(COUNTIFS(A$2:A845,A845,O$2:O845,O845)&gt;1,"Repeat","New")</f>
        <v>New</v>
      </c>
      <c r="O845" s="2" t="e">
        <f t="shared" ca="1" si="156"/>
        <v>#VALUE!</v>
      </c>
      <c r="P845" s="3" t="e">
        <f t="shared" ca="1" si="157"/>
        <v>#VALUE!</v>
      </c>
      <c r="Q845" s="6" t="str">
        <f t="shared" si="158"/>
        <v>Jan-00</v>
      </c>
      <c r="R845" s="6" t="str">
        <f t="shared" si="159"/>
        <v>Q1</v>
      </c>
      <c r="S845" s="6">
        <f t="shared" si="160"/>
        <v>1900</v>
      </c>
      <c r="T845" s="6" t="str">
        <f t="shared" si="161"/>
        <v>Retail</v>
      </c>
    </row>
    <row r="846" spans="8:20" x14ac:dyDescent="0.3">
      <c r="H846">
        <f t="shared" si="167"/>
        <v>0</v>
      </c>
      <c r="I846">
        <f t="shared" si="162"/>
        <v>0</v>
      </c>
      <c r="J846">
        <f t="shared" si="163"/>
        <v>0</v>
      </c>
      <c r="K846" t="str">
        <f t="shared" si="164"/>
        <v>January</v>
      </c>
      <c r="L846" t="str">
        <f t="shared" si="165"/>
        <v>Q1</v>
      </c>
      <c r="M846" s="2">
        <f t="shared" si="166"/>
        <v>1900</v>
      </c>
      <c r="N846" t="str">
        <f ca="1">IF(COUNTIFS(A$2:A846,A846,O$2:O846,O846)&gt;1,"Repeat","New")</f>
        <v>New</v>
      </c>
      <c r="O846" s="2" t="e">
        <f t="shared" ca="1" si="156"/>
        <v>#VALUE!</v>
      </c>
      <c r="P846" s="3" t="e">
        <f t="shared" ca="1" si="157"/>
        <v>#VALUE!</v>
      </c>
      <c r="Q846" s="6" t="str">
        <f t="shared" si="158"/>
        <v>Jan-00</v>
      </c>
      <c r="R846" s="6" t="str">
        <f t="shared" si="159"/>
        <v>Q1</v>
      </c>
      <c r="S846" s="6">
        <f t="shared" si="160"/>
        <v>1900</v>
      </c>
      <c r="T846" s="6" t="str">
        <f t="shared" si="161"/>
        <v>Retail</v>
      </c>
    </row>
    <row r="847" spans="8:20" x14ac:dyDescent="0.3">
      <c r="H847">
        <f t="shared" si="167"/>
        <v>0</v>
      </c>
      <c r="I847">
        <f t="shared" si="162"/>
        <v>0</v>
      </c>
      <c r="J847">
        <f t="shared" si="163"/>
        <v>0</v>
      </c>
      <c r="K847" t="str">
        <f t="shared" si="164"/>
        <v>January</v>
      </c>
      <c r="L847" t="str">
        <f t="shared" si="165"/>
        <v>Q1</v>
      </c>
      <c r="M847" s="2">
        <f t="shared" si="166"/>
        <v>1900</v>
      </c>
      <c r="N847" t="str">
        <f ca="1">IF(COUNTIFS(A$2:A847,A847,O$2:O847,O847)&gt;1,"Repeat","New")</f>
        <v>New</v>
      </c>
      <c r="O847" s="2" t="e">
        <f t="shared" ca="1" si="156"/>
        <v>#VALUE!</v>
      </c>
      <c r="P847" s="3" t="e">
        <f t="shared" ca="1" si="157"/>
        <v>#VALUE!</v>
      </c>
      <c r="Q847" s="6" t="str">
        <f t="shared" si="158"/>
        <v>Jan-00</v>
      </c>
      <c r="R847" s="6" t="str">
        <f t="shared" si="159"/>
        <v>Q1</v>
      </c>
      <c r="S847" s="6">
        <f t="shared" si="160"/>
        <v>1900</v>
      </c>
      <c r="T847" s="6" t="str">
        <f t="shared" si="161"/>
        <v>Retail</v>
      </c>
    </row>
    <row r="848" spans="8:20" x14ac:dyDescent="0.3">
      <c r="H848">
        <f t="shared" si="167"/>
        <v>0</v>
      </c>
      <c r="I848">
        <f t="shared" si="162"/>
        <v>0</v>
      </c>
      <c r="J848">
        <f t="shared" si="163"/>
        <v>0</v>
      </c>
      <c r="K848" t="str">
        <f t="shared" si="164"/>
        <v>January</v>
      </c>
      <c r="L848" t="str">
        <f t="shared" si="165"/>
        <v>Q1</v>
      </c>
      <c r="M848" s="2">
        <f t="shared" si="166"/>
        <v>1900</v>
      </c>
      <c r="N848" t="str">
        <f ca="1">IF(COUNTIFS(A$2:A848,A848,O$2:O848,O848)&gt;1,"Repeat","New")</f>
        <v>New</v>
      </c>
      <c r="O848" s="2" t="e">
        <f t="shared" ca="1" si="156"/>
        <v>#VALUE!</v>
      </c>
      <c r="P848" s="3" t="e">
        <f t="shared" ca="1" si="157"/>
        <v>#VALUE!</v>
      </c>
      <c r="Q848" s="6" t="str">
        <f t="shared" si="158"/>
        <v>Jan-00</v>
      </c>
      <c r="R848" s="6" t="str">
        <f t="shared" si="159"/>
        <v>Q1</v>
      </c>
      <c r="S848" s="6">
        <f t="shared" si="160"/>
        <v>1900</v>
      </c>
      <c r="T848" s="6" t="str">
        <f t="shared" si="161"/>
        <v>Retail</v>
      </c>
    </row>
    <row r="849" spans="8:20" x14ac:dyDescent="0.3">
      <c r="H849">
        <f t="shared" si="167"/>
        <v>0</v>
      </c>
      <c r="I849">
        <f t="shared" si="162"/>
        <v>0</v>
      </c>
      <c r="J849">
        <f t="shared" si="163"/>
        <v>0</v>
      </c>
      <c r="K849" t="str">
        <f t="shared" si="164"/>
        <v>January</v>
      </c>
      <c r="L849" t="str">
        <f t="shared" si="165"/>
        <v>Q1</v>
      </c>
      <c r="M849" s="2">
        <f t="shared" si="166"/>
        <v>1900</v>
      </c>
      <c r="N849" t="str">
        <f ca="1">IF(COUNTIFS(A$2:A849,A849,O$2:O849,O849)&gt;1,"Repeat","New")</f>
        <v>New</v>
      </c>
      <c r="O849" s="2" t="e">
        <f t="shared" ca="1" si="156"/>
        <v>#VALUE!</v>
      </c>
      <c r="P849" s="3" t="e">
        <f t="shared" ca="1" si="157"/>
        <v>#VALUE!</v>
      </c>
      <c r="Q849" s="6" t="str">
        <f t="shared" si="158"/>
        <v>Jan-00</v>
      </c>
      <c r="R849" s="6" t="str">
        <f t="shared" si="159"/>
        <v>Q1</v>
      </c>
      <c r="S849" s="6">
        <f t="shared" si="160"/>
        <v>1900</v>
      </c>
      <c r="T849" s="6" t="str">
        <f t="shared" si="161"/>
        <v>Retail</v>
      </c>
    </row>
    <row r="850" spans="8:20" x14ac:dyDescent="0.3">
      <c r="H850">
        <f t="shared" si="167"/>
        <v>0</v>
      </c>
      <c r="I850">
        <f t="shared" si="162"/>
        <v>0</v>
      </c>
      <c r="J850">
        <f t="shared" si="163"/>
        <v>0</v>
      </c>
      <c r="K850" t="str">
        <f t="shared" si="164"/>
        <v>January</v>
      </c>
      <c r="L850" t="str">
        <f t="shared" si="165"/>
        <v>Q1</v>
      </c>
      <c r="M850" s="2">
        <f t="shared" si="166"/>
        <v>1900</v>
      </c>
      <c r="N850" t="str">
        <f ca="1">IF(COUNTIFS(A$2:A850,A850,O$2:O850,O850)&gt;1,"Repeat","New")</f>
        <v>New</v>
      </c>
      <c r="O850" s="2" t="e">
        <f t="shared" ca="1" si="156"/>
        <v>#VALUE!</v>
      </c>
      <c r="P850" s="3" t="e">
        <f t="shared" ca="1" si="157"/>
        <v>#VALUE!</v>
      </c>
      <c r="Q850" s="6" t="str">
        <f t="shared" si="158"/>
        <v>Jan-00</v>
      </c>
      <c r="R850" s="6" t="str">
        <f t="shared" si="159"/>
        <v>Q1</v>
      </c>
      <c r="S850" s="6">
        <f t="shared" si="160"/>
        <v>1900</v>
      </c>
      <c r="T850" s="6" t="str">
        <f t="shared" si="161"/>
        <v>Retail</v>
      </c>
    </row>
    <row r="851" spans="8:20" x14ac:dyDescent="0.3">
      <c r="H851">
        <f t="shared" si="167"/>
        <v>0</v>
      </c>
      <c r="I851">
        <f t="shared" si="162"/>
        <v>0</v>
      </c>
      <c r="J851">
        <f t="shared" si="163"/>
        <v>0</v>
      </c>
      <c r="K851" t="str">
        <f t="shared" si="164"/>
        <v>January</v>
      </c>
      <c r="L851" t="str">
        <f t="shared" si="165"/>
        <v>Q1</v>
      </c>
      <c r="M851" s="2">
        <f t="shared" si="166"/>
        <v>1900</v>
      </c>
      <c r="N851" t="str">
        <f ca="1">IF(COUNTIFS(A$2:A851,A851,O$2:O851,O851)&gt;1,"Repeat","New")</f>
        <v>New</v>
      </c>
      <c r="O851" s="2" t="e">
        <f t="shared" ca="1" si="156"/>
        <v>#VALUE!</v>
      </c>
      <c r="P851" s="3" t="e">
        <f t="shared" ca="1" si="157"/>
        <v>#VALUE!</v>
      </c>
      <c r="Q851" s="6" t="str">
        <f t="shared" si="158"/>
        <v>Jan-00</v>
      </c>
      <c r="R851" s="6" t="str">
        <f t="shared" si="159"/>
        <v>Q1</v>
      </c>
      <c r="S851" s="6">
        <f t="shared" si="160"/>
        <v>1900</v>
      </c>
      <c r="T851" s="6" t="str">
        <f t="shared" si="161"/>
        <v>Retail</v>
      </c>
    </row>
    <row r="852" spans="8:20" x14ac:dyDescent="0.3">
      <c r="H852">
        <f t="shared" si="167"/>
        <v>0</v>
      </c>
      <c r="I852">
        <f t="shared" si="162"/>
        <v>0</v>
      </c>
      <c r="J852">
        <f t="shared" si="163"/>
        <v>0</v>
      </c>
      <c r="K852" t="str">
        <f t="shared" si="164"/>
        <v>January</v>
      </c>
      <c r="L852" t="str">
        <f t="shared" si="165"/>
        <v>Q1</v>
      </c>
      <c r="M852" s="2">
        <f t="shared" si="166"/>
        <v>1900</v>
      </c>
      <c r="N852" t="str">
        <f ca="1">IF(COUNTIFS(A$2:A852,A852,O$2:O852,O852)&gt;1,"Repeat","New")</f>
        <v>New</v>
      </c>
      <c r="O852" s="2" t="e">
        <f t="shared" ca="1" si="156"/>
        <v>#VALUE!</v>
      </c>
      <c r="P852" s="3" t="e">
        <f t="shared" ca="1" si="157"/>
        <v>#VALUE!</v>
      </c>
      <c r="Q852" s="6" t="str">
        <f t="shared" si="158"/>
        <v>Jan-00</v>
      </c>
      <c r="R852" s="6" t="str">
        <f t="shared" si="159"/>
        <v>Q1</v>
      </c>
      <c r="S852" s="6">
        <f t="shared" si="160"/>
        <v>1900</v>
      </c>
      <c r="T852" s="6" t="str">
        <f t="shared" si="161"/>
        <v>Retail</v>
      </c>
    </row>
    <row r="853" spans="8:20" x14ac:dyDescent="0.3">
      <c r="H853">
        <f t="shared" si="167"/>
        <v>0</v>
      </c>
      <c r="I853">
        <f t="shared" si="162"/>
        <v>0</v>
      </c>
      <c r="J853">
        <f t="shared" si="163"/>
        <v>0</v>
      </c>
      <c r="K853" t="str">
        <f t="shared" si="164"/>
        <v>January</v>
      </c>
      <c r="L853" t="str">
        <f t="shared" si="165"/>
        <v>Q1</v>
      </c>
      <c r="M853" s="2">
        <f t="shared" si="166"/>
        <v>1900</v>
      </c>
      <c r="N853" t="str">
        <f ca="1">IF(COUNTIFS(A$2:A853,A853,O$2:O853,O853)&gt;1,"Repeat","New")</f>
        <v>New</v>
      </c>
      <c r="O853" s="2" t="e">
        <f t="shared" ca="1" si="156"/>
        <v>#VALUE!</v>
      </c>
      <c r="P853" s="3" t="e">
        <f t="shared" ca="1" si="157"/>
        <v>#VALUE!</v>
      </c>
      <c r="Q853" s="6" t="str">
        <f t="shared" si="158"/>
        <v>Jan-00</v>
      </c>
      <c r="R853" s="6" t="str">
        <f t="shared" si="159"/>
        <v>Q1</v>
      </c>
      <c r="S853" s="6">
        <f t="shared" si="160"/>
        <v>1900</v>
      </c>
      <c r="T853" s="6" t="str">
        <f t="shared" si="161"/>
        <v>Retail</v>
      </c>
    </row>
    <row r="854" spans="8:20" x14ac:dyDescent="0.3">
      <c r="H854">
        <f t="shared" si="167"/>
        <v>0</v>
      </c>
      <c r="I854">
        <f t="shared" si="162"/>
        <v>0</v>
      </c>
      <c r="J854">
        <f t="shared" si="163"/>
        <v>0</v>
      </c>
      <c r="K854" t="str">
        <f t="shared" si="164"/>
        <v>January</v>
      </c>
      <c r="L854" t="str">
        <f t="shared" si="165"/>
        <v>Q1</v>
      </c>
      <c r="M854" s="2">
        <f t="shared" si="166"/>
        <v>1900</v>
      </c>
      <c r="N854" t="str">
        <f ca="1">IF(COUNTIFS(A$2:A854,A854,O$2:O854,O854)&gt;1,"Repeat","New")</f>
        <v>New</v>
      </c>
      <c r="O854" s="2" t="e">
        <f t="shared" ca="1" si="156"/>
        <v>#VALUE!</v>
      </c>
      <c r="P854" s="3" t="e">
        <f t="shared" ca="1" si="157"/>
        <v>#VALUE!</v>
      </c>
      <c r="Q854" s="6" t="str">
        <f t="shared" si="158"/>
        <v>Jan-00</v>
      </c>
      <c r="R854" s="6" t="str">
        <f t="shared" si="159"/>
        <v>Q1</v>
      </c>
      <c r="S854" s="6">
        <f t="shared" si="160"/>
        <v>1900</v>
      </c>
      <c r="T854" s="6" t="str">
        <f t="shared" si="161"/>
        <v>Retail</v>
      </c>
    </row>
    <row r="855" spans="8:20" x14ac:dyDescent="0.3">
      <c r="H855">
        <f t="shared" si="167"/>
        <v>0</v>
      </c>
      <c r="I855">
        <f t="shared" si="162"/>
        <v>0</v>
      </c>
      <c r="J855">
        <f t="shared" si="163"/>
        <v>0</v>
      </c>
      <c r="K855" t="str">
        <f t="shared" si="164"/>
        <v>January</v>
      </c>
      <c r="L855" t="str">
        <f t="shared" si="165"/>
        <v>Q1</v>
      </c>
      <c r="M855" s="2">
        <f t="shared" si="166"/>
        <v>1900</v>
      </c>
      <c r="N855" t="str">
        <f ca="1">IF(COUNTIFS(A$2:A855,A855,O$2:O855,O855)&gt;1,"Repeat","New")</f>
        <v>New</v>
      </c>
      <c r="O855" s="2" t="e">
        <f t="shared" ca="1" si="156"/>
        <v>#VALUE!</v>
      </c>
      <c r="P855" s="3" t="e">
        <f t="shared" ca="1" si="157"/>
        <v>#VALUE!</v>
      </c>
      <c r="Q855" s="6" t="str">
        <f t="shared" si="158"/>
        <v>Jan-00</v>
      </c>
      <c r="R855" s="6" t="str">
        <f t="shared" si="159"/>
        <v>Q1</v>
      </c>
      <c r="S855" s="6">
        <f t="shared" si="160"/>
        <v>1900</v>
      </c>
      <c r="T855" s="6" t="str">
        <f t="shared" si="161"/>
        <v>Retail</v>
      </c>
    </row>
    <row r="856" spans="8:20" x14ac:dyDescent="0.3">
      <c r="H856">
        <f t="shared" si="167"/>
        <v>0</v>
      </c>
      <c r="I856">
        <f t="shared" si="162"/>
        <v>0</v>
      </c>
      <c r="J856">
        <f t="shared" si="163"/>
        <v>0</v>
      </c>
      <c r="K856" t="str">
        <f t="shared" si="164"/>
        <v>January</v>
      </c>
      <c r="L856" t="str">
        <f t="shared" si="165"/>
        <v>Q1</v>
      </c>
      <c r="M856" s="2">
        <f t="shared" si="166"/>
        <v>1900</v>
      </c>
      <c r="N856" t="str">
        <f ca="1">IF(COUNTIFS(A$2:A856,A856,O$2:O856,O856)&gt;1,"Repeat","New")</f>
        <v>New</v>
      </c>
      <c r="O856" s="2" t="e">
        <f t="shared" ca="1" si="156"/>
        <v>#VALUE!</v>
      </c>
      <c r="P856" s="3" t="e">
        <f t="shared" ca="1" si="157"/>
        <v>#VALUE!</v>
      </c>
      <c r="Q856" s="6" t="str">
        <f t="shared" si="158"/>
        <v>Jan-00</v>
      </c>
      <c r="R856" s="6" t="str">
        <f t="shared" si="159"/>
        <v>Q1</v>
      </c>
      <c r="S856" s="6">
        <f t="shared" si="160"/>
        <v>1900</v>
      </c>
      <c r="T856" s="6" t="str">
        <f t="shared" si="161"/>
        <v>Retail</v>
      </c>
    </row>
    <row r="857" spans="8:20" x14ac:dyDescent="0.3">
      <c r="H857">
        <f t="shared" si="167"/>
        <v>0</v>
      </c>
      <c r="I857">
        <f t="shared" si="162"/>
        <v>0</v>
      </c>
      <c r="J857">
        <f t="shared" si="163"/>
        <v>0</v>
      </c>
      <c r="K857" t="str">
        <f t="shared" si="164"/>
        <v>January</v>
      </c>
      <c r="L857" t="str">
        <f t="shared" si="165"/>
        <v>Q1</v>
      </c>
      <c r="M857" s="2">
        <f t="shared" si="166"/>
        <v>1900</v>
      </c>
      <c r="N857" t="str">
        <f ca="1">IF(COUNTIFS(A$2:A857,A857,O$2:O857,O857)&gt;1,"Repeat","New")</f>
        <v>New</v>
      </c>
      <c r="O857" s="2" t="e">
        <f t="shared" ca="1" si="156"/>
        <v>#VALUE!</v>
      </c>
      <c r="P857" s="3" t="e">
        <f t="shared" ca="1" si="157"/>
        <v>#VALUE!</v>
      </c>
      <c r="Q857" s="6" t="str">
        <f t="shared" si="158"/>
        <v>Jan-00</v>
      </c>
      <c r="R857" s="6" t="str">
        <f t="shared" si="159"/>
        <v>Q1</v>
      </c>
      <c r="S857" s="6">
        <f t="shared" si="160"/>
        <v>1900</v>
      </c>
      <c r="T857" s="6" t="str">
        <f t="shared" si="161"/>
        <v>Retail</v>
      </c>
    </row>
    <row r="858" spans="8:20" x14ac:dyDescent="0.3">
      <c r="H858">
        <f t="shared" si="167"/>
        <v>0</v>
      </c>
      <c r="I858">
        <f t="shared" si="162"/>
        <v>0</v>
      </c>
      <c r="J858">
        <f t="shared" si="163"/>
        <v>0</v>
      </c>
      <c r="K858" t="str">
        <f t="shared" si="164"/>
        <v>January</v>
      </c>
      <c r="L858" t="str">
        <f t="shared" si="165"/>
        <v>Q1</v>
      </c>
      <c r="M858" s="2">
        <f t="shared" si="166"/>
        <v>1900</v>
      </c>
      <c r="N858" t="str">
        <f ca="1">IF(COUNTIFS(A$2:A858,A858,O$2:O858,O858)&gt;1,"Repeat","New")</f>
        <v>New</v>
      </c>
      <c r="O858" s="2" t="e">
        <f t="shared" ca="1" si="156"/>
        <v>#VALUE!</v>
      </c>
      <c r="P858" s="3" t="e">
        <f t="shared" ca="1" si="157"/>
        <v>#VALUE!</v>
      </c>
      <c r="Q858" s="6" t="str">
        <f t="shared" si="158"/>
        <v>Jan-00</v>
      </c>
      <c r="R858" s="6" t="str">
        <f t="shared" si="159"/>
        <v>Q1</v>
      </c>
      <c r="S858" s="6">
        <f t="shared" si="160"/>
        <v>1900</v>
      </c>
      <c r="T858" s="6" t="str">
        <f t="shared" si="161"/>
        <v>Retail</v>
      </c>
    </row>
    <row r="859" spans="8:20" x14ac:dyDescent="0.3">
      <c r="H859">
        <f t="shared" si="167"/>
        <v>0</v>
      </c>
      <c r="I859">
        <f t="shared" si="162"/>
        <v>0</v>
      </c>
      <c r="J859">
        <f t="shared" si="163"/>
        <v>0</v>
      </c>
      <c r="K859" t="str">
        <f t="shared" si="164"/>
        <v>January</v>
      </c>
      <c r="L859" t="str">
        <f t="shared" si="165"/>
        <v>Q1</v>
      </c>
      <c r="M859" s="2">
        <f t="shared" si="166"/>
        <v>1900</v>
      </c>
      <c r="N859" t="str">
        <f ca="1">IF(COUNTIFS(A$2:A859,A859,O$2:O859,O859)&gt;1,"Repeat","New")</f>
        <v>New</v>
      </c>
      <c r="O859" s="2" t="e">
        <f t="shared" ca="1" si="156"/>
        <v>#VALUE!</v>
      </c>
      <c r="P859" s="3" t="e">
        <f t="shared" ca="1" si="157"/>
        <v>#VALUE!</v>
      </c>
      <c r="Q859" s="6" t="str">
        <f t="shared" si="158"/>
        <v>Jan-00</v>
      </c>
      <c r="R859" s="6" t="str">
        <f t="shared" si="159"/>
        <v>Q1</v>
      </c>
      <c r="S859" s="6">
        <f t="shared" si="160"/>
        <v>1900</v>
      </c>
      <c r="T859" s="6" t="str">
        <f t="shared" si="161"/>
        <v>Retail</v>
      </c>
    </row>
    <row r="860" spans="8:20" x14ac:dyDescent="0.3">
      <c r="H860">
        <f t="shared" si="167"/>
        <v>0</v>
      </c>
      <c r="I860">
        <f t="shared" si="162"/>
        <v>0</v>
      </c>
      <c r="J860">
        <f t="shared" si="163"/>
        <v>0</v>
      </c>
      <c r="K860" t="str">
        <f t="shared" si="164"/>
        <v>January</v>
      </c>
      <c r="L860" t="str">
        <f t="shared" si="165"/>
        <v>Q1</v>
      </c>
      <c r="M860" s="2">
        <f t="shared" si="166"/>
        <v>1900</v>
      </c>
      <c r="N860" t="str">
        <f ca="1">IF(COUNTIFS(A$2:A860,A860,O$2:O860,O860)&gt;1,"Repeat","New")</f>
        <v>New</v>
      </c>
      <c r="O860" s="2" t="e">
        <f t="shared" ca="1" si="156"/>
        <v>#VALUE!</v>
      </c>
      <c r="P860" s="3" t="e">
        <f t="shared" ca="1" si="157"/>
        <v>#VALUE!</v>
      </c>
      <c r="Q860" s="6" t="str">
        <f t="shared" si="158"/>
        <v>Jan-00</v>
      </c>
      <c r="R860" s="6" t="str">
        <f t="shared" si="159"/>
        <v>Q1</v>
      </c>
      <c r="S860" s="6">
        <f t="shared" si="160"/>
        <v>1900</v>
      </c>
      <c r="T860" s="6" t="str">
        <f t="shared" si="161"/>
        <v>Retail</v>
      </c>
    </row>
    <row r="861" spans="8:20" x14ac:dyDescent="0.3">
      <c r="H861">
        <f t="shared" si="167"/>
        <v>0</v>
      </c>
      <c r="I861">
        <f t="shared" si="162"/>
        <v>0</v>
      </c>
      <c r="J861">
        <f t="shared" si="163"/>
        <v>0</v>
      </c>
      <c r="K861" t="str">
        <f t="shared" si="164"/>
        <v>January</v>
      </c>
      <c r="L861" t="str">
        <f t="shared" si="165"/>
        <v>Q1</v>
      </c>
      <c r="M861" s="2">
        <f t="shared" si="166"/>
        <v>1900</v>
      </c>
      <c r="N861" t="str">
        <f ca="1">IF(COUNTIFS(A$2:A861,A861,O$2:O861,O861)&gt;1,"Repeat","New")</f>
        <v>New</v>
      </c>
      <c r="O861" s="2" t="e">
        <f t="shared" ca="1" si="156"/>
        <v>#VALUE!</v>
      </c>
      <c r="P861" s="3" t="e">
        <f t="shared" ca="1" si="157"/>
        <v>#VALUE!</v>
      </c>
      <c r="Q861" s="6" t="str">
        <f t="shared" si="158"/>
        <v>Jan-00</v>
      </c>
      <c r="R861" s="6" t="str">
        <f t="shared" si="159"/>
        <v>Q1</v>
      </c>
      <c r="S861" s="6">
        <f t="shared" si="160"/>
        <v>1900</v>
      </c>
      <c r="T861" s="6" t="str">
        <f t="shared" si="161"/>
        <v>Retail</v>
      </c>
    </row>
    <row r="862" spans="8:20" x14ac:dyDescent="0.3">
      <c r="H862">
        <f t="shared" si="167"/>
        <v>0</v>
      </c>
      <c r="I862">
        <f t="shared" si="162"/>
        <v>0</v>
      </c>
      <c r="J862">
        <f t="shared" si="163"/>
        <v>0</v>
      </c>
      <c r="K862" t="str">
        <f t="shared" si="164"/>
        <v>January</v>
      </c>
      <c r="L862" t="str">
        <f t="shared" si="165"/>
        <v>Q1</v>
      </c>
      <c r="M862" s="2">
        <f t="shared" si="166"/>
        <v>1900</v>
      </c>
      <c r="N862" t="str">
        <f ca="1">IF(COUNTIFS(A$2:A862,A862,O$2:O862,O862)&gt;1,"Repeat","New")</f>
        <v>New</v>
      </c>
      <c r="O862" s="2" t="e">
        <f t="shared" ca="1" si="156"/>
        <v>#VALUE!</v>
      </c>
      <c r="P862" s="3" t="e">
        <f t="shared" ca="1" si="157"/>
        <v>#VALUE!</v>
      </c>
      <c r="Q862" s="6" t="str">
        <f t="shared" si="158"/>
        <v>Jan-00</v>
      </c>
      <c r="R862" s="6" t="str">
        <f t="shared" si="159"/>
        <v>Q1</v>
      </c>
      <c r="S862" s="6">
        <f t="shared" si="160"/>
        <v>1900</v>
      </c>
      <c r="T862" s="6" t="str">
        <f t="shared" si="161"/>
        <v>Retail</v>
      </c>
    </row>
    <row r="863" spans="8:20" x14ac:dyDescent="0.3">
      <c r="H863">
        <f t="shared" si="167"/>
        <v>0</v>
      </c>
      <c r="I863">
        <f t="shared" si="162"/>
        <v>0</v>
      </c>
      <c r="J863">
        <f t="shared" si="163"/>
        <v>0</v>
      </c>
      <c r="K863" t="str">
        <f t="shared" si="164"/>
        <v>January</v>
      </c>
      <c r="L863" t="str">
        <f t="shared" si="165"/>
        <v>Q1</v>
      </c>
      <c r="M863" s="2">
        <f t="shared" si="166"/>
        <v>1900</v>
      </c>
      <c r="N863" t="str">
        <f ca="1">IF(COUNTIFS(A$2:A863,A863,O$2:O863,O863)&gt;1,"Repeat","New")</f>
        <v>New</v>
      </c>
      <c r="O863" s="2" t="e">
        <f t="shared" ca="1" si="156"/>
        <v>#VALUE!</v>
      </c>
      <c r="P863" s="3" t="e">
        <f t="shared" ca="1" si="157"/>
        <v>#VALUE!</v>
      </c>
      <c r="Q863" s="6" t="str">
        <f t="shared" si="158"/>
        <v>Jan-00</v>
      </c>
      <c r="R863" s="6" t="str">
        <f t="shared" si="159"/>
        <v>Q1</v>
      </c>
      <c r="S863" s="6">
        <f t="shared" si="160"/>
        <v>1900</v>
      </c>
      <c r="T863" s="6" t="str">
        <f t="shared" si="161"/>
        <v>Retail</v>
      </c>
    </row>
    <row r="864" spans="8:20" x14ac:dyDescent="0.3">
      <c r="H864">
        <f t="shared" si="167"/>
        <v>0</v>
      </c>
      <c r="I864">
        <f t="shared" si="162"/>
        <v>0</v>
      </c>
      <c r="J864">
        <f t="shared" si="163"/>
        <v>0</v>
      </c>
      <c r="K864" t="str">
        <f t="shared" si="164"/>
        <v>January</v>
      </c>
      <c r="L864" t="str">
        <f t="shared" si="165"/>
        <v>Q1</v>
      </c>
      <c r="M864" s="2">
        <f t="shared" si="166"/>
        <v>1900</v>
      </c>
      <c r="N864" t="str">
        <f ca="1">IF(COUNTIFS(A$2:A864,A864,O$2:O864,O864)&gt;1,"Repeat","New")</f>
        <v>New</v>
      </c>
      <c r="O864" s="2" t="e">
        <f t="shared" ca="1" si="156"/>
        <v>#VALUE!</v>
      </c>
      <c r="P864" s="3" t="e">
        <f t="shared" ca="1" si="157"/>
        <v>#VALUE!</v>
      </c>
      <c r="Q864" s="6" t="str">
        <f t="shared" si="158"/>
        <v>Jan-00</v>
      </c>
      <c r="R864" s="6" t="str">
        <f t="shared" si="159"/>
        <v>Q1</v>
      </c>
      <c r="S864" s="6">
        <f t="shared" si="160"/>
        <v>1900</v>
      </c>
      <c r="T864" s="6" t="str">
        <f t="shared" si="161"/>
        <v>Retail</v>
      </c>
    </row>
    <row r="865" spans="8:20" x14ac:dyDescent="0.3">
      <c r="H865">
        <f t="shared" si="167"/>
        <v>0</v>
      </c>
      <c r="I865">
        <f t="shared" si="162"/>
        <v>0</v>
      </c>
      <c r="J865">
        <f t="shared" si="163"/>
        <v>0</v>
      </c>
      <c r="K865" t="str">
        <f t="shared" si="164"/>
        <v>January</v>
      </c>
      <c r="L865" t="str">
        <f t="shared" si="165"/>
        <v>Q1</v>
      </c>
      <c r="M865" s="2">
        <f t="shared" si="166"/>
        <v>1900</v>
      </c>
      <c r="N865" t="str">
        <f ca="1">IF(COUNTIFS(A$2:A865,A865,O$2:O865,O865)&gt;1,"Repeat","New")</f>
        <v>New</v>
      </c>
      <c r="O865" s="2" t="e">
        <f t="shared" ca="1" si="156"/>
        <v>#VALUE!</v>
      </c>
      <c r="P865" s="3" t="e">
        <f t="shared" ca="1" si="157"/>
        <v>#VALUE!</v>
      </c>
      <c r="Q865" s="6" t="str">
        <f t="shared" si="158"/>
        <v>Jan-00</v>
      </c>
      <c r="R865" s="6" t="str">
        <f t="shared" si="159"/>
        <v>Q1</v>
      </c>
      <c r="S865" s="6">
        <f t="shared" si="160"/>
        <v>1900</v>
      </c>
      <c r="T865" s="6" t="str">
        <f t="shared" si="161"/>
        <v>Retail</v>
      </c>
    </row>
    <row r="866" spans="8:20" x14ac:dyDescent="0.3">
      <c r="H866">
        <f t="shared" si="167"/>
        <v>0</v>
      </c>
      <c r="I866">
        <f t="shared" si="162"/>
        <v>0</v>
      </c>
      <c r="J866">
        <f t="shared" si="163"/>
        <v>0</v>
      </c>
      <c r="K866" t="str">
        <f t="shared" si="164"/>
        <v>January</v>
      </c>
      <c r="L866" t="str">
        <f t="shared" si="165"/>
        <v>Q1</v>
      </c>
      <c r="M866" s="2">
        <f t="shared" si="166"/>
        <v>1900</v>
      </c>
      <c r="N866" t="str">
        <f ca="1">IF(COUNTIFS(A$2:A866,A866,O$2:O866,O866)&gt;1,"Repeat","New")</f>
        <v>New</v>
      </c>
      <c r="O866" s="2" t="e">
        <f t="shared" ca="1" si="156"/>
        <v>#VALUE!</v>
      </c>
      <c r="P866" s="3" t="e">
        <f t="shared" ca="1" si="157"/>
        <v>#VALUE!</v>
      </c>
      <c r="Q866" s="6" t="str">
        <f t="shared" si="158"/>
        <v>Jan-00</v>
      </c>
      <c r="R866" s="6" t="str">
        <f t="shared" si="159"/>
        <v>Q1</v>
      </c>
      <c r="S866" s="6">
        <f t="shared" si="160"/>
        <v>1900</v>
      </c>
      <c r="T866" s="6" t="str">
        <f t="shared" si="161"/>
        <v>Retail</v>
      </c>
    </row>
    <row r="867" spans="8:20" x14ac:dyDescent="0.3">
      <c r="H867">
        <f t="shared" si="167"/>
        <v>0</v>
      </c>
      <c r="I867">
        <f t="shared" si="162"/>
        <v>0</v>
      </c>
      <c r="J867">
        <f t="shared" si="163"/>
        <v>0</v>
      </c>
      <c r="K867" t="str">
        <f t="shared" si="164"/>
        <v>January</v>
      </c>
      <c r="L867" t="str">
        <f t="shared" si="165"/>
        <v>Q1</v>
      </c>
      <c r="M867" s="2">
        <f t="shared" si="166"/>
        <v>1900</v>
      </c>
      <c r="N867" t="str">
        <f ca="1">IF(COUNTIFS(A$2:A867,A867,O$2:O867,O867)&gt;1,"Repeat","New")</f>
        <v>New</v>
      </c>
      <c r="O867" s="2" t="e">
        <f t="shared" ca="1" si="156"/>
        <v>#VALUE!</v>
      </c>
      <c r="P867" s="3" t="e">
        <f t="shared" ca="1" si="157"/>
        <v>#VALUE!</v>
      </c>
      <c r="Q867" s="6" t="str">
        <f t="shared" si="158"/>
        <v>Jan-00</v>
      </c>
      <c r="R867" s="6" t="str">
        <f t="shared" si="159"/>
        <v>Q1</v>
      </c>
      <c r="S867" s="6">
        <f t="shared" si="160"/>
        <v>1900</v>
      </c>
      <c r="T867" s="6" t="str">
        <f t="shared" si="161"/>
        <v>Retail</v>
      </c>
    </row>
    <row r="868" spans="8:20" x14ac:dyDescent="0.3">
      <c r="H868">
        <f t="shared" si="167"/>
        <v>0</v>
      </c>
      <c r="I868">
        <f t="shared" si="162"/>
        <v>0</v>
      </c>
      <c r="J868">
        <f t="shared" si="163"/>
        <v>0</v>
      </c>
      <c r="K868" t="str">
        <f t="shared" si="164"/>
        <v>January</v>
      </c>
      <c r="L868" t="str">
        <f t="shared" si="165"/>
        <v>Q1</v>
      </c>
      <c r="M868" s="2">
        <f t="shared" si="166"/>
        <v>1900</v>
      </c>
      <c r="N868" t="str">
        <f ca="1">IF(COUNTIFS(A$2:A868,A868,O$2:O868,O868)&gt;1,"Repeat","New")</f>
        <v>New</v>
      </c>
      <c r="O868" s="2" t="e">
        <f t="shared" ca="1" si="156"/>
        <v>#VALUE!</v>
      </c>
      <c r="P868" s="3" t="e">
        <f t="shared" ca="1" si="157"/>
        <v>#VALUE!</v>
      </c>
      <c r="Q868" s="6" t="str">
        <f t="shared" si="158"/>
        <v>Jan-00</v>
      </c>
      <c r="R868" s="6" t="str">
        <f t="shared" si="159"/>
        <v>Q1</v>
      </c>
      <c r="S868" s="6">
        <f t="shared" si="160"/>
        <v>1900</v>
      </c>
      <c r="T868" s="6" t="str">
        <f t="shared" si="161"/>
        <v>Retail</v>
      </c>
    </row>
    <row r="869" spans="8:20" x14ac:dyDescent="0.3">
      <c r="H869">
        <f t="shared" si="167"/>
        <v>0</v>
      </c>
      <c r="I869">
        <f t="shared" si="162"/>
        <v>0</v>
      </c>
      <c r="J869">
        <f t="shared" si="163"/>
        <v>0</v>
      </c>
      <c r="K869" t="str">
        <f t="shared" si="164"/>
        <v>January</v>
      </c>
      <c r="L869" t="str">
        <f t="shared" si="165"/>
        <v>Q1</v>
      </c>
      <c r="M869" s="2">
        <f t="shared" si="166"/>
        <v>1900</v>
      </c>
      <c r="N869" t="str">
        <f ca="1">IF(COUNTIFS(A$2:A869,A869,O$2:O869,O869)&gt;1,"Repeat","New")</f>
        <v>New</v>
      </c>
      <c r="O869" s="2" t="e">
        <f t="shared" ca="1" si="156"/>
        <v>#VALUE!</v>
      </c>
      <c r="P869" s="3" t="e">
        <f t="shared" ca="1" si="157"/>
        <v>#VALUE!</v>
      </c>
      <c r="Q869" s="6" t="str">
        <f t="shared" si="158"/>
        <v>Jan-00</v>
      </c>
      <c r="R869" s="6" t="str">
        <f t="shared" si="159"/>
        <v>Q1</v>
      </c>
      <c r="S869" s="6">
        <f t="shared" si="160"/>
        <v>1900</v>
      </c>
      <c r="T869" s="6" t="str">
        <f t="shared" si="161"/>
        <v>Retail</v>
      </c>
    </row>
    <row r="870" spans="8:20" x14ac:dyDescent="0.3">
      <c r="H870">
        <f t="shared" si="167"/>
        <v>0</v>
      </c>
      <c r="I870">
        <f t="shared" si="162"/>
        <v>0</v>
      </c>
      <c r="J870">
        <f t="shared" si="163"/>
        <v>0</v>
      </c>
      <c r="K870" t="str">
        <f t="shared" si="164"/>
        <v>January</v>
      </c>
      <c r="L870" t="str">
        <f t="shared" si="165"/>
        <v>Q1</v>
      </c>
      <c r="M870" s="2">
        <f t="shared" si="166"/>
        <v>1900</v>
      </c>
      <c r="N870" t="str">
        <f ca="1">IF(COUNTIFS(A$2:A870,A870,O$2:O870,O870)&gt;1,"Repeat","New")</f>
        <v>New</v>
      </c>
      <c r="O870" s="2" t="e">
        <f t="shared" ca="1" si="156"/>
        <v>#VALUE!</v>
      </c>
      <c r="P870" s="3" t="e">
        <f t="shared" ca="1" si="157"/>
        <v>#VALUE!</v>
      </c>
      <c r="Q870" s="6" t="str">
        <f t="shared" si="158"/>
        <v>Jan-00</v>
      </c>
      <c r="R870" s="6" t="str">
        <f t="shared" si="159"/>
        <v>Q1</v>
      </c>
      <c r="S870" s="6">
        <f t="shared" si="160"/>
        <v>1900</v>
      </c>
      <c r="T870" s="6" t="str">
        <f t="shared" si="161"/>
        <v>Retail</v>
      </c>
    </row>
    <row r="871" spans="8:20" x14ac:dyDescent="0.3">
      <c r="H871">
        <f t="shared" si="167"/>
        <v>0</v>
      </c>
      <c r="I871">
        <f t="shared" si="162"/>
        <v>0</v>
      </c>
      <c r="J871">
        <f t="shared" si="163"/>
        <v>0</v>
      </c>
      <c r="K871" t="str">
        <f t="shared" si="164"/>
        <v>January</v>
      </c>
      <c r="L871" t="str">
        <f t="shared" si="165"/>
        <v>Q1</v>
      </c>
      <c r="M871" s="2">
        <f t="shared" si="166"/>
        <v>1900</v>
      </c>
      <c r="N871" t="str">
        <f ca="1">IF(COUNTIFS(A$2:A871,A871,O$2:O871,O871)&gt;1,"Repeat","New")</f>
        <v>New</v>
      </c>
      <c r="O871" s="2" t="e">
        <f t="shared" ca="1" si="156"/>
        <v>#VALUE!</v>
      </c>
      <c r="P871" s="3" t="e">
        <f t="shared" ca="1" si="157"/>
        <v>#VALUE!</v>
      </c>
      <c r="Q871" s="6" t="str">
        <f t="shared" si="158"/>
        <v>Jan-00</v>
      </c>
      <c r="R871" s="6" t="str">
        <f t="shared" si="159"/>
        <v>Q1</v>
      </c>
      <c r="S871" s="6">
        <f t="shared" si="160"/>
        <v>1900</v>
      </c>
      <c r="T871" s="6" t="str">
        <f t="shared" si="161"/>
        <v>Retail</v>
      </c>
    </row>
    <row r="872" spans="8:20" x14ac:dyDescent="0.3">
      <c r="H872">
        <f t="shared" si="167"/>
        <v>0</v>
      </c>
      <c r="I872">
        <f t="shared" si="162"/>
        <v>0</v>
      </c>
      <c r="J872">
        <f t="shared" si="163"/>
        <v>0</v>
      </c>
      <c r="K872" t="str">
        <f t="shared" si="164"/>
        <v>January</v>
      </c>
      <c r="L872" t="str">
        <f t="shared" si="165"/>
        <v>Q1</v>
      </c>
      <c r="M872" s="2">
        <f t="shared" si="166"/>
        <v>1900</v>
      </c>
      <c r="N872" t="str">
        <f ca="1">IF(COUNTIFS(A$2:A872,A872,O$2:O872,O872)&gt;1,"Repeat","New")</f>
        <v>New</v>
      </c>
      <c r="O872" s="2" t="e">
        <f t="shared" ca="1" si="156"/>
        <v>#VALUE!</v>
      </c>
      <c r="P872" s="3" t="e">
        <f t="shared" ca="1" si="157"/>
        <v>#VALUE!</v>
      </c>
      <c r="Q872" s="6" t="str">
        <f t="shared" si="158"/>
        <v>Jan-00</v>
      </c>
      <c r="R872" s="6" t="str">
        <f t="shared" si="159"/>
        <v>Q1</v>
      </c>
      <c r="S872" s="6">
        <f t="shared" si="160"/>
        <v>1900</v>
      </c>
      <c r="T872" s="6" t="str">
        <f t="shared" si="161"/>
        <v>Retail</v>
      </c>
    </row>
    <row r="873" spans="8:20" x14ac:dyDescent="0.3">
      <c r="H873">
        <f t="shared" si="167"/>
        <v>0</v>
      </c>
      <c r="I873">
        <f t="shared" si="162"/>
        <v>0</v>
      </c>
      <c r="J873">
        <f t="shared" si="163"/>
        <v>0</v>
      </c>
      <c r="K873" t="str">
        <f t="shared" si="164"/>
        <v>January</v>
      </c>
      <c r="L873" t="str">
        <f t="shared" si="165"/>
        <v>Q1</v>
      </c>
      <c r="M873" s="2">
        <f t="shared" si="166"/>
        <v>1900</v>
      </c>
      <c r="N873" t="str">
        <f ca="1">IF(COUNTIFS(A$2:A873,A873,O$2:O873,O873)&gt;1,"Repeat","New")</f>
        <v>New</v>
      </c>
      <c r="O873" s="2" t="e">
        <f t="shared" ca="1" si="156"/>
        <v>#VALUE!</v>
      </c>
      <c r="P873" s="3" t="e">
        <f t="shared" ca="1" si="157"/>
        <v>#VALUE!</v>
      </c>
      <c r="Q873" s="6" t="str">
        <f t="shared" si="158"/>
        <v>Jan-00</v>
      </c>
      <c r="R873" s="6" t="str">
        <f t="shared" si="159"/>
        <v>Q1</v>
      </c>
      <c r="S873" s="6">
        <f t="shared" si="160"/>
        <v>1900</v>
      </c>
      <c r="T873" s="6" t="str">
        <f t="shared" si="161"/>
        <v>Retail</v>
      </c>
    </row>
    <row r="874" spans="8:20" x14ac:dyDescent="0.3">
      <c r="H874">
        <f t="shared" si="167"/>
        <v>0</v>
      </c>
      <c r="I874">
        <f t="shared" si="162"/>
        <v>0</v>
      </c>
      <c r="J874">
        <f t="shared" si="163"/>
        <v>0</v>
      </c>
      <c r="K874" t="str">
        <f t="shared" si="164"/>
        <v>January</v>
      </c>
      <c r="L874" t="str">
        <f t="shared" si="165"/>
        <v>Q1</v>
      </c>
      <c r="M874" s="2">
        <f t="shared" si="166"/>
        <v>1900</v>
      </c>
      <c r="N874" t="str">
        <f ca="1">IF(COUNTIFS(A$2:A874,A874,O$2:O874,O874)&gt;1,"Repeat","New")</f>
        <v>New</v>
      </c>
      <c r="O874" s="2" t="e">
        <f t="shared" ca="1" si="156"/>
        <v>#VALUE!</v>
      </c>
      <c r="P874" s="3" t="e">
        <f t="shared" ca="1" si="157"/>
        <v>#VALUE!</v>
      </c>
      <c r="Q874" s="6" t="str">
        <f t="shared" si="158"/>
        <v>Jan-00</v>
      </c>
      <c r="R874" s="6" t="str">
        <f t="shared" si="159"/>
        <v>Q1</v>
      </c>
      <c r="S874" s="6">
        <f t="shared" si="160"/>
        <v>1900</v>
      </c>
      <c r="T874" s="6" t="str">
        <f t="shared" si="161"/>
        <v>Retail</v>
      </c>
    </row>
    <row r="875" spans="8:20" x14ac:dyDescent="0.3">
      <c r="H875">
        <f t="shared" si="167"/>
        <v>0</v>
      </c>
      <c r="I875">
        <f t="shared" si="162"/>
        <v>0</v>
      </c>
      <c r="J875">
        <f t="shared" si="163"/>
        <v>0</v>
      </c>
      <c r="K875" t="str">
        <f t="shared" si="164"/>
        <v>January</v>
      </c>
      <c r="L875" t="str">
        <f t="shared" si="165"/>
        <v>Q1</v>
      </c>
      <c r="M875" s="2">
        <f t="shared" si="166"/>
        <v>1900</v>
      </c>
      <c r="N875" t="str">
        <f ca="1">IF(COUNTIFS(A$2:A875,A875,O$2:O875,O875)&gt;1,"Repeat","New")</f>
        <v>New</v>
      </c>
      <c r="O875" s="2" t="e">
        <f t="shared" ca="1" si="156"/>
        <v>#VALUE!</v>
      </c>
      <c r="P875" s="3" t="e">
        <f t="shared" ca="1" si="157"/>
        <v>#VALUE!</v>
      </c>
      <c r="Q875" s="6" t="str">
        <f t="shared" si="158"/>
        <v>Jan-00</v>
      </c>
      <c r="R875" s="6" t="str">
        <f t="shared" si="159"/>
        <v>Q1</v>
      </c>
      <c r="S875" s="6">
        <f t="shared" si="160"/>
        <v>1900</v>
      </c>
      <c r="T875" s="6" t="str">
        <f t="shared" si="161"/>
        <v>Retail</v>
      </c>
    </row>
    <row r="876" spans="8:20" x14ac:dyDescent="0.3">
      <c r="H876">
        <f t="shared" si="167"/>
        <v>0</v>
      </c>
      <c r="I876">
        <f t="shared" si="162"/>
        <v>0</v>
      </c>
      <c r="J876">
        <f t="shared" si="163"/>
        <v>0</v>
      </c>
      <c r="K876" t="str">
        <f t="shared" si="164"/>
        <v>January</v>
      </c>
      <c r="L876" t="str">
        <f t="shared" si="165"/>
        <v>Q1</v>
      </c>
      <c r="M876" s="2">
        <f t="shared" si="166"/>
        <v>1900</v>
      </c>
      <c r="N876" t="str">
        <f ca="1">IF(COUNTIFS(A$2:A876,A876,O$2:O876,O876)&gt;1,"Repeat","New")</f>
        <v>New</v>
      </c>
      <c r="O876" s="2" t="e">
        <f t="shared" ca="1" si="156"/>
        <v>#VALUE!</v>
      </c>
      <c r="P876" s="3" t="e">
        <f t="shared" ca="1" si="157"/>
        <v>#VALUE!</v>
      </c>
      <c r="Q876" s="6" t="str">
        <f t="shared" si="158"/>
        <v>Jan-00</v>
      </c>
      <c r="R876" s="6" t="str">
        <f t="shared" si="159"/>
        <v>Q1</v>
      </c>
      <c r="S876" s="6">
        <f t="shared" si="160"/>
        <v>1900</v>
      </c>
      <c r="T876" s="6" t="str">
        <f t="shared" si="161"/>
        <v>Retail</v>
      </c>
    </row>
    <row r="877" spans="8:20" x14ac:dyDescent="0.3">
      <c r="H877">
        <f t="shared" si="167"/>
        <v>0</v>
      </c>
      <c r="I877">
        <f t="shared" si="162"/>
        <v>0</v>
      </c>
      <c r="J877">
        <f t="shared" si="163"/>
        <v>0</v>
      </c>
      <c r="K877" t="str">
        <f t="shared" si="164"/>
        <v>January</v>
      </c>
      <c r="L877" t="str">
        <f t="shared" si="165"/>
        <v>Q1</v>
      </c>
      <c r="M877" s="2">
        <f t="shared" si="166"/>
        <v>1900</v>
      </c>
      <c r="N877" t="str">
        <f ca="1">IF(COUNTIFS(A$2:A877,A877,O$2:O877,O877)&gt;1,"Repeat","New")</f>
        <v>New</v>
      </c>
      <c r="O877" s="2" t="e">
        <f t="shared" ca="1" si="156"/>
        <v>#VALUE!</v>
      </c>
      <c r="P877" s="3" t="e">
        <f t="shared" ca="1" si="157"/>
        <v>#VALUE!</v>
      </c>
      <c r="Q877" s="6" t="str">
        <f t="shared" si="158"/>
        <v>Jan-00</v>
      </c>
      <c r="R877" s="6" t="str">
        <f t="shared" si="159"/>
        <v>Q1</v>
      </c>
      <c r="S877" s="6">
        <f t="shared" si="160"/>
        <v>1900</v>
      </c>
      <c r="T877" s="6" t="str">
        <f t="shared" si="161"/>
        <v>Retail</v>
      </c>
    </row>
    <row r="878" spans="8:20" x14ac:dyDescent="0.3">
      <c r="H878">
        <f t="shared" si="167"/>
        <v>0</v>
      </c>
      <c r="I878">
        <f t="shared" si="162"/>
        <v>0</v>
      </c>
      <c r="J878">
        <f t="shared" si="163"/>
        <v>0</v>
      </c>
      <c r="K878" t="str">
        <f t="shared" si="164"/>
        <v>January</v>
      </c>
      <c r="L878" t="str">
        <f t="shared" si="165"/>
        <v>Q1</v>
      </c>
      <c r="M878" s="2">
        <f t="shared" si="166"/>
        <v>1900</v>
      </c>
      <c r="N878" t="str">
        <f ca="1">IF(COUNTIFS(A$2:A878,A878,O$2:O878,O878)&gt;1,"Repeat","New")</f>
        <v>New</v>
      </c>
      <c r="O878" s="2" t="e">
        <f t="shared" ca="1" si="156"/>
        <v>#VALUE!</v>
      </c>
      <c r="P878" s="3" t="e">
        <f t="shared" ca="1" si="157"/>
        <v>#VALUE!</v>
      </c>
      <c r="Q878" s="6" t="str">
        <f t="shared" si="158"/>
        <v>Jan-00</v>
      </c>
      <c r="R878" s="6" t="str">
        <f t="shared" si="159"/>
        <v>Q1</v>
      </c>
      <c r="S878" s="6">
        <f t="shared" si="160"/>
        <v>1900</v>
      </c>
      <c r="T878" s="6" t="str">
        <f t="shared" si="161"/>
        <v>Retail</v>
      </c>
    </row>
    <row r="879" spans="8:20" x14ac:dyDescent="0.3">
      <c r="H879">
        <f t="shared" si="167"/>
        <v>0</v>
      </c>
      <c r="I879">
        <f t="shared" si="162"/>
        <v>0</v>
      </c>
      <c r="J879">
        <f t="shared" si="163"/>
        <v>0</v>
      </c>
      <c r="K879" t="str">
        <f t="shared" si="164"/>
        <v>January</v>
      </c>
      <c r="L879" t="str">
        <f t="shared" si="165"/>
        <v>Q1</v>
      </c>
      <c r="M879" s="2">
        <f t="shared" si="166"/>
        <v>1900</v>
      </c>
      <c r="N879" t="str">
        <f ca="1">IF(COUNTIFS(A$2:A879,A879,O$2:O879,O879)&gt;1,"Repeat","New")</f>
        <v>New</v>
      </c>
      <c r="O879" s="2" t="e">
        <f t="shared" ca="1" si="156"/>
        <v>#VALUE!</v>
      </c>
      <c r="P879" s="3" t="e">
        <f t="shared" ca="1" si="157"/>
        <v>#VALUE!</v>
      </c>
      <c r="Q879" s="6" t="str">
        <f t="shared" si="158"/>
        <v>Jan-00</v>
      </c>
      <c r="R879" s="6" t="str">
        <f t="shared" si="159"/>
        <v>Q1</v>
      </c>
      <c r="S879" s="6">
        <f t="shared" si="160"/>
        <v>1900</v>
      </c>
      <c r="T879" s="6" t="str">
        <f t="shared" si="161"/>
        <v>Retail</v>
      </c>
    </row>
    <row r="880" spans="8:20" x14ac:dyDescent="0.3">
      <c r="H880">
        <f t="shared" si="167"/>
        <v>0</v>
      </c>
      <c r="I880">
        <f t="shared" si="162"/>
        <v>0</v>
      </c>
      <c r="J880">
        <f t="shared" si="163"/>
        <v>0</v>
      </c>
      <c r="K880" t="str">
        <f t="shared" si="164"/>
        <v>January</v>
      </c>
      <c r="L880" t="str">
        <f t="shared" si="165"/>
        <v>Q1</v>
      </c>
      <c r="M880" s="2">
        <f t="shared" si="166"/>
        <v>1900</v>
      </c>
      <c r="N880" t="str">
        <f ca="1">IF(COUNTIFS(A$2:A880,A880,O$2:O880,O880)&gt;1,"Repeat","New")</f>
        <v>New</v>
      </c>
      <c r="O880" s="2" t="e">
        <f t="shared" ca="1" si="156"/>
        <v>#VALUE!</v>
      </c>
      <c r="P880" s="3" t="e">
        <f t="shared" ca="1" si="157"/>
        <v>#VALUE!</v>
      </c>
      <c r="Q880" s="6" t="str">
        <f t="shared" si="158"/>
        <v>Jan-00</v>
      </c>
      <c r="R880" s="6" t="str">
        <f t="shared" si="159"/>
        <v>Q1</v>
      </c>
      <c r="S880" s="6">
        <f t="shared" si="160"/>
        <v>1900</v>
      </c>
      <c r="T880" s="6" t="str">
        <f t="shared" si="161"/>
        <v>Retail</v>
      </c>
    </row>
    <row r="881" spans="8:20" x14ac:dyDescent="0.3">
      <c r="H881">
        <f t="shared" si="167"/>
        <v>0</v>
      </c>
      <c r="I881">
        <f t="shared" si="162"/>
        <v>0</v>
      </c>
      <c r="J881">
        <f t="shared" si="163"/>
        <v>0</v>
      </c>
      <c r="K881" t="str">
        <f t="shared" si="164"/>
        <v>January</v>
      </c>
      <c r="L881" t="str">
        <f t="shared" si="165"/>
        <v>Q1</v>
      </c>
      <c r="M881" s="2">
        <f t="shared" si="166"/>
        <v>1900</v>
      </c>
      <c r="N881" t="str">
        <f ca="1">IF(COUNTIFS(A$2:A881,A881,O$2:O881,O881)&gt;1,"Repeat","New")</f>
        <v>New</v>
      </c>
      <c r="O881" s="2" t="e">
        <f t="shared" ca="1" si="156"/>
        <v>#VALUE!</v>
      </c>
      <c r="P881" s="3" t="e">
        <f t="shared" ca="1" si="157"/>
        <v>#VALUE!</v>
      </c>
      <c r="Q881" s="6" t="str">
        <f t="shared" si="158"/>
        <v>Jan-00</v>
      </c>
      <c r="R881" s="6" t="str">
        <f t="shared" si="159"/>
        <v>Q1</v>
      </c>
      <c r="S881" s="6">
        <f t="shared" si="160"/>
        <v>1900</v>
      </c>
      <c r="T881" s="6" t="str">
        <f t="shared" si="161"/>
        <v>Retail</v>
      </c>
    </row>
    <row r="882" spans="8:20" x14ac:dyDescent="0.3">
      <c r="H882">
        <f t="shared" si="167"/>
        <v>0</v>
      </c>
      <c r="I882">
        <f t="shared" si="162"/>
        <v>0</v>
      </c>
      <c r="J882">
        <f t="shared" si="163"/>
        <v>0</v>
      </c>
      <c r="K882" t="str">
        <f t="shared" si="164"/>
        <v>January</v>
      </c>
      <c r="L882" t="str">
        <f t="shared" si="165"/>
        <v>Q1</v>
      </c>
      <c r="M882" s="2">
        <f t="shared" si="166"/>
        <v>1900</v>
      </c>
      <c r="N882" t="str">
        <f ca="1">IF(COUNTIFS(A$2:A882,A882,O$2:O882,O882)&gt;1,"Repeat","New")</f>
        <v>New</v>
      </c>
      <c r="O882" s="2" t="e">
        <f t="shared" ca="1" si="156"/>
        <v>#VALUE!</v>
      </c>
      <c r="P882" s="3" t="e">
        <f t="shared" ca="1" si="157"/>
        <v>#VALUE!</v>
      </c>
      <c r="Q882" s="6" t="str">
        <f t="shared" si="158"/>
        <v>Jan-00</v>
      </c>
      <c r="R882" s="6" t="str">
        <f t="shared" si="159"/>
        <v>Q1</v>
      </c>
      <c r="S882" s="6">
        <f t="shared" si="160"/>
        <v>1900</v>
      </c>
      <c r="T882" s="6" t="str">
        <f t="shared" si="161"/>
        <v>Retail</v>
      </c>
    </row>
    <row r="883" spans="8:20" x14ac:dyDescent="0.3">
      <c r="H883">
        <f t="shared" si="167"/>
        <v>0</v>
      </c>
      <c r="I883">
        <f t="shared" si="162"/>
        <v>0</v>
      </c>
      <c r="J883">
        <f t="shared" si="163"/>
        <v>0</v>
      </c>
      <c r="K883" t="str">
        <f t="shared" si="164"/>
        <v>January</v>
      </c>
      <c r="L883" t="str">
        <f t="shared" si="165"/>
        <v>Q1</v>
      </c>
      <c r="M883" s="2">
        <f t="shared" si="166"/>
        <v>1900</v>
      </c>
      <c r="N883" t="str">
        <f ca="1">IF(COUNTIFS(A$2:A883,A883,O$2:O883,O883)&gt;1,"Repeat","New")</f>
        <v>New</v>
      </c>
      <c r="O883" s="2" t="e">
        <f t="shared" ca="1" si="156"/>
        <v>#VALUE!</v>
      </c>
      <c r="P883" s="3" t="e">
        <f t="shared" ca="1" si="157"/>
        <v>#VALUE!</v>
      </c>
      <c r="Q883" s="6" t="str">
        <f t="shared" si="158"/>
        <v>Jan-00</v>
      </c>
      <c r="R883" s="6" t="str">
        <f t="shared" si="159"/>
        <v>Q1</v>
      </c>
      <c r="S883" s="6">
        <f t="shared" si="160"/>
        <v>1900</v>
      </c>
      <c r="T883" s="6" t="str">
        <f t="shared" si="161"/>
        <v>Retail</v>
      </c>
    </row>
    <row r="884" spans="8:20" x14ac:dyDescent="0.3">
      <c r="H884">
        <f t="shared" si="167"/>
        <v>0</v>
      </c>
      <c r="I884">
        <f t="shared" si="162"/>
        <v>0</v>
      </c>
      <c r="J884">
        <f t="shared" si="163"/>
        <v>0</v>
      </c>
      <c r="K884" t="str">
        <f t="shared" si="164"/>
        <v>January</v>
      </c>
      <c r="L884" t="str">
        <f t="shared" si="165"/>
        <v>Q1</v>
      </c>
      <c r="M884" s="2">
        <f t="shared" si="166"/>
        <v>1900</v>
      </c>
      <c r="N884" t="str">
        <f ca="1">IF(COUNTIFS(A$2:A884,A884,O$2:O884,O884)&gt;1,"Repeat","New")</f>
        <v>New</v>
      </c>
      <c r="O884" s="2" t="e">
        <f t="shared" ca="1" si="156"/>
        <v>#VALUE!</v>
      </c>
      <c r="P884" s="3" t="e">
        <f t="shared" ca="1" si="157"/>
        <v>#VALUE!</v>
      </c>
      <c r="Q884" s="6" t="str">
        <f t="shared" si="158"/>
        <v>Jan-00</v>
      </c>
      <c r="R884" s="6" t="str">
        <f t="shared" si="159"/>
        <v>Q1</v>
      </c>
      <c r="S884" s="6">
        <f t="shared" si="160"/>
        <v>1900</v>
      </c>
      <c r="T884" s="6" t="str">
        <f t="shared" si="161"/>
        <v>Retail</v>
      </c>
    </row>
    <row r="885" spans="8:20" x14ac:dyDescent="0.3">
      <c r="H885">
        <f t="shared" si="167"/>
        <v>0</v>
      </c>
      <c r="I885">
        <f t="shared" si="162"/>
        <v>0</v>
      </c>
      <c r="J885">
        <f t="shared" si="163"/>
        <v>0</v>
      </c>
      <c r="K885" t="str">
        <f t="shared" si="164"/>
        <v>January</v>
      </c>
      <c r="L885" t="str">
        <f t="shared" si="165"/>
        <v>Q1</v>
      </c>
      <c r="M885" s="2">
        <f t="shared" si="166"/>
        <v>1900</v>
      </c>
      <c r="N885" t="str">
        <f ca="1">IF(COUNTIFS(A$2:A885,A885,O$2:O885,O885)&gt;1,"Repeat","New")</f>
        <v>New</v>
      </c>
      <c r="O885" s="2" t="e">
        <f t="shared" ca="1" si="156"/>
        <v>#VALUE!</v>
      </c>
      <c r="P885" s="3" t="e">
        <f t="shared" ca="1" si="157"/>
        <v>#VALUE!</v>
      </c>
      <c r="Q885" s="6" t="str">
        <f t="shared" si="158"/>
        <v>Jan-00</v>
      </c>
      <c r="R885" s="6" t="str">
        <f t="shared" si="159"/>
        <v>Q1</v>
      </c>
      <c r="S885" s="6">
        <f t="shared" si="160"/>
        <v>1900</v>
      </c>
      <c r="T885" s="6" t="str">
        <f t="shared" si="161"/>
        <v>Retail</v>
      </c>
    </row>
    <row r="886" spans="8:20" x14ac:dyDescent="0.3">
      <c r="H886">
        <f t="shared" si="167"/>
        <v>0</v>
      </c>
      <c r="I886">
        <f t="shared" si="162"/>
        <v>0</v>
      </c>
      <c r="J886">
        <f t="shared" si="163"/>
        <v>0</v>
      </c>
      <c r="K886" t="str">
        <f t="shared" si="164"/>
        <v>January</v>
      </c>
      <c r="L886" t="str">
        <f t="shared" si="165"/>
        <v>Q1</v>
      </c>
      <c r="M886" s="2">
        <f t="shared" si="166"/>
        <v>1900</v>
      </c>
      <c r="N886" t="str">
        <f ca="1">IF(COUNTIFS(A$2:A886,A886,O$2:O886,O886)&gt;1,"Repeat","New")</f>
        <v>New</v>
      </c>
      <c r="O886" s="2" t="e">
        <f t="shared" ref="O886:O949" ca="1" si="168">M886-N886</f>
        <v>#VALUE!</v>
      </c>
      <c r="P886" s="3" t="e">
        <f t="shared" ref="P886:P949" ca="1" si="169">IF(M886&gt;0,O886/M886,0)</f>
        <v>#VALUE!</v>
      </c>
      <c r="Q886" s="6" t="str">
        <f t="shared" ref="Q886:Q949" si="170">TEXT(B886, "mmm-yy")</f>
        <v>Jan-00</v>
      </c>
      <c r="R886" s="6" t="str">
        <f t="shared" ref="R886:R949" si="171">"Q"&amp;INT((MONTH(B886)-1)/3)+1</f>
        <v>Q1</v>
      </c>
      <c r="S886" s="6">
        <f t="shared" ref="S886:S949" si="172">YEAR(B886)</f>
        <v>1900</v>
      </c>
      <c r="T886" s="6" t="str">
        <f t="shared" ref="T886:T949" si="173">IF(M886&gt;5000, "Enterprise", "Retail")</f>
        <v>Retail</v>
      </c>
    </row>
    <row r="887" spans="8:20" x14ac:dyDescent="0.3">
      <c r="H887">
        <f t="shared" si="167"/>
        <v>0</v>
      </c>
      <c r="I887">
        <f t="shared" si="162"/>
        <v>0</v>
      </c>
      <c r="J887">
        <f t="shared" si="163"/>
        <v>0</v>
      </c>
      <c r="K887" t="str">
        <f t="shared" si="164"/>
        <v>January</v>
      </c>
      <c r="L887" t="str">
        <f t="shared" si="165"/>
        <v>Q1</v>
      </c>
      <c r="M887" s="2">
        <f t="shared" si="166"/>
        <v>1900</v>
      </c>
      <c r="N887" t="str">
        <f ca="1">IF(COUNTIFS(A$2:A887,A887,O$2:O887,O887)&gt;1,"Repeat","New")</f>
        <v>New</v>
      </c>
      <c r="O887" s="2" t="e">
        <f t="shared" ca="1" si="168"/>
        <v>#VALUE!</v>
      </c>
      <c r="P887" s="3" t="e">
        <f t="shared" ca="1" si="169"/>
        <v>#VALUE!</v>
      </c>
      <c r="Q887" s="6" t="str">
        <f t="shared" si="170"/>
        <v>Jan-00</v>
      </c>
      <c r="R887" s="6" t="str">
        <f t="shared" si="171"/>
        <v>Q1</v>
      </c>
      <c r="S887" s="6">
        <f t="shared" si="172"/>
        <v>1900</v>
      </c>
      <c r="T887" s="6" t="str">
        <f t="shared" si="173"/>
        <v>Retail</v>
      </c>
    </row>
    <row r="888" spans="8:20" x14ac:dyDescent="0.3">
      <c r="H888">
        <f t="shared" si="167"/>
        <v>0</v>
      </c>
      <c r="I888">
        <f t="shared" si="162"/>
        <v>0</v>
      </c>
      <c r="J888">
        <f t="shared" si="163"/>
        <v>0</v>
      </c>
      <c r="K888" t="str">
        <f t="shared" si="164"/>
        <v>January</v>
      </c>
      <c r="L888" t="str">
        <f t="shared" si="165"/>
        <v>Q1</v>
      </c>
      <c r="M888" s="2">
        <f t="shared" si="166"/>
        <v>1900</v>
      </c>
      <c r="N888" t="str">
        <f ca="1">IF(COUNTIFS(A$2:A888,A888,O$2:O888,O888)&gt;1,"Repeat","New")</f>
        <v>New</v>
      </c>
      <c r="O888" s="2" t="e">
        <f t="shared" ca="1" si="168"/>
        <v>#VALUE!</v>
      </c>
      <c r="P888" s="3" t="e">
        <f t="shared" ca="1" si="169"/>
        <v>#VALUE!</v>
      </c>
      <c r="Q888" s="6" t="str">
        <f t="shared" si="170"/>
        <v>Jan-00</v>
      </c>
      <c r="R888" s="6" t="str">
        <f t="shared" si="171"/>
        <v>Q1</v>
      </c>
      <c r="S888" s="6">
        <f t="shared" si="172"/>
        <v>1900</v>
      </c>
      <c r="T888" s="6" t="str">
        <f t="shared" si="173"/>
        <v>Retail</v>
      </c>
    </row>
    <row r="889" spans="8:20" x14ac:dyDescent="0.3">
      <c r="H889">
        <f t="shared" si="167"/>
        <v>0</v>
      </c>
      <c r="I889">
        <f t="shared" si="162"/>
        <v>0</v>
      </c>
      <c r="J889">
        <f t="shared" si="163"/>
        <v>0</v>
      </c>
      <c r="K889" t="str">
        <f t="shared" si="164"/>
        <v>January</v>
      </c>
      <c r="L889" t="str">
        <f t="shared" si="165"/>
        <v>Q1</v>
      </c>
      <c r="M889" s="2">
        <f t="shared" si="166"/>
        <v>1900</v>
      </c>
      <c r="N889" t="str">
        <f ca="1">IF(COUNTIFS(A$2:A889,A889,O$2:O889,O889)&gt;1,"Repeat","New")</f>
        <v>New</v>
      </c>
      <c r="O889" s="2" t="e">
        <f t="shared" ca="1" si="168"/>
        <v>#VALUE!</v>
      </c>
      <c r="P889" s="3" t="e">
        <f t="shared" ca="1" si="169"/>
        <v>#VALUE!</v>
      </c>
      <c r="Q889" s="6" t="str">
        <f t="shared" si="170"/>
        <v>Jan-00</v>
      </c>
      <c r="R889" s="6" t="str">
        <f t="shared" si="171"/>
        <v>Q1</v>
      </c>
      <c r="S889" s="6">
        <f t="shared" si="172"/>
        <v>1900</v>
      </c>
      <c r="T889" s="6" t="str">
        <f t="shared" si="173"/>
        <v>Retail</v>
      </c>
    </row>
    <row r="890" spans="8:20" x14ac:dyDescent="0.3">
      <c r="H890">
        <f t="shared" si="167"/>
        <v>0</v>
      </c>
      <c r="I890">
        <f t="shared" si="162"/>
        <v>0</v>
      </c>
      <c r="J890">
        <f t="shared" si="163"/>
        <v>0</v>
      </c>
      <c r="K890" t="str">
        <f t="shared" si="164"/>
        <v>January</v>
      </c>
      <c r="L890" t="str">
        <f t="shared" si="165"/>
        <v>Q1</v>
      </c>
      <c r="M890" s="2">
        <f t="shared" si="166"/>
        <v>1900</v>
      </c>
      <c r="N890" t="str">
        <f ca="1">IF(COUNTIFS(A$2:A890,A890,O$2:O890,O890)&gt;1,"Repeat","New")</f>
        <v>New</v>
      </c>
      <c r="O890" s="2" t="e">
        <f t="shared" ca="1" si="168"/>
        <v>#VALUE!</v>
      </c>
      <c r="P890" s="3" t="e">
        <f t="shared" ca="1" si="169"/>
        <v>#VALUE!</v>
      </c>
      <c r="Q890" s="6" t="str">
        <f t="shared" si="170"/>
        <v>Jan-00</v>
      </c>
      <c r="R890" s="6" t="str">
        <f t="shared" si="171"/>
        <v>Q1</v>
      </c>
      <c r="S890" s="6">
        <f t="shared" si="172"/>
        <v>1900</v>
      </c>
      <c r="T890" s="6" t="str">
        <f t="shared" si="173"/>
        <v>Retail</v>
      </c>
    </row>
    <row r="891" spans="8:20" x14ac:dyDescent="0.3">
      <c r="H891">
        <f t="shared" si="167"/>
        <v>0</v>
      </c>
      <c r="I891">
        <f t="shared" si="162"/>
        <v>0</v>
      </c>
      <c r="J891">
        <f t="shared" si="163"/>
        <v>0</v>
      </c>
      <c r="K891" t="str">
        <f t="shared" si="164"/>
        <v>January</v>
      </c>
      <c r="L891" t="str">
        <f t="shared" si="165"/>
        <v>Q1</v>
      </c>
      <c r="M891" s="2">
        <f t="shared" si="166"/>
        <v>1900</v>
      </c>
      <c r="N891" t="str">
        <f ca="1">IF(COUNTIFS(A$2:A891,A891,O$2:O891,O891)&gt;1,"Repeat","New")</f>
        <v>New</v>
      </c>
      <c r="O891" s="2" t="e">
        <f t="shared" ca="1" si="168"/>
        <v>#VALUE!</v>
      </c>
      <c r="P891" s="3" t="e">
        <f t="shared" ca="1" si="169"/>
        <v>#VALUE!</v>
      </c>
      <c r="Q891" s="6" t="str">
        <f t="shared" si="170"/>
        <v>Jan-00</v>
      </c>
      <c r="R891" s="6" t="str">
        <f t="shared" si="171"/>
        <v>Q1</v>
      </c>
      <c r="S891" s="6">
        <f t="shared" si="172"/>
        <v>1900</v>
      </c>
      <c r="T891" s="6" t="str">
        <f t="shared" si="173"/>
        <v>Retail</v>
      </c>
    </row>
    <row r="892" spans="8:20" x14ac:dyDescent="0.3">
      <c r="H892">
        <f t="shared" si="167"/>
        <v>0</v>
      </c>
      <c r="I892">
        <f t="shared" si="162"/>
        <v>0</v>
      </c>
      <c r="J892">
        <f t="shared" si="163"/>
        <v>0</v>
      </c>
      <c r="K892" t="str">
        <f t="shared" si="164"/>
        <v>January</v>
      </c>
      <c r="L892" t="str">
        <f t="shared" si="165"/>
        <v>Q1</v>
      </c>
      <c r="M892" s="2">
        <f t="shared" si="166"/>
        <v>1900</v>
      </c>
      <c r="N892" t="str">
        <f ca="1">IF(COUNTIFS(A$2:A892,A892,O$2:O892,O892)&gt;1,"Repeat","New")</f>
        <v>New</v>
      </c>
      <c r="O892" s="2" t="e">
        <f t="shared" ca="1" si="168"/>
        <v>#VALUE!</v>
      </c>
      <c r="P892" s="3" t="e">
        <f t="shared" ca="1" si="169"/>
        <v>#VALUE!</v>
      </c>
      <c r="Q892" s="6" t="str">
        <f t="shared" si="170"/>
        <v>Jan-00</v>
      </c>
      <c r="R892" s="6" t="str">
        <f t="shared" si="171"/>
        <v>Q1</v>
      </c>
      <c r="S892" s="6">
        <f t="shared" si="172"/>
        <v>1900</v>
      </c>
      <c r="T892" s="6" t="str">
        <f t="shared" si="173"/>
        <v>Retail</v>
      </c>
    </row>
    <row r="893" spans="8:20" x14ac:dyDescent="0.3">
      <c r="H893">
        <f t="shared" si="167"/>
        <v>0</v>
      </c>
      <c r="I893">
        <f t="shared" si="162"/>
        <v>0</v>
      </c>
      <c r="J893">
        <f t="shared" si="163"/>
        <v>0</v>
      </c>
      <c r="K893" t="str">
        <f t="shared" si="164"/>
        <v>January</v>
      </c>
      <c r="L893" t="str">
        <f t="shared" si="165"/>
        <v>Q1</v>
      </c>
      <c r="M893" s="2">
        <f t="shared" si="166"/>
        <v>1900</v>
      </c>
      <c r="N893" t="str">
        <f ca="1">IF(COUNTIFS(A$2:A893,A893,O$2:O893,O893)&gt;1,"Repeat","New")</f>
        <v>New</v>
      </c>
      <c r="O893" s="2" t="e">
        <f t="shared" ca="1" si="168"/>
        <v>#VALUE!</v>
      </c>
      <c r="P893" s="3" t="e">
        <f t="shared" ca="1" si="169"/>
        <v>#VALUE!</v>
      </c>
      <c r="Q893" s="6" t="str">
        <f t="shared" si="170"/>
        <v>Jan-00</v>
      </c>
      <c r="R893" s="6" t="str">
        <f t="shared" si="171"/>
        <v>Q1</v>
      </c>
      <c r="S893" s="6">
        <f t="shared" si="172"/>
        <v>1900</v>
      </c>
      <c r="T893" s="6" t="str">
        <f t="shared" si="173"/>
        <v>Retail</v>
      </c>
    </row>
    <row r="894" spans="8:20" x14ac:dyDescent="0.3">
      <c r="H894">
        <f t="shared" si="167"/>
        <v>0</v>
      </c>
      <c r="I894">
        <f t="shared" si="162"/>
        <v>0</v>
      </c>
      <c r="J894">
        <f t="shared" si="163"/>
        <v>0</v>
      </c>
      <c r="K894" t="str">
        <f t="shared" si="164"/>
        <v>January</v>
      </c>
      <c r="L894" t="str">
        <f t="shared" si="165"/>
        <v>Q1</v>
      </c>
      <c r="M894" s="2">
        <f t="shared" si="166"/>
        <v>1900</v>
      </c>
      <c r="N894" t="str">
        <f ca="1">IF(COUNTIFS(A$2:A894,A894,O$2:O894,O894)&gt;1,"Repeat","New")</f>
        <v>New</v>
      </c>
      <c r="O894" s="2" t="e">
        <f t="shared" ca="1" si="168"/>
        <v>#VALUE!</v>
      </c>
      <c r="P894" s="3" t="e">
        <f t="shared" ca="1" si="169"/>
        <v>#VALUE!</v>
      </c>
      <c r="Q894" s="6" t="str">
        <f t="shared" si="170"/>
        <v>Jan-00</v>
      </c>
      <c r="R894" s="6" t="str">
        <f t="shared" si="171"/>
        <v>Q1</v>
      </c>
      <c r="S894" s="6">
        <f t="shared" si="172"/>
        <v>1900</v>
      </c>
      <c r="T894" s="6" t="str">
        <f t="shared" si="173"/>
        <v>Retail</v>
      </c>
    </row>
    <row r="895" spans="8:20" x14ac:dyDescent="0.3">
      <c r="H895">
        <f t="shared" si="167"/>
        <v>0</v>
      </c>
      <c r="I895">
        <f t="shared" si="162"/>
        <v>0</v>
      </c>
      <c r="J895">
        <f t="shared" si="163"/>
        <v>0</v>
      </c>
      <c r="K895" t="str">
        <f t="shared" si="164"/>
        <v>January</v>
      </c>
      <c r="L895" t="str">
        <f t="shared" si="165"/>
        <v>Q1</v>
      </c>
      <c r="M895" s="2">
        <f t="shared" si="166"/>
        <v>1900</v>
      </c>
      <c r="N895" t="str">
        <f ca="1">IF(COUNTIFS(A$2:A895,A895,O$2:O895,O895)&gt;1,"Repeat","New")</f>
        <v>New</v>
      </c>
      <c r="O895" s="2" t="e">
        <f t="shared" ca="1" si="168"/>
        <v>#VALUE!</v>
      </c>
      <c r="P895" s="3" t="e">
        <f t="shared" ca="1" si="169"/>
        <v>#VALUE!</v>
      </c>
      <c r="Q895" s="6" t="str">
        <f t="shared" si="170"/>
        <v>Jan-00</v>
      </c>
      <c r="R895" s="6" t="str">
        <f t="shared" si="171"/>
        <v>Q1</v>
      </c>
      <c r="S895" s="6">
        <f t="shared" si="172"/>
        <v>1900</v>
      </c>
      <c r="T895" s="6" t="str">
        <f t="shared" si="173"/>
        <v>Retail</v>
      </c>
    </row>
    <row r="896" spans="8:20" x14ac:dyDescent="0.3">
      <c r="H896">
        <f t="shared" si="167"/>
        <v>0</v>
      </c>
      <c r="I896">
        <f t="shared" si="162"/>
        <v>0</v>
      </c>
      <c r="J896">
        <f t="shared" si="163"/>
        <v>0</v>
      </c>
      <c r="K896" t="str">
        <f t="shared" si="164"/>
        <v>January</v>
      </c>
      <c r="L896" t="str">
        <f t="shared" si="165"/>
        <v>Q1</v>
      </c>
      <c r="M896" s="2">
        <f t="shared" si="166"/>
        <v>1900</v>
      </c>
      <c r="N896" t="str">
        <f ca="1">IF(COUNTIFS(A$2:A896,A896,O$2:O896,O896)&gt;1,"Repeat","New")</f>
        <v>New</v>
      </c>
      <c r="O896" s="2" t="e">
        <f t="shared" ca="1" si="168"/>
        <v>#VALUE!</v>
      </c>
      <c r="P896" s="3" t="e">
        <f t="shared" ca="1" si="169"/>
        <v>#VALUE!</v>
      </c>
      <c r="Q896" s="6" t="str">
        <f t="shared" si="170"/>
        <v>Jan-00</v>
      </c>
      <c r="R896" s="6" t="str">
        <f t="shared" si="171"/>
        <v>Q1</v>
      </c>
      <c r="S896" s="6">
        <f t="shared" si="172"/>
        <v>1900</v>
      </c>
      <c r="T896" s="6" t="str">
        <f t="shared" si="173"/>
        <v>Retail</v>
      </c>
    </row>
    <row r="897" spans="8:20" x14ac:dyDescent="0.3">
      <c r="H897">
        <f t="shared" si="167"/>
        <v>0</v>
      </c>
      <c r="I897">
        <f t="shared" si="162"/>
        <v>0</v>
      </c>
      <c r="J897">
        <f t="shared" si="163"/>
        <v>0</v>
      </c>
      <c r="K897" t="str">
        <f t="shared" si="164"/>
        <v>January</v>
      </c>
      <c r="L897" t="str">
        <f t="shared" si="165"/>
        <v>Q1</v>
      </c>
      <c r="M897" s="2">
        <f t="shared" si="166"/>
        <v>1900</v>
      </c>
      <c r="N897" t="str">
        <f ca="1">IF(COUNTIFS(A$2:A897,A897,O$2:O897,O897)&gt;1,"Repeat","New")</f>
        <v>New</v>
      </c>
      <c r="O897" s="2" t="e">
        <f t="shared" ca="1" si="168"/>
        <v>#VALUE!</v>
      </c>
      <c r="P897" s="3" t="e">
        <f t="shared" ca="1" si="169"/>
        <v>#VALUE!</v>
      </c>
      <c r="Q897" s="6" t="str">
        <f t="shared" si="170"/>
        <v>Jan-00</v>
      </c>
      <c r="R897" s="6" t="str">
        <f t="shared" si="171"/>
        <v>Q1</v>
      </c>
      <c r="S897" s="6">
        <f t="shared" si="172"/>
        <v>1900</v>
      </c>
      <c r="T897" s="6" t="str">
        <f t="shared" si="173"/>
        <v>Retail</v>
      </c>
    </row>
    <row r="898" spans="8:20" x14ac:dyDescent="0.3">
      <c r="H898">
        <f t="shared" si="167"/>
        <v>0</v>
      </c>
      <c r="I898">
        <f t="shared" ref="I898:I961" si="174">H898-(D898*F898)</f>
        <v>0</v>
      </c>
      <c r="J898">
        <f t="shared" ref="J898:J961" si="175">IF(H898&gt;0,I898/H898,0)</f>
        <v>0</v>
      </c>
      <c r="K898" t="str">
        <f t="shared" ref="K898:K961" si="176">TEXT(A898,"mmmm")</f>
        <v>January</v>
      </c>
      <c r="L898" t="str">
        <f t="shared" ref="L898:L961" si="177">"Q"&amp;ROUNDUP(MONTH(A898)/3,0)</f>
        <v>Q1</v>
      </c>
      <c r="M898" s="2">
        <f t="shared" ref="M898:M961" si="178">YEAR(A898)</f>
        <v>1900</v>
      </c>
      <c r="N898" t="str">
        <f ca="1">IF(COUNTIFS(A$2:A898,A898,O$2:O898,O898)&gt;1,"Repeat","New")</f>
        <v>New</v>
      </c>
      <c r="O898" s="2" t="e">
        <f t="shared" ca="1" si="168"/>
        <v>#VALUE!</v>
      </c>
      <c r="P898" s="3" t="e">
        <f t="shared" ca="1" si="169"/>
        <v>#VALUE!</v>
      </c>
      <c r="Q898" s="6" t="str">
        <f t="shared" si="170"/>
        <v>Jan-00</v>
      </c>
      <c r="R898" s="6" t="str">
        <f t="shared" si="171"/>
        <v>Q1</v>
      </c>
      <c r="S898" s="6">
        <f t="shared" si="172"/>
        <v>1900</v>
      </c>
      <c r="T898" s="6" t="str">
        <f t="shared" si="173"/>
        <v>Retail</v>
      </c>
    </row>
    <row r="899" spans="8:20" x14ac:dyDescent="0.3">
      <c r="H899">
        <f t="shared" ref="H899:H962" si="179">(E899*F899)*(1-G899)</f>
        <v>0</v>
      </c>
      <c r="I899">
        <f t="shared" si="174"/>
        <v>0</v>
      </c>
      <c r="J899">
        <f t="shared" si="175"/>
        <v>0</v>
      </c>
      <c r="K899" t="str">
        <f t="shared" si="176"/>
        <v>January</v>
      </c>
      <c r="L899" t="str">
        <f t="shared" si="177"/>
        <v>Q1</v>
      </c>
      <c r="M899" s="2">
        <f t="shared" si="178"/>
        <v>1900</v>
      </c>
      <c r="N899" t="str">
        <f ca="1">IF(COUNTIFS(A$2:A899,A899,O$2:O899,O899)&gt;1,"Repeat","New")</f>
        <v>New</v>
      </c>
      <c r="O899" s="2" t="e">
        <f t="shared" ca="1" si="168"/>
        <v>#VALUE!</v>
      </c>
      <c r="P899" s="3" t="e">
        <f t="shared" ca="1" si="169"/>
        <v>#VALUE!</v>
      </c>
      <c r="Q899" s="6" t="str">
        <f t="shared" si="170"/>
        <v>Jan-00</v>
      </c>
      <c r="R899" s="6" t="str">
        <f t="shared" si="171"/>
        <v>Q1</v>
      </c>
      <c r="S899" s="6">
        <f t="shared" si="172"/>
        <v>1900</v>
      </c>
      <c r="T899" s="6" t="str">
        <f t="shared" si="173"/>
        <v>Retail</v>
      </c>
    </row>
    <row r="900" spans="8:20" x14ac:dyDescent="0.3">
      <c r="H900">
        <f t="shared" si="179"/>
        <v>0</v>
      </c>
      <c r="I900">
        <f t="shared" si="174"/>
        <v>0</v>
      </c>
      <c r="J900">
        <f t="shared" si="175"/>
        <v>0</v>
      </c>
      <c r="K900" t="str">
        <f t="shared" si="176"/>
        <v>January</v>
      </c>
      <c r="L900" t="str">
        <f t="shared" si="177"/>
        <v>Q1</v>
      </c>
      <c r="M900" s="2">
        <f t="shared" si="178"/>
        <v>1900</v>
      </c>
      <c r="N900" t="str">
        <f ca="1">IF(COUNTIFS(A$2:A900,A900,O$2:O900,O900)&gt;1,"Repeat","New")</f>
        <v>New</v>
      </c>
      <c r="O900" s="2" t="e">
        <f t="shared" ca="1" si="168"/>
        <v>#VALUE!</v>
      </c>
      <c r="P900" s="3" t="e">
        <f t="shared" ca="1" si="169"/>
        <v>#VALUE!</v>
      </c>
      <c r="Q900" s="6" t="str">
        <f t="shared" si="170"/>
        <v>Jan-00</v>
      </c>
      <c r="R900" s="6" t="str">
        <f t="shared" si="171"/>
        <v>Q1</v>
      </c>
      <c r="S900" s="6">
        <f t="shared" si="172"/>
        <v>1900</v>
      </c>
      <c r="T900" s="6" t="str">
        <f t="shared" si="173"/>
        <v>Retail</v>
      </c>
    </row>
    <row r="901" spans="8:20" x14ac:dyDescent="0.3">
      <c r="H901">
        <f t="shared" si="179"/>
        <v>0</v>
      </c>
      <c r="I901">
        <f t="shared" si="174"/>
        <v>0</v>
      </c>
      <c r="J901">
        <f t="shared" si="175"/>
        <v>0</v>
      </c>
      <c r="K901" t="str">
        <f t="shared" si="176"/>
        <v>January</v>
      </c>
      <c r="L901" t="str">
        <f t="shared" si="177"/>
        <v>Q1</v>
      </c>
      <c r="M901" s="2">
        <f t="shared" si="178"/>
        <v>1900</v>
      </c>
      <c r="N901" t="str">
        <f ca="1">IF(COUNTIFS(A$2:A901,A901,O$2:O901,O901)&gt;1,"Repeat","New")</f>
        <v>New</v>
      </c>
      <c r="O901" s="2" t="e">
        <f t="shared" ca="1" si="168"/>
        <v>#VALUE!</v>
      </c>
      <c r="P901" s="3" t="e">
        <f t="shared" ca="1" si="169"/>
        <v>#VALUE!</v>
      </c>
      <c r="Q901" s="6" t="str">
        <f t="shared" si="170"/>
        <v>Jan-00</v>
      </c>
      <c r="R901" s="6" t="str">
        <f t="shared" si="171"/>
        <v>Q1</v>
      </c>
      <c r="S901" s="6">
        <f t="shared" si="172"/>
        <v>1900</v>
      </c>
      <c r="T901" s="6" t="str">
        <f t="shared" si="173"/>
        <v>Retail</v>
      </c>
    </row>
    <row r="902" spans="8:20" x14ac:dyDescent="0.3">
      <c r="H902">
        <f t="shared" si="179"/>
        <v>0</v>
      </c>
      <c r="I902">
        <f t="shared" si="174"/>
        <v>0</v>
      </c>
      <c r="J902">
        <f t="shared" si="175"/>
        <v>0</v>
      </c>
      <c r="K902" t="str">
        <f t="shared" si="176"/>
        <v>January</v>
      </c>
      <c r="L902" t="str">
        <f t="shared" si="177"/>
        <v>Q1</v>
      </c>
      <c r="M902" s="2">
        <f t="shared" si="178"/>
        <v>1900</v>
      </c>
      <c r="N902" t="str">
        <f ca="1">IF(COUNTIFS(A$2:A902,A902,O$2:O902,O902)&gt;1,"Repeat","New")</f>
        <v>New</v>
      </c>
      <c r="O902" s="2" t="e">
        <f t="shared" ca="1" si="168"/>
        <v>#VALUE!</v>
      </c>
      <c r="P902" s="3" t="e">
        <f t="shared" ca="1" si="169"/>
        <v>#VALUE!</v>
      </c>
      <c r="Q902" s="6" t="str">
        <f t="shared" si="170"/>
        <v>Jan-00</v>
      </c>
      <c r="R902" s="6" t="str">
        <f t="shared" si="171"/>
        <v>Q1</v>
      </c>
      <c r="S902" s="6">
        <f t="shared" si="172"/>
        <v>1900</v>
      </c>
      <c r="T902" s="6" t="str">
        <f t="shared" si="173"/>
        <v>Retail</v>
      </c>
    </row>
    <row r="903" spans="8:20" x14ac:dyDescent="0.3">
      <c r="H903">
        <f t="shared" si="179"/>
        <v>0</v>
      </c>
      <c r="I903">
        <f t="shared" si="174"/>
        <v>0</v>
      </c>
      <c r="J903">
        <f t="shared" si="175"/>
        <v>0</v>
      </c>
      <c r="K903" t="str">
        <f t="shared" si="176"/>
        <v>January</v>
      </c>
      <c r="L903" t="str">
        <f t="shared" si="177"/>
        <v>Q1</v>
      </c>
      <c r="M903" s="2">
        <f t="shared" si="178"/>
        <v>1900</v>
      </c>
      <c r="N903" t="str">
        <f ca="1">IF(COUNTIFS(A$2:A903,A903,O$2:O903,O903)&gt;1,"Repeat","New")</f>
        <v>New</v>
      </c>
      <c r="O903" s="2" t="e">
        <f t="shared" ca="1" si="168"/>
        <v>#VALUE!</v>
      </c>
      <c r="P903" s="3" t="e">
        <f t="shared" ca="1" si="169"/>
        <v>#VALUE!</v>
      </c>
      <c r="Q903" s="6" t="str">
        <f t="shared" si="170"/>
        <v>Jan-00</v>
      </c>
      <c r="R903" s="6" t="str">
        <f t="shared" si="171"/>
        <v>Q1</v>
      </c>
      <c r="S903" s="6">
        <f t="shared" si="172"/>
        <v>1900</v>
      </c>
      <c r="T903" s="6" t="str">
        <f t="shared" si="173"/>
        <v>Retail</v>
      </c>
    </row>
    <row r="904" spans="8:20" x14ac:dyDescent="0.3">
      <c r="H904">
        <f t="shared" si="179"/>
        <v>0</v>
      </c>
      <c r="I904">
        <f t="shared" si="174"/>
        <v>0</v>
      </c>
      <c r="J904">
        <f t="shared" si="175"/>
        <v>0</v>
      </c>
      <c r="K904" t="str">
        <f t="shared" si="176"/>
        <v>January</v>
      </c>
      <c r="L904" t="str">
        <f t="shared" si="177"/>
        <v>Q1</v>
      </c>
      <c r="M904" s="2">
        <f t="shared" si="178"/>
        <v>1900</v>
      </c>
      <c r="N904" t="str">
        <f ca="1">IF(COUNTIFS(A$2:A904,A904,O$2:O904,O904)&gt;1,"Repeat","New")</f>
        <v>New</v>
      </c>
      <c r="O904" s="2" t="e">
        <f t="shared" ca="1" si="168"/>
        <v>#VALUE!</v>
      </c>
      <c r="P904" s="3" t="e">
        <f t="shared" ca="1" si="169"/>
        <v>#VALUE!</v>
      </c>
      <c r="Q904" s="6" t="str">
        <f t="shared" si="170"/>
        <v>Jan-00</v>
      </c>
      <c r="R904" s="6" t="str">
        <f t="shared" si="171"/>
        <v>Q1</v>
      </c>
      <c r="S904" s="6">
        <f t="shared" si="172"/>
        <v>1900</v>
      </c>
      <c r="T904" s="6" t="str">
        <f t="shared" si="173"/>
        <v>Retail</v>
      </c>
    </row>
    <row r="905" spans="8:20" x14ac:dyDescent="0.3">
      <c r="H905">
        <f t="shared" si="179"/>
        <v>0</v>
      </c>
      <c r="I905">
        <f t="shared" si="174"/>
        <v>0</v>
      </c>
      <c r="J905">
        <f t="shared" si="175"/>
        <v>0</v>
      </c>
      <c r="K905" t="str">
        <f t="shared" si="176"/>
        <v>January</v>
      </c>
      <c r="L905" t="str">
        <f t="shared" si="177"/>
        <v>Q1</v>
      </c>
      <c r="M905" s="2">
        <f t="shared" si="178"/>
        <v>1900</v>
      </c>
      <c r="N905" t="str">
        <f ca="1">IF(COUNTIFS(A$2:A905,A905,O$2:O905,O905)&gt;1,"Repeat","New")</f>
        <v>New</v>
      </c>
      <c r="O905" s="2" t="e">
        <f t="shared" ca="1" si="168"/>
        <v>#VALUE!</v>
      </c>
      <c r="P905" s="3" t="e">
        <f t="shared" ca="1" si="169"/>
        <v>#VALUE!</v>
      </c>
      <c r="Q905" s="6" t="str">
        <f t="shared" si="170"/>
        <v>Jan-00</v>
      </c>
      <c r="R905" s="6" t="str">
        <f t="shared" si="171"/>
        <v>Q1</v>
      </c>
      <c r="S905" s="6">
        <f t="shared" si="172"/>
        <v>1900</v>
      </c>
      <c r="T905" s="6" t="str">
        <f t="shared" si="173"/>
        <v>Retail</v>
      </c>
    </row>
    <row r="906" spans="8:20" x14ac:dyDescent="0.3">
      <c r="H906">
        <f t="shared" si="179"/>
        <v>0</v>
      </c>
      <c r="I906">
        <f t="shared" si="174"/>
        <v>0</v>
      </c>
      <c r="J906">
        <f t="shared" si="175"/>
        <v>0</v>
      </c>
      <c r="K906" t="str">
        <f t="shared" si="176"/>
        <v>January</v>
      </c>
      <c r="L906" t="str">
        <f t="shared" si="177"/>
        <v>Q1</v>
      </c>
      <c r="M906" s="2">
        <f t="shared" si="178"/>
        <v>1900</v>
      </c>
      <c r="N906" t="str">
        <f ca="1">IF(COUNTIFS(A$2:A906,A906,O$2:O906,O906)&gt;1,"Repeat","New")</f>
        <v>New</v>
      </c>
      <c r="O906" s="2" t="e">
        <f t="shared" ca="1" si="168"/>
        <v>#VALUE!</v>
      </c>
      <c r="P906" s="3" t="e">
        <f t="shared" ca="1" si="169"/>
        <v>#VALUE!</v>
      </c>
      <c r="Q906" s="6" t="str">
        <f t="shared" si="170"/>
        <v>Jan-00</v>
      </c>
      <c r="R906" s="6" t="str">
        <f t="shared" si="171"/>
        <v>Q1</v>
      </c>
      <c r="S906" s="6">
        <f t="shared" si="172"/>
        <v>1900</v>
      </c>
      <c r="T906" s="6" t="str">
        <f t="shared" si="173"/>
        <v>Retail</v>
      </c>
    </row>
    <row r="907" spans="8:20" x14ac:dyDescent="0.3">
      <c r="H907">
        <f t="shared" si="179"/>
        <v>0</v>
      </c>
      <c r="I907">
        <f t="shared" si="174"/>
        <v>0</v>
      </c>
      <c r="J907">
        <f t="shared" si="175"/>
        <v>0</v>
      </c>
      <c r="K907" t="str">
        <f t="shared" si="176"/>
        <v>January</v>
      </c>
      <c r="L907" t="str">
        <f t="shared" si="177"/>
        <v>Q1</v>
      </c>
      <c r="M907" s="2">
        <f t="shared" si="178"/>
        <v>1900</v>
      </c>
      <c r="N907" t="str">
        <f ca="1">IF(COUNTIFS(A$2:A907,A907,O$2:O907,O907)&gt;1,"Repeat","New")</f>
        <v>New</v>
      </c>
      <c r="O907" s="2" t="e">
        <f t="shared" ca="1" si="168"/>
        <v>#VALUE!</v>
      </c>
      <c r="P907" s="3" t="e">
        <f t="shared" ca="1" si="169"/>
        <v>#VALUE!</v>
      </c>
      <c r="Q907" s="6" t="str">
        <f t="shared" si="170"/>
        <v>Jan-00</v>
      </c>
      <c r="R907" s="6" t="str">
        <f t="shared" si="171"/>
        <v>Q1</v>
      </c>
      <c r="S907" s="6">
        <f t="shared" si="172"/>
        <v>1900</v>
      </c>
      <c r="T907" s="6" t="str">
        <f t="shared" si="173"/>
        <v>Retail</v>
      </c>
    </row>
    <row r="908" spans="8:20" x14ac:dyDescent="0.3">
      <c r="H908">
        <f t="shared" si="179"/>
        <v>0</v>
      </c>
      <c r="I908">
        <f t="shared" si="174"/>
        <v>0</v>
      </c>
      <c r="J908">
        <f t="shared" si="175"/>
        <v>0</v>
      </c>
      <c r="K908" t="str">
        <f t="shared" si="176"/>
        <v>January</v>
      </c>
      <c r="L908" t="str">
        <f t="shared" si="177"/>
        <v>Q1</v>
      </c>
      <c r="M908" s="2">
        <f t="shared" si="178"/>
        <v>1900</v>
      </c>
      <c r="N908" t="str">
        <f ca="1">IF(COUNTIFS(A$2:A908,A908,O$2:O908,O908)&gt;1,"Repeat","New")</f>
        <v>New</v>
      </c>
      <c r="O908" s="2" t="e">
        <f t="shared" ca="1" si="168"/>
        <v>#VALUE!</v>
      </c>
      <c r="P908" s="3" t="e">
        <f t="shared" ca="1" si="169"/>
        <v>#VALUE!</v>
      </c>
      <c r="Q908" s="6" t="str">
        <f t="shared" si="170"/>
        <v>Jan-00</v>
      </c>
      <c r="R908" s="6" t="str">
        <f t="shared" si="171"/>
        <v>Q1</v>
      </c>
      <c r="S908" s="6">
        <f t="shared" si="172"/>
        <v>1900</v>
      </c>
      <c r="T908" s="6" t="str">
        <f t="shared" si="173"/>
        <v>Retail</v>
      </c>
    </row>
    <row r="909" spans="8:20" x14ac:dyDescent="0.3">
      <c r="H909">
        <f t="shared" si="179"/>
        <v>0</v>
      </c>
      <c r="I909">
        <f t="shared" si="174"/>
        <v>0</v>
      </c>
      <c r="J909">
        <f t="shared" si="175"/>
        <v>0</v>
      </c>
      <c r="K909" t="str">
        <f t="shared" si="176"/>
        <v>January</v>
      </c>
      <c r="L909" t="str">
        <f t="shared" si="177"/>
        <v>Q1</v>
      </c>
      <c r="M909" s="2">
        <f t="shared" si="178"/>
        <v>1900</v>
      </c>
      <c r="N909" t="str">
        <f ca="1">IF(COUNTIFS(A$2:A909,A909,O$2:O909,O909)&gt;1,"Repeat","New")</f>
        <v>New</v>
      </c>
      <c r="O909" s="2" t="e">
        <f t="shared" ca="1" si="168"/>
        <v>#VALUE!</v>
      </c>
      <c r="P909" s="3" t="e">
        <f t="shared" ca="1" si="169"/>
        <v>#VALUE!</v>
      </c>
      <c r="Q909" s="6" t="str">
        <f t="shared" si="170"/>
        <v>Jan-00</v>
      </c>
      <c r="R909" s="6" t="str">
        <f t="shared" si="171"/>
        <v>Q1</v>
      </c>
      <c r="S909" s="6">
        <f t="shared" si="172"/>
        <v>1900</v>
      </c>
      <c r="T909" s="6" t="str">
        <f t="shared" si="173"/>
        <v>Retail</v>
      </c>
    </row>
    <row r="910" spans="8:20" x14ac:dyDescent="0.3">
      <c r="H910">
        <f t="shared" si="179"/>
        <v>0</v>
      </c>
      <c r="I910">
        <f t="shared" si="174"/>
        <v>0</v>
      </c>
      <c r="J910">
        <f t="shared" si="175"/>
        <v>0</v>
      </c>
      <c r="K910" t="str">
        <f t="shared" si="176"/>
        <v>January</v>
      </c>
      <c r="L910" t="str">
        <f t="shared" si="177"/>
        <v>Q1</v>
      </c>
      <c r="M910" s="2">
        <f t="shared" si="178"/>
        <v>1900</v>
      </c>
      <c r="N910" t="str">
        <f ca="1">IF(COUNTIFS(A$2:A910,A910,O$2:O910,O910)&gt;1,"Repeat","New")</f>
        <v>New</v>
      </c>
      <c r="O910" s="2" t="e">
        <f t="shared" ca="1" si="168"/>
        <v>#VALUE!</v>
      </c>
      <c r="P910" s="3" t="e">
        <f t="shared" ca="1" si="169"/>
        <v>#VALUE!</v>
      </c>
      <c r="Q910" s="6" t="str">
        <f t="shared" si="170"/>
        <v>Jan-00</v>
      </c>
      <c r="R910" s="6" t="str">
        <f t="shared" si="171"/>
        <v>Q1</v>
      </c>
      <c r="S910" s="6">
        <f t="shared" si="172"/>
        <v>1900</v>
      </c>
      <c r="T910" s="6" t="str">
        <f t="shared" si="173"/>
        <v>Retail</v>
      </c>
    </row>
    <row r="911" spans="8:20" x14ac:dyDescent="0.3">
      <c r="H911">
        <f t="shared" si="179"/>
        <v>0</v>
      </c>
      <c r="I911">
        <f t="shared" si="174"/>
        <v>0</v>
      </c>
      <c r="J911">
        <f t="shared" si="175"/>
        <v>0</v>
      </c>
      <c r="K911" t="str">
        <f t="shared" si="176"/>
        <v>January</v>
      </c>
      <c r="L911" t="str">
        <f t="shared" si="177"/>
        <v>Q1</v>
      </c>
      <c r="M911" s="2">
        <f t="shared" si="178"/>
        <v>1900</v>
      </c>
      <c r="N911" t="str">
        <f ca="1">IF(COUNTIFS(A$2:A911,A911,O$2:O911,O911)&gt;1,"Repeat","New")</f>
        <v>New</v>
      </c>
      <c r="O911" s="2" t="e">
        <f t="shared" ca="1" si="168"/>
        <v>#VALUE!</v>
      </c>
      <c r="P911" s="3" t="e">
        <f t="shared" ca="1" si="169"/>
        <v>#VALUE!</v>
      </c>
      <c r="Q911" s="6" t="str">
        <f t="shared" si="170"/>
        <v>Jan-00</v>
      </c>
      <c r="R911" s="6" t="str">
        <f t="shared" si="171"/>
        <v>Q1</v>
      </c>
      <c r="S911" s="6">
        <f t="shared" si="172"/>
        <v>1900</v>
      </c>
      <c r="T911" s="6" t="str">
        <f t="shared" si="173"/>
        <v>Retail</v>
      </c>
    </row>
    <row r="912" spans="8:20" x14ac:dyDescent="0.3">
      <c r="H912">
        <f t="shared" si="179"/>
        <v>0</v>
      </c>
      <c r="I912">
        <f t="shared" si="174"/>
        <v>0</v>
      </c>
      <c r="J912">
        <f t="shared" si="175"/>
        <v>0</v>
      </c>
      <c r="K912" t="str">
        <f t="shared" si="176"/>
        <v>January</v>
      </c>
      <c r="L912" t="str">
        <f t="shared" si="177"/>
        <v>Q1</v>
      </c>
      <c r="M912" s="2">
        <f t="shared" si="178"/>
        <v>1900</v>
      </c>
      <c r="N912" t="str">
        <f ca="1">IF(COUNTIFS(A$2:A912,A912,O$2:O912,O912)&gt;1,"Repeat","New")</f>
        <v>New</v>
      </c>
      <c r="O912" s="2" t="e">
        <f t="shared" ca="1" si="168"/>
        <v>#VALUE!</v>
      </c>
      <c r="P912" s="3" t="e">
        <f t="shared" ca="1" si="169"/>
        <v>#VALUE!</v>
      </c>
      <c r="Q912" s="6" t="str">
        <f t="shared" si="170"/>
        <v>Jan-00</v>
      </c>
      <c r="R912" s="6" t="str">
        <f t="shared" si="171"/>
        <v>Q1</v>
      </c>
      <c r="S912" s="6">
        <f t="shared" si="172"/>
        <v>1900</v>
      </c>
      <c r="T912" s="6" t="str">
        <f t="shared" si="173"/>
        <v>Retail</v>
      </c>
    </row>
    <row r="913" spans="8:20" x14ac:dyDescent="0.3">
      <c r="H913">
        <f t="shared" si="179"/>
        <v>0</v>
      </c>
      <c r="I913">
        <f t="shared" si="174"/>
        <v>0</v>
      </c>
      <c r="J913">
        <f t="shared" si="175"/>
        <v>0</v>
      </c>
      <c r="K913" t="str">
        <f t="shared" si="176"/>
        <v>January</v>
      </c>
      <c r="L913" t="str">
        <f t="shared" si="177"/>
        <v>Q1</v>
      </c>
      <c r="M913" s="2">
        <f t="shared" si="178"/>
        <v>1900</v>
      </c>
      <c r="N913" t="str">
        <f ca="1">IF(COUNTIFS(A$2:A913,A913,O$2:O913,O913)&gt;1,"Repeat","New")</f>
        <v>New</v>
      </c>
      <c r="O913" s="2" t="e">
        <f t="shared" ca="1" si="168"/>
        <v>#VALUE!</v>
      </c>
      <c r="P913" s="3" t="e">
        <f t="shared" ca="1" si="169"/>
        <v>#VALUE!</v>
      </c>
      <c r="Q913" s="6" t="str">
        <f t="shared" si="170"/>
        <v>Jan-00</v>
      </c>
      <c r="R913" s="6" t="str">
        <f t="shared" si="171"/>
        <v>Q1</v>
      </c>
      <c r="S913" s="6">
        <f t="shared" si="172"/>
        <v>1900</v>
      </c>
      <c r="T913" s="6" t="str">
        <f t="shared" si="173"/>
        <v>Retail</v>
      </c>
    </row>
    <row r="914" spans="8:20" x14ac:dyDescent="0.3">
      <c r="H914">
        <f t="shared" si="179"/>
        <v>0</v>
      </c>
      <c r="I914">
        <f t="shared" si="174"/>
        <v>0</v>
      </c>
      <c r="J914">
        <f t="shared" si="175"/>
        <v>0</v>
      </c>
      <c r="K914" t="str">
        <f t="shared" si="176"/>
        <v>January</v>
      </c>
      <c r="L914" t="str">
        <f t="shared" si="177"/>
        <v>Q1</v>
      </c>
      <c r="M914" s="2">
        <f t="shared" si="178"/>
        <v>1900</v>
      </c>
      <c r="N914" t="str">
        <f ca="1">IF(COUNTIFS(A$2:A914,A914,O$2:O914,O914)&gt;1,"Repeat","New")</f>
        <v>New</v>
      </c>
      <c r="O914" s="2" t="e">
        <f t="shared" ca="1" si="168"/>
        <v>#VALUE!</v>
      </c>
      <c r="P914" s="3" t="e">
        <f t="shared" ca="1" si="169"/>
        <v>#VALUE!</v>
      </c>
      <c r="Q914" s="6" t="str">
        <f t="shared" si="170"/>
        <v>Jan-00</v>
      </c>
      <c r="R914" s="6" t="str">
        <f t="shared" si="171"/>
        <v>Q1</v>
      </c>
      <c r="S914" s="6">
        <f t="shared" si="172"/>
        <v>1900</v>
      </c>
      <c r="T914" s="6" t="str">
        <f t="shared" si="173"/>
        <v>Retail</v>
      </c>
    </row>
    <row r="915" spans="8:20" x14ac:dyDescent="0.3">
      <c r="H915">
        <f t="shared" si="179"/>
        <v>0</v>
      </c>
      <c r="I915">
        <f t="shared" si="174"/>
        <v>0</v>
      </c>
      <c r="J915">
        <f t="shared" si="175"/>
        <v>0</v>
      </c>
      <c r="K915" t="str">
        <f t="shared" si="176"/>
        <v>January</v>
      </c>
      <c r="L915" t="str">
        <f t="shared" si="177"/>
        <v>Q1</v>
      </c>
      <c r="M915" s="2">
        <f t="shared" si="178"/>
        <v>1900</v>
      </c>
      <c r="N915" t="str">
        <f ca="1">IF(COUNTIFS(A$2:A915,A915,O$2:O915,O915)&gt;1,"Repeat","New")</f>
        <v>New</v>
      </c>
      <c r="O915" s="2" t="e">
        <f t="shared" ca="1" si="168"/>
        <v>#VALUE!</v>
      </c>
      <c r="P915" s="3" t="e">
        <f t="shared" ca="1" si="169"/>
        <v>#VALUE!</v>
      </c>
      <c r="Q915" s="6" t="str">
        <f t="shared" si="170"/>
        <v>Jan-00</v>
      </c>
      <c r="R915" s="6" t="str">
        <f t="shared" si="171"/>
        <v>Q1</v>
      </c>
      <c r="S915" s="6">
        <f t="shared" si="172"/>
        <v>1900</v>
      </c>
      <c r="T915" s="6" t="str">
        <f t="shared" si="173"/>
        <v>Retail</v>
      </c>
    </row>
    <row r="916" spans="8:20" x14ac:dyDescent="0.3">
      <c r="H916">
        <f t="shared" si="179"/>
        <v>0</v>
      </c>
      <c r="I916">
        <f t="shared" si="174"/>
        <v>0</v>
      </c>
      <c r="J916">
        <f t="shared" si="175"/>
        <v>0</v>
      </c>
      <c r="K916" t="str">
        <f t="shared" si="176"/>
        <v>January</v>
      </c>
      <c r="L916" t="str">
        <f t="shared" si="177"/>
        <v>Q1</v>
      </c>
      <c r="M916" s="2">
        <f t="shared" si="178"/>
        <v>1900</v>
      </c>
      <c r="N916" t="str">
        <f ca="1">IF(COUNTIFS(A$2:A916,A916,O$2:O916,O916)&gt;1,"Repeat","New")</f>
        <v>New</v>
      </c>
      <c r="O916" s="2" t="e">
        <f t="shared" ca="1" si="168"/>
        <v>#VALUE!</v>
      </c>
      <c r="P916" s="3" t="e">
        <f t="shared" ca="1" si="169"/>
        <v>#VALUE!</v>
      </c>
      <c r="Q916" s="6" t="str">
        <f t="shared" si="170"/>
        <v>Jan-00</v>
      </c>
      <c r="R916" s="6" t="str">
        <f t="shared" si="171"/>
        <v>Q1</v>
      </c>
      <c r="S916" s="6">
        <f t="shared" si="172"/>
        <v>1900</v>
      </c>
      <c r="T916" s="6" t="str">
        <f t="shared" si="173"/>
        <v>Retail</v>
      </c>
    </row>
    <row r="917" spans="8:20" x14ac:dyDescent="0.3">
      <c r="H917">
        <f t="shared" si="179"/>
        <v>0</v>
      </c>
      <c r="I917">
        <f t="shared" si="174"/>
        <v>0</v>
      </c>
      <c r="J917">
        <f t="shared" si="175"/>
        <v>0</v>
      </c>
      <c r="K917" t="str">
        <f t="shared" si="176"/>
        <v>January</v>
      </c>
      <c r="L917" t="str">
        <f t="shared" si="177"/>
        <v>Q1</v>
      </c>
      <c r="M917" s="2">
        <f t="shared" si="178"/>
        <v>1900</v>
      </c>
      <c r="N917" t="str">
        <f ca="1">IF(COUNTIFS(A$2:A917,A917,O$2:O917,O917)&gt;1,"Repeat","New")</f>
        <v>New</v>
      </c>
      <c r="O917" s="2" t="e">
        <f t="shared" ca="1" si="168"/>
        <v>#VALUE!</v>
      </c>
      <c r="P917" s="3" t="e">
        <f t="shared" ca="1" si="169"/>
        <v>#VALUE!</v>
      </c>
      <c r="Q917" s="6" t="str">
        <f t="shared" si="170"/>
        <v>Jan-00</v>
      </c>
      <c r="R917" s="6" t="str">
        <f t="shared" si="171"/>
        <v>Q1</v>
      </c>
      <c r="S917" s="6">
        <f t="shared" si="172"/>
        <v>1900</v>
      </c>
      <c r="T917" s="6" t="str">
        <f t="shared" si="173"/>
        <v>Retail</v>
      </c>
    </row>
    <row r="918" spans="8:20" x14ac:dyDescent="0.3">
      <c r="H918">
        <f t="shared" si="179"/>
        <v>0</v>
      </c>
      <c r="I918">
        <f t="shared" si="174"/>
        <v>0</v>
      </c>
      <c r="J918">
        <f t="shared" si="175"/>
        <v>0</v>
      </c>
      <c r="K918" t="str">
        <f t="shared" si="176"/>
        <v>January</v>
      </c>
      <c r="L918" t="str">
        <f t="shared" si="177"/>
        <v>Q1</v>
      </c>
      <c r="M918" s="2">
        <f t="shared" si="178"/>
        <v>1900</v>
      </c>
      <c r="N918" t="str">
        <f ca="1">IF(COUNTIFS(A$2:A918,A918,O$2:O918,O918)&gt;1,"Repeat","New")</f>
        <v>New</v>
      </c>
      <c r="O918" s="2" t="e">
        <f t="shared" ca="1" si="168"/>
        <v>#VALUE!</v>
      </c>
      <c r="P918" s="3" t="e">
        <f t="shared" ca="1" si="169"/>
        <v>#VALUE!</v>
      </c>
      <c r="Q918" s="6" t="str">
        <f t="shared" si="170"/>
        <v>Jan-00</v>
      </c>
      <c r="R918" s="6" t="str">
        <f t="shared" si="171"/>
        <v>Q1</v>
      </c>
      <c r="S918" s="6">
        <f t="shared" si="172"/>
        <v>1900</v>
      </c>
      <c r="T918" s="6" t="str">
        <f t="shared" si="173"/>
        <v>Retail</v>
      </c>
    </row>
    <row r="919" spans="8:20" x14ac:dyDescent="0.3">
      <c r="H919">
        <f t="shared" si="179"/>
        <v>0</v>
      </c>
      <c r="I919">
        <f t="shared" si="174"/>
        <v>0</v>
      </c>
      <c r="J919">
        <f t="shared" si="175"/>
        <v>0</v>
      </c>
      <c r="K919" t="str">
        <f t="shared" si="176"/>
        <v>January</v>
      </c>
      <c r="L919" t="str">
        <f t="shared" si="177"/>
        <v>Q1</v>
      </c>
      <c r="M919" s="2">
        <f t="shared" si="178"/>
        <v>1900</v>
      </c>
      <c r="N919" t="str">
        <f ca="1">IF(COUNTIFS(A$2:A919,A919,O$2:O919,O919)&gt;1,"Repeat","New")</f>
        <v>New</v>
      </c>
      <c r="O919" s="2" t="e">
        <f t="shared" ca="1" si="168"/>
        <v>#VALUE!</v>
      </c>
      <c r="P919" s="3" t="e">
        <f t="shared" ca="1" si="169"/>
        <v>#VALUE!</v>
      </c>
      <c r="Q919" s="6" t="str">
        <f t="shared" si="170"/>
        <v>Jan-00</v>
      </c>
      <c r="R919" s="6" t="str">
        <f t="shared" si="171"/>
        <v>Q1</v>
      </c>
      <c r="S919" s="6">
        <f t="shared" si="172"/>
        <v>1900</v>
      </c>
      <c r="T919" s="6" t="str">
        <f t="shared" si="173"/>
        <v>Retail</v>
      </c>
    </row>
    <row r="920" spans="8:20" x14ac:dyDescent="0.3">
      <c r="H920">
        <f t="shared" si="179"/>
        <v>0</v>
      </c>
      <c r="I920">
        <f t="shared" si="174"/>
        <v>0</v>
      </c>
      <c r="J920">
        <f t="shared" si="175"/>
        <v>0</v>
      </c>
      <c r="K920" t="str">
        <f t="shared" si="176"/>
        <v>January</v>
      </c>
      <c r="L920" t="str">
        <f t="shared" si="177"/>
        <v>Q1</v>
      </c>
      <c r="M920" s="2">
        <f t="shared" si="178"/>
        <v>1900</v>
      </c>
      <c r="N920" t="str">
        <f ca="1">IF(COUNTIFS(A$2:A920,A920,O$2:O920,O920)&gt;1,"Repeat","New")</f>
        <v>New</v>
      </c>
      <c r="O920" s="2" t="e">
        <f t="shared" ca="1" si="168"/>
        <v>#VALUE!</v>
      </c>
      <c r="P920" s="3" t="e">
        <f t="shared" ca="1" si="169"/>
        <v>#VALUE!</v>
      </c>
      <c r="Q920" s="6" t="str">
        <f t="shared" si="170"/>
        <v>Jan-00</v>
      </c>
      <c r="R920" s="6" t="str">
        <f t="shared" si="171"/>
        <v>Q1</v>
      </c>
      <c r="S920" s="6">
        <f t="shared" si="172"/>
        <v>1900</v>
      </c>
      <c r="T920" s="6" t="str">
        <f t="shared" si="173"/>
        <v>Retail</v>
      </c>
    </row>
    <row r="921" spans="8:20" x14ac:dyDescent="0.3">
      <c r="H921">
        <f t="shared" si="179"/>
        <v>0</v>
      </c>
      <c r="I921">
        <f t="shared" si="174"/>
        <v>0</v>
      </c>
      <c r="J921">
        <f t="shared" si="175"/>
        <v>0</v>
      </c>
      <c r="K921" t="str">
        <f t="shared" si="176"/>
        <v>January</v>
      </c>
      <c r="L921" t="str">
        <f t="shared" si="177"/>
        <v>Q1</v>
      </c>
      <c r="M921" s="2">
        <f t="shared" si="178"/>
        <v>1900</v>
      </c>
      <c r="N921" t="str">
        <f ca="1">IF(COUNTIFS(A$2:A921,A921,O$2:O921,O921)&gt;1,"Repeat","New")</f>
        <v>New</v>
      </c>
      <c r="O921" s="2" t="e">
        <f t="shared" ca="1" si="168"/>
        <v>#VALUE!</v>
      </c>
      <c r="P921" s="3" t="e">
        <f t="shared" ca="1" si="169"/>
        <v>#VALUE!</v>
      </c>
      <c r="Q921" s="6" t="str">
        <f t="shared" si="170"/>
        <v>Jan-00</v>
      </c>
      <c r="R921" s="6" t="str">
        <f t="shared" si="171"/>
        <v>Q1</v>
      </c>
      <c r="S921" s="6">
        <f t="shared" si="172"/>
        <v>1900</v>
      </c>
      <c r="T921" s="6" t="str">
        <f t="shared" si="173"/>
        <v>Retail</v>
      </c>
    </row>
    <row r="922" spans="8:20" x14ac:dyDescent="0.3">
      <c r="H922">
        <f t="shared" si="179"/>
        <v>0</v>
      </c>
      <c r="I922">
        <f t="shared" si="174"/>
        <v>0</v>
      </c>
      <c r="J922">
        <f t="shared" si="175"/>
        <v>0</v>
      </c>
      <c r="K922" t="str">
        <f t="shared" si="176"/>
        <v>January</v>
      </c>
      <c r="L922" t="str">
        <f t="shared" si="177"/>
        <v>Q1</v>
      </c>
      <c r="M922" s="2">
        <f t="shared" si="178"/>
        <v>1900</v>
      </c>
      <c r="N922" t="str">
        <f ca="1">IF(COUNTIFS(A$2:A922,A922,O$2:O922,O922)&gt;1,"Repeat","New")</f>
        <v>New</v>
      </c>
      <c r="O922" s="2" t="e">
        <f t="shared" ca="1" si="168"/>
        <v>#VALUE!</v>
      </c>
      <c r="P922" s="3" t="e">
        <f t="shared" ca="1" si="169"/>
        <v>#VALUE!</v>
      </c>
      <c r="Q922" s="6" t="str">
        <f t="shared" si="170"/>
        <v>Jan-00</v>
      </c>
      <c r="R922" s="6" t="str">
        <f t="shared" si="171"/>
        <v>Q1</v>
      </c>
      <c r="S922" s="6">
        <f t="shared" si="172"/>
        <v>1900</v>
      </c>
      <c r="T922" s="6" t="str">
        <f t="shared" si="173"/>
        <v>Retail</v>
      </c>
    </row>
    <row r="923" spans="8:20" x14ac:dyDescent="0.3">
      <c r="H923">
        <f t="shared" si="179"/>
        <v>0</v>
      </c>
      <c r="I923">
        <f t="shared" si="174"/>
        <v>0</v>
      </c>
      <c r="J923">
        <f t="shared" si="175"/>
        <v>0</v>
      </c>
      <c r="K923" t="str">
        <f t="shared" si="176"/>
        <v>January</v>
      </c>
      <c r="L923" t="str">
        <f t="shared" si="177"/>
        <v>Q1</v>
      </c>
      <c r="M923" s="2">
        <f t="shared" si="178"/>
        <v>1900</v>
      </c>
      <c r="N923" t="str">
        <f ca="1">IF(COUNTIFS(A$2:A923,A923,O$2:O923,O923)&gt;1,"Repeat","New")</f>
        <v>New</v>
      </c>
      <c r="O923" s="2" t="e">
        <f t="shared" ca="1" si="168"/>
        <v>#VALUE!</v>
      </c>
      <c r="P923" s="3" t="e">
        <f t="shared" ca="1" si="169"/>
        <v>#VALUE!</v>
      </c>
      <c r="Q923" s="6" t="str">
        <f t="shared" si="170"/>
        <v>Jan-00</v>
      </c>
      <c r="R923" s="6" t="str">
        <f t="shared" si="171"/>
        <v>Q1</v>
      </c>
      <c r="S923" s="6">
        <f t="shared" si="172"/>
        <v>1900</v>
      </c>
      <c r="T923" s="6" t="str">
        <f t="shared" si="173"/>
        <v>Retail</v>
      </c>
    </row>
    <row r="924" spans="8:20" x14ac:dyDescent="0.3">
      <c r="H924">
        <f t="shared" si="179"/>
        <v>0</v>
      </c>
      <c r="I924">
        <f t="shared" si="174"/>
        <v>0</v>
      </c>
      <c r="J924">
        <f t="shared" si="175"/>
        <v>0</v>
      </c>
      <c r="K924" t="str">
        <f t="shared" si="176"/>
        <v>January</v>
      </c>
      <c r="L924" t="str">
        <f t="shared" si="177"/>
        <v>Q1</v>
      </c>
      <c r="M924" s="2">
        <f t="shared" si="178"/>
        <v>1900</v>
      </c>
      <c r="N924" t="str">
        <f ca="1">IF(COUNTIFS(A$2:A924,A924,O$2:O924,O924)&gt;1,"Repeat","New")</f>
        <v>New</v>
      </c>
      <c r="O924" s="2" t="e">
        <f t="shared" ca="1" si="168"/>
        <v>#VALUE!</v>
      </c>
      <c r="P924" s="3" t="e">
        <f t="shared" ca="1" si="169"/>
        <v>#VALUE!</v>
      </c>
      <c r="Q924" s="6" t="str">
        <f t="shared" si="170"/>
        <v>Jan-00</v>
      </c>
      <c r="R924" s="6" t="str">
        <f t="shared" si="171"/>
        <v>Q1</v>
      </c>
      <c r="S924" s="6">
        <f t="shared" si="172"/>
        <v>1900</v>
      </c>
      <c r="T924" s="6" t="str">
        <f t="shared" si="173"/>
        <v>Retail</v>
      </c>
    </row>
    <row r="925" spans="8:20" x14ac:dyDescent="0.3">
      <c r="H925">
        <f t="shared" si="179"/>
        <v>0</v>
      </c>
      <c r="I925">
        <f t="shared" si="174"/>
        <v>0</v>
      </c>
      <c r="J925">
        <f t="shared" si="175"/>
        <v>0</v>
      </c>
      <c r="K925" t="str">
        <f t="shared" si="176"/>
        <v>January</v>
      </c>
      <c r="L925" t="str">
        <f t="shared" si="177"/>
        <v>Q1</v>
      </c>
      <c r="M925" s="2">
        <f t="shared" si="178"/>
        <v>1900</v>
      </c>
      <c r="N925" t="str">
        <f ca="1">IF(COUNTIFS(A$2:A925,A925,O$2:O925,O925)&gt;1,"Repeat","New")</f>
        <v>New</v>
      </c>
      <c r="O925" s="2" t="e">
        <f t="shared" ca="1" si="168"/>
        <v>#VALUE!</v>
      </c>
      <c r="P925" s="3" t="e">
        <f t="shared" ca="1" si="169"/>
        <v>#VALUE!</v>
      </c>
      <c r="Q925" s="6" t="str">
        <f t="shared" si="170"/>
        <v>Jan-00</v>
      </c>
      <c r="R925" s="6" t="str">
        <f t="shared" si="171"/>
        <v>Q1</v>
      </c>
      <c r="S925" s="6">
        <f t="shared" si="172"/>
        <v>1900</v>
      </c>
      <c r="T925" s="6" t="str">
        <f t="shared" si="173"/>
        <v>Retail</v>
      </c>
    </row>
    <row r="926" spans="8:20" x14ac:dyDescent="0.3">
      <c r="H926">
        <f t="shared" si="179"/>
        <v>0</v>
      </c>
      <c r="I926">
        <f t="shared" si="174"/>
        <v>0</v>
      </c>
      <c r="J926">
        <f t="shared" si="175"/>
        <v>0</v>
      </c>
      <c r="K926" t="str">
        <f t="shared" si="176"/>
        <v>January</v>
      </c>
      <c r="L926" t="str">
        <f t="shared" si="177"/>
        <v>Q1</v>
      </c>
      <c r="M926" s="2">
        <f t="shared" si="178"/>
        <v>1900</v>
      </c>
      <c r="N926" t="str">
        <f ca="1">IF(COUNTIFS(A$2:A926,A926,O$2:O926,O926)&gt;1,"Repeat","New")</f>
        <v>New</v>
      </c>
      <c r="O926" s="2" t="e">
        <f t="shared" ca="1" si="168"/>
        <v>#VALUE!</v>
      </c>
      <c r="P926" s="3" t="e">
        <f t="shared" ca="1" si="169"/>
        <v>#VALUE!</v>
      </c>
      <c r="Q926" s="6" t="str">
        <f t="shared" si="170"/>
        <v>Jan-00</v>
      </c>
      <c r="R926" s="6" t="str">
        <f t="shared" si="171"/>
        <v>Q1</v>
      </c>
      <c r="S926" s="6">
        <f t="shared" si="172"/>
        <v>1900</v>
      </c>
      <c r="T926" s="6" t="str">
        <f t="shared" si="173"/>
        <v>Retail</v>
      </c>
    </row>
    <row r="927" spans="8:20" x14ac:dyDescent="0.3">
      <c r="H927">
        <f t="shared" si="179"/>
        <v>0</v>
      </c>
      <c r="I927">
        <f t="shared" si="174"/>
        <v>0</v>
      </c>
      <c r="J927">
        <f t="shared" si="175"/>
        <v>0</v>
      </c>
      <c r="K927" t="str">
        <f t="shared" si="176"/>
        <v>January</v>
      </c>
      <c r="L927" t="str">
        <f t="shared" si="177"/>
        <v>Q1</v>
      </c>
      <c r="M927" s="2">
        <f t="shared" si="178"/>
        <v>1900</v>
      </c>
      <c r="N927" t="str">
        <f ca="1">IF(COUNTIFS(A$2:A927,A927,O$2:O927,O927)&gt;1,"Repeat","New")</f>
        <v>New</v>
      </c>
      <c r="O927" s="2" t="e">
        <f t="shared" ca="1" si="168"/>
        <v>#VALUE!</v>
      </c>
      <c r="P927" s="3" t="e">
        <f t="shared" ca="1" si="169"/>
        <v>#VALUE!</v>
      </c>
      <c r="Q927" s="6" t="str">
        <f t="shared" si="170"/>
        <v>Jan-00</v>
      </c>
      <c r="R927" s="6" t="str">
        <f t="shared" si="171"/>
        <v>Q1</v>
      </c>
      <c r="S927" s="6">
        <f t="shared" si="172"/>
        <v>1900</v>
      </c>
      <c r="T927" s="6" t="str">
        <f t="shared" si="173"/>
        <v>Retail</v>
      </c>
    </row>
    <row r="928" spans="8:20" x14ac:dyDescent="0.3">
      <c r="H928">
        <f t="shared" si="179"/>
        <v>0</v>
      </c>
      <c r="I928">
        <f t="shared" si="174"/>
        <v>0</v>
      </c>
      <c r="J928">
        <f t="shared" si="175"/>
        <v>0</v>
      </c>
      <c r="K928" t="str">
        <f t="shared" si="176"/>
        <v>January</v>
      </c>
      <c r="L928" t="str">
        <f t="shared" si="177"/>
        <v>Q1</v>
      </c>
      <c r="M928" s="2">
        <f t="shared" si="178"/>
        <v>1900</v>
      </c>
      <c r="N928" t="str">
        <f ca="1">IF(COUNTIFS(A$2:A928,A928,O$2:O928,O928)&gt;1,"Repeat","New")</f>
        <v>New</v>
      </c>
      <c r="O928" s="2" t="e">
        <f t="shared" ca="1" si="168"/>
        <v>#VALUE!</v>
      </c>
      <c r="P928" s="3" t="e">
        <f t="shared" ca="1" si="169"/>
        <v>#VALUE!</v>
      </c>
      <c r="Q928" s="6" t="str">
        <f t="shared" si="170"/>
        <v>Jan-00</v>
      </c>
      <c r="R928" s="6" t="str">
        <f t="shared" si="171"/>
        <v>Q1</v>
      </c>
      <c r="S928" s="6">
        <f t="shared" si="172"/>
        <v>1900</v>
      </c>
      <c r="T928" s="6" t="str">
        <f t="shared" si="173"/>
        <v>Retail</v>
      </c>
    </row>
    <row r="929" spans="8:20" x14ac:dyDescent="0.3">
      <c r="H929">
        <f t="shared" si="179"/>
        <v>0</v>
      </c>
      <c r="I929">
        <f t="shared" si="174"/>
        <v>0</v>
      </c>
      <c r="J929">
        <f t="shared" si="175"/>
        <v>0</v>
      </c>
      <c r="K929" t="str">
        <f t="shared" si="176"/>
        <v>January</v>
      </c>
      <c r="L929" t="str">
        <f t="shared" si="177"/>
        <v>Q1</v>
      </c>
      <c r="M929" s="2">
        <f t="shared" si="178"/>
        <v>1900</v>
      </c>
      <c r="N929" t="str">
        <f ca="1">IF(COUNTIFS(A$2:A929,A929,O$2:O929,O929)&gt;1,"Repeat","New")</f>
        <v>New</v>
      </c>
      <c r="O929" s="2" t="e">
        <f t="shared" ca="1" si="168"/>
        <v>#VALUE!</v>
      </c>
      <c r="P929" s="3" t="e">
        <f t="shared" ca="1" si="169"/>
        <v>#VALUE!</v>
      </c>
      <c r="Q929" s="6" t="str">
        <f t="shared" si="170"/>
        <v>Jan-00</v>
      </c>
      <c r="R929" s="6" t="str">
        <f t="shared" si="171"/>
        <v>Q1</v>
      </c>
      <c r="S929" s="6">
        <f t="shared" si="172"/>
        <v>1900</v>
      </c>
      <c r="T929" s="6" t="str">
        <f t="shared" si="173"/>
        <v>Retail</v>
      </c>
    </row>
    <row r="930" spans="8:20" x14ac:dyDescent="0.3">
      <c r="H930">
        <f t="shared" si="179"/>
        <v>0</v>
      </c>
      <c r="I930">
        <f t="shared" si="174"/>
        <v>0</v>
      </c>
      <c r="J930">
        <f t="shared" si="175"/>
        <v>0</v>
      </c>
      <c r="K930" t="str">
        <f t="shared" si="176"/>
        <v>January</v>
      </c>
      <c r="L930" t="str">
        <f t="shared" si="177"/>
        <v>Q1</v>
      </c>
      <c r="M930" s="2">
        <f t="shared" si="178"/>
        <v>1900</v>
      </c>
      <c r="N930" t="str">
        <f ca="1">IF(COUNTIFS(A$2:A930,A930,O$2:O930,O930)&gt;1,"Repeat","New")</f>
        <v>New</v>
      </c>
      <c r="O930" s="2" t="e">
        <f t="shared" ca="1" si="168"/>
        <v>#VALUE!</v>
      </c>
      <c r="P930" s="3" t="e">
        <f t="shared" ca="1" si="169"/>
        <v>#VALUE!</v>
      </c>
      <c r="Q930" s="6" t="str">
        <f t="shared" si="170"/>
        <v>Jan-00</v>
      </c>
      <c r="R930" s="6" t="str">
        <f t="shared" si="171"/>
        <v>Q1</v>
      </c>
      <c r="S930" s="6">
        <f t="shared" si="172"/>
        <v>1900</v>
      </c>
      <c r="T930" s="6" t="str">
        <f t="shared" si="173"/>
        <v>Retail</v>
      </c>
    </row>
    <row r="931" spans="8:20" x14ac:dyDescent="0.3">
      <c r="H931">
        <f t="shared" si="179"/>
        <v>0</v>
      </c>
      <c r="I931">
        <f t="shared" si="174"/>
        <v>0</v>
      </c>
      <c r="J931">
        <f t="shared" si="175"/>
        <v>0</v>
      </c>
      <c r="K931" t="str">
        <f t="shared" si="176"/>
        <v>January</v>
      </c>
      <c r="L931" t="str">
        <f t="shared" si="177"/>
        <v>Q1</v>
      </c>
      <c r="M931" s="2">
        <f t="shared" si="178"/>
        <v>1900</v>
      </c>
      <c r="N931" t="str">
        <f ca="1">IF(COUNTIFS(A$2:A931,A931,O$2:O931,O931)&gt;1,"Repeat","New")</f>
        <v>New</v>
      </c>
      <c r="O931" s="2" t="e">
        <f t="shared" ca="1" si="168"/>
        <v>#VALUE!</v>
      </c>
      <c r="P931" s="3" t="e">
        <f t="shared" ca="1" si="169"/>
        <v>#VALUE!</v>
      </c>
      <c r="Q931" s="6" t="str">
        <f t="shared" si="170"/>
        <v>Jan-00</v>
      </c>
      <c r="R931" s="6" t="str">
        <f t="shared" si="171"/>
        <v>Q1</v>
      </c>
      <c r="S931" s="6">
        <f t="shared" si="172"/>
        <v>1900</v>
      </c>
      <c r="T931" s="6" t="str">
        <f t="shared" si="173"/>
        <v>Retail</v>
      </c>
    </row>
    <row r="932" spans="8:20" x14ac:dyDescent="0.3">
      <c r="H932">
        <f t="shared" si="179"/>
        <v>0</v>
      </c>
      <c r="I932">
        <f t="shared" si="174"/>
        <v>0</v>
      </c>
      <c r="J932">
        <f t="shared" si="175"/>
        <v>0</v>
      </c>
      <c r="K932" t="str">
        <f t="shared" si="176"/>
        <v>January</v>
      </c>
      <c r="L932" t="str">
        <f t="shared" si="177"/>
        <v>Q1</v>
      </c>
      <c r="M932" s="2">
        <f t="shared" si="178"/>
        <v>1900</v>
      </c>
      <c r="N932" t="str">
        <f ca="1">IF(COUNTIFS(A$2:A932,A932,O$2:O932,O932)&gt;1,"Repeat","New")</f>
        <v>New</v>
      </c>
      <c r="O932" s="2" t="e">
        <f t="shared" ca="1" si="168"/>
        <v>#VALUE!</v>
      </c>
      <c r="P932" s="3" t="e">
        <f t="shared" ca="1" si="169"/>
        <v>#VALUE!</v>
      </c>
      <c r="Q932" s="6" t="str">
        <f t="shared" si="170"/>
        <v>Jan-00</v>
      </c>
      <c r="R932" s="6" t="str">
        <f t="shared" si="171"/>
        <v>Q1</v>
      </c>
      <c r="S932" s="6">
        <f t="shared" si="172"/>
        <v>1900</v>
      </c>
      <c r="T932" s="6" t="str">
        <f t="shared" si="173"/>
        <v>Retail</v>
      </c>
    </row>
    <row r="933" spans="8:20" x14ac:dyDescent="0.3">
      <c r="H933">
        <f t="shared" si="179"/>
        <v>0</v>
      </c>
      <c r="I933">
        <f t="shared" si="174"/>
        <v>0</v>
      </c>
      <c r="J933">
        <f t="shared" si="175"/>
        <v>0</v>
      </c>
      <c r="K933" t="str">
        <f t="shared" si="176"/>
        <v>January</v>
      </c>
      <c r="L933" t="str">
        <f t="shared" si="177"/>
        <v>Q1</v>
      </c>
      <c r="M933" s="2">
        <f t="shared" si="178"/>
        <v>1900</v>
      </c>
      <c r="N933" t="str">
        <f ca="1">IF(COUNTIFS(A$2:A933,A933,O$2:O933,O933)&gt;1,"Repeat","New")</f>
        <v>New</v>
      </c>
      <c r="O933" s="2" t="e">
        <f t="shared" ca="1" si="168"/>
        <v>#VALUE!</v>
      </c>
      <c r="P933" s="3" t="e">
        <f t="shared" ca="1" si="169"/>
        <v>#VALUE!</v>
      </c>
      <c r="Q933" s="6" t="str">
        <f t="shared" si="170"/>
        <v>Jan-00</v>
      </c>
      <c r="R933" s="6" t="str">
        <f t="shared" si="171"/>
        <v>Q1</v>
      </c>
      <c r="S933" s="6">
        <f t="shared" si="172"/>
        <v>1900</v>
      </c>
      <c r="T933" s="6" t="str">
        <f t="shared" si="173"/>
        <v>Retail</v>
      </c>
    </row>
    <row r="934" spans="8:20" x14ac:dyDescent="0.3">
      <c r="H934">
        <f t="shared" si="179"/>
        <v>0</v>
      </c>
      <c r="I934">
        <f t="shared" si="174"/>
        <v>0</v>
      </c>
      <c r="J934">
        <f t="shared" si="175"/>
        <v>0</v>
      </c>
      <c r="K934" t="str">
        <f t="shared" si="176"/>
        <v>January</v>
      </c>
      <c r="L934" t="str">
        <f t="shared" si="177"/>
        <v>Q1</v>
      </c>
      <c r="M934" s="2">
        <f t="shared" si="178"/>
        <v>1900</v>
      </c>
      <c r="N934" t="str">
        <f ca="1">IF(COUNTIFS(A$2:A934,A934,O$2:O934,O934)&gt;1,"Repeat","New")</f>
        <v>New</v>
      </c>
      <c r="O934" s="2" t="e">
        <f t="shared" ca="1" si="168"/>
        <v>#VALUE!</v>
      </c>
      <c r="P934" s="3" t="e">
        <f t="shared" ca="1" si="169"/>
        <v>#VALUE!</v>
      </c>
      <c r="Q934" s="6" t="str">
        <f t="shared" si="170"/>
        <v>Jan-00</v>
      </c>
      <c r="R934" s="6" t="str">
        <f t="shared" si="171"/>
        <v>Q1</v>
      </c>
      <c r="S934" s="6">
        <f t="shared" si="172"/>
        <v>1900</v>
      </c>
      <c r="T934" s="6" t="str">
        <f t="shared" si="173"/>
        <v>Retail</v>
      </c>
    </row>
    <row r="935" spans="8:20" x14ac:dyDescent="0.3">
      <c r="H935">
        <f t="shared" si="179"/>
        <v>0</v>
      </c>
      <c r="I935">
        <f t="shared" si="174"/>
        <v>0</v>
      </c>
      <c r="J935">
        <f t="shared" si="175"/>
        <v>0</v>
      </c>
      <c r="K935" t="str">
        <f t="shared" si="176"/>
        <v>January</v>
      </c>
      <c r="L935" t="str">
        <f t="shared" si="177"/>
        <v>Q1</v>
      </c>
      <c r="M935" s="2">
        <f t="shared" si="178"/>
        <v>1900</v>
      </c>
      <c r="N935" t="str">
        <f ca="1">IF(COUNTIFS(A$2:A935,A935,O$2:O935,O935)&gt;1,"Repeat","New")</f>
        <v>New</v>
      </c>
      <c r="O935" s="2" t="e">
        <f t="shared" ca="1" si="168"/>
        <v>#VALUE!</v>
      </c>
      <c r="P935" s="3" t="e">
        <f t="shared" ca="1" si="169"/>
        <v>#VALUE!</v>
      </c>
      <c r="Q935" s="6" t="str">
        <f t="shared" si="170"/>
        <v>Jan-00</v>
      </c>
      <c r="R935" s="6" t="str">
        <f t="shared" si="171"/>
        <v>Q1</v>
      </c>
      <c r="S935" s="6">
        <f t="shared" si="172"/>
        <v>1900</v>
      </c>
      <c r="T935" s="6" t="str">
        <f t="shared" si="173"/>
        <v>Retail</v>
      </c>
    </row>
    <row r="936" spans="8:20" x14ac:dyDescent="0.3">
      <c r="H936">
        <f t="shared" si="179"/>
        <v>0</v>
      </c>
      <c r="I936">
        <f t="shared" si="174"/>
        <v>0</v>
      </c>
      <c r="J936">
        <f t="shared" si="175"/>
        <v>0</v>
      </c>
      <c r="K936" t="str">
        <f t="shared" si="176"/>
        <v>January</v>
      </c>
      <c r="L936" t="str">
        <f t="shared" si="177"/>
        <v>Q1</v>
      </c>
      <c r="M936" s="2">
        <f t="shared" si="178"/>
        <v>1900</v>
      </c>
      <c r="N936" t="str">
        <f ca="1">IF(COUNTIFS(A$2:A936,A936,O$2:O936,O936)&gt;1,"Repeat","New")</f>
        <v>New</v>
      </c>
      <c r="O936" s="2" t="e">
        <f t="shared" ca="1" si="168"/>
        <v>#VALUE!</v>
      </c>
      <c r="P936" s="3" t="e">
        <f t="shared" ca="1" si="169"/>
        <v>#VALUE!</v>
      </c>
      <c r="Q936" s="6" t="str">
        <f t="shared" si="170"/>
        <v>Jan-00</v>
      </c>
      <c r="R936" s="6" t="str">
        <f t="shared" si="171"/>
        <v>Q1</v>
      </c>
      <c r="S936" s="6">
        <f t="shared" si="172"/>
        <v>1900</v>
      </c>
      <c r="T936" s="6" t="str">
        <f t="shared" si="173"/>
        <v>Retail</v>
      </c>
    </row>
    <row r="937" spans="8:20" x14ac:dyDescent="0.3">
      <c r="H937">
        <f t="shared" si="179"/>
        <v>0</v>
      </c>
      <c r="I937">
        <f t="shared" si="174"/>
        <v>0</v>
      </c>
      <c r="J937">
        <f t="shared" si="175"/>
        <v>0</v>
      </c>
      <c r="K937" t="str">
        <f t="shared" si="176"/>
        <v>January</v>
      </c>
      <c r="L937" t="str">
        <f t="shared" si="177"/>
        <v>Q1</v>
      </c>
      <c r="M937" s="2">
        <f t="shared" si="178"/>
        <v>1900</v>
      </c>
      <c r="N937" t="str">
        <f ca="1">IF(COUNTIFS(A$2:A937,A937,O$2:O937,O937)&gt;1,"Repeat","New")</f>
        <v>New</v>
      </c>
      <c r="O937" s="2" t="e">
        <f t="shared" ca="1" si="168"/>
        <v>#VALUE!</v>
      </c>
      <c r="P937" s="3" t="e">
        <f t="shared" ca="1" si="169"/>
        <v>#VALUE!</v>
      </c>
      <c r="Q937" s="6" t="str">
        <f t="shared" si="170"/>
        <v>Jan-00</v>
      </c>
      <c r="R937" s="6" t="str">
        <f t="shared" si="171"/>
        <v>Q1</v>
      </c>
      <c r="S937" s="6">
        <f t="shared" si="172"/>
        <v>1900</v>
      </c>
      <c r="T937" s="6" t="str">
        <f t="shared" si="173"/>
        <v>Retail</v>
      </c>
    </row>
    <row r="938" spans="8:20" x14ac:dyDescent="0.3">
      <c r="H938">
        <f t="shared" si="179"/>
        <v>0</v>
      </c>
      <c r="I938">
        <f t="shared" si="174"/>
        <v>0</v>
      </c>
      <c r="J938">
        <f t="shared" si="175"/>
        <v>0</v>
      </c>
      <c r="K938" t="str">
        <f t="shared" si="176"/>
        <v>January</v>
      </c>
      <c r="L938" t="str">
        <f t="shared" si="177"/>
        <v>Q1</v>
      </c>
      <c r="M938" s="2">
        <f t="shared" si="178"/>
        <v>1900</v>
      </c>
      <c r="N938" t="str">
        <f ca="1">IF(COUNTIFS(A$2:A938,A938,O$2:O938,O938)&gt;1,"Repeat","New")</f>
        <v>New</v>
      </c>
      <c r="O938" s="2" t="e">
        <f t="shared" ca="1" si="168"/>
        <v>#VALUE!</v>
      </c>
      <c r="P938" s="3" t="e">
        <f t="shared" ca="1" si="169"/>
        <v>#VALUE!</v>
      </c>
      <c r="Q938" s="6" t="str">
        <f t="shared" si="170"/>
        <v>Jan-00</v>
      </c>
      <c r="R938" s="6" t="str">
        <f t="shared" si="171"/>
        <v>Q1</v>
      </c>
      <c r="S938" s="6">
        <f t="shared" si="172"/>
        <v>1900</v>
      </c>
      <c r="T938" s="6" t="str">
        <f t="shared" si="173"/>
        <v>Retail</v>
      </c>
    </row>
    <row r="939" spans="8:20" x14ac:dyDescent="0.3">
      <c r="H939">
        <f t="shared" si="179"/>
        <v>0</v>
      </c>
      <c r="I939">
        <f t="shared" si="174"/>
        <v>0</v>
      </c>
      <c r="J939">
        <f t="shared" si="175"/>
        <v>0</v>
      </c>
      <c r="K939" t="str">
        <f t="shared" si="176"/>
        <v>January</v>
      </c>
      <c r="L939" t="str">
        <f t="shared" si="177"/>
        <v>Q1</v>
      </c>
      <c r="M939" s="2">
        <f t="shared" si="178"/>
        <v>1900</v>
      </c>
      <c r="N939" t="str">
        <f ca="1">IF(COUNTIFS(A$2:A939,A939,O$2:O939,O939)&gt;1,"Repeat","New")</f>
        <v>New</v>
      </c>
      <c r="O939" s="2" t="e">
        <f t="shared" ca="1" si="168"/>
        <v>#VALUE!</v>
      </c>
      <c r="P939" s="3" t="e">
        <f t="shared" ca="1" si="169"/>
        <v>#VALUE!</v>
      </c>
      <c r="Q939" s="6" t="str">
        <f t="shared" si="170"/>
        <v>Jan-00</v>
      </c>
      <c r="R939" s="6" t="str">
        <f t="shared" si="171"/>
        <v>Q1</v>
      </c>
      <c r="S939" s="6">
        <f t="shared" si="172"/>
        <v>1900</v>
      </c>
      <c r="T939" s="6" t="str">
        <f t="shared" si="173"/>
        <v>Retail</v>
      </c>
    </row>
    <row r="940" spans="8:20" x14ac:dyDescent="0.3">
      <c r="H940">
        <f t="shared" si="179"/>
        <v>0</v>
      </c>
      <c r="I940">
        <f t="shared" si="174"/>
        <v>0</v>
      </c>
      <c r="J940">
        <f t="shared" si="175"/>
        <v>0</v>
      </c>
      <c r="K940" t="str">
        <f t="shared" si="176"/>
        <v>January</v>
      </c>
      <c r="L940" t="str">
        <f t="shared" si="177"/>
        <v>Q1</v>
      </c>
      <c r="M940" s="2">
        <f t="shared" si="178"/>
        <v>1900</v>
      </c>
      <c r="N940" t="str">
        <f ca="1">IF(COUNTIFS(A$2:A940,A940,O$2:O940,O940)&gt;1,"Repeat","New")</f>
        <v>New</v>
      </c>
      <c r="O940" s="2" t="e">
        <f t="shared" ca="1" si="168"/>
        <v>#VALUE!</v>
      </c>
      <c r="P940" s="3" t="e">
        <f t="shared" ca="1" si="169"/>
        <v>#VALUE!</v>
      </c>
      <c r="Q940" s="6" t="str">
        <f t="shared" si="170"/>
        <v>Jan-00</v>
      </c>
      <c r="R940" s="6" t="str">
        <f t="shared" si="171"/>
        <v>Q1</v>
      </c>
      <c r="S940" s="6">
        <f t="shared" si="172"/>
        <v>1900</v>
      </c>
      <c r="T940" s="6" t="str">
        <f t="shared" si="173"/>
        <v>Retail</v>
      </c>
    </row>
    <row r="941" spans="8:20" x14ac:dyDescent="0.3">
      <c r="H941">
        <f t="shared" si="179"/>
        <v>0</v>
      </c>
      <c r="I941">
        <f t="shared" si="174"/>
        <v>0</v>
      </c>
      <c r="J941">
        <f t="shared" si="175"/>
        <v>0</v>
      </c>
      <c r="K941" t="str">
        <f t="shared" si="176"/>
        <v>January</v>
      </c>
      <c r="L941" t="str">
        <f t="shared" si="177"/>
        <v>Q1</v>
      </c>
      <c r="M941" s="2">
        <f t="shared" si="178"/>
        <v>1900</v>
      </c>
      <c r="N941" t="str">
        <f ca="1">IF(COUNTIFS(A$2:A941,A941,O$2:O941,O941)&gt;1,"Repeat","New")</f>
        <v>New</v>
      </c>
      <c r="O941" s="2" t="e">
        <f t="shared" ca="1" si="168"/>
        <v>#VALUE!</v>
      </c>
      <c r="P941" s="3" t="e">
        <f t="shared" ca="1" si="169"/>
        <v>#VALUE!</v>
      </c>
      <c r="Q941" s="6" t="str">
        <f t="shared" si="170"/>
        <v>Jan-00</v>
      </c>
      <c r="R941" s="6" t="str">
        <f t="shared" si="171"/>
        <v>Q1</v>
      </c>
      <c r="S941" s="6">
        <f t="shared" si="172"/>
        <v>1900</v>
      </c>
      <c r="T941" s="6" t="str">
        <f t="shared" si="173"/>
        <v>Retail</v>
      </c>
    </row>
    <row r="942" spans="8:20" x14ac:dyDescent="0.3">
      <c r="H942">
        <f t="shared" si="179"/>
        <v>0</v>
      </c>
      <c r="I942">
        <f t="shared" si="174"/>
        <v>0</v>
      </c>
      <c r="J942">
        <f t="shared" si="175"/>
        <v>0</v>
      </c>
      <c r="K942" t="str">
        <f t="shared" si="176"/>
        <v>January</v>
      </c>
      <c r="L942" t="str">
        <f t="shared" si="177"/>
        <v>Q1</v>
      </c>
      <c r="M942" s="2">
        <f t="shared" si="178"/>
        <v>1900</v>
      </c>
      <c r="N942" t="str">
        <f ca="1">IF(COUNTIFS(A$2:A942,A942,O$2:O942,O942)&gt;1,"Repeat","New")</f>
        <v>New</v>
      </c>
      <c r="O942" s="2" t="e">
        <f t="shared" ca="1" si="168"/>
        <v>#VALUE!</v>
      </c>
      <c r="P942" s="3" t="e">
        <f t="shared" ca="1" si="169"/>
        <v>#VALUE!</v>
      </c>
      <c r="Q942" s="6" t="str">
        <f t="shared" si="170"/>
        <v>Jan-00</v>
      </c>
      <c r="R942" s="6" t="str">
        <f t="shared" si="171"/>
        <v>Q1</v>
      </c>
      <c r="S942" s="6">
        <f t="shared" si="172"/>
        <v>1900</v>
      </c>
      <c r="T942" s="6" t="str">
        <f t="shared" si="173"/>
        <v>Retail</v>
      </c>
    </row>
    <row r="943" spans="8:20" x14ac:dyDescent="0.3">
      <c r="H943">
        <f t="shared" si="179"/>
        <v>0</v>
      </c>
      <c r="I943">
        <f t="shared" si="174"/>
        <v>0</v>
      </c>
      <c r="J943">
        <f t="shared" si="175"/>
        <v>0</v>
      </c>
      <c r="K943" t="str">
        <f t="shared" si="176"/>
        <v>January</v>
      </c>
      <c r="L943" t="str">
        <f t="shared" si="177"/>
        <v>Q1</v>
      </c>
      <c r="M943" s="2">
        <f t="shared" si="178"/>
        <v>1900</v>
      </c>
      <c r="N943" t="str">
        <f ca="1">IF(COUNTIFS(A$2:A943,A943,O$2:O943,O943)&gt;1,"Repeat","New")</f>
        <v>New</v>
      </c>
      <c r="O943" s="2" t="e">
        <f t="shared" ca="1" si="168"/>
        <v>#VALUE!</v>
      </c>
      <c r="P943" s="3" t="e">
        <f t="shared" ca="1" si="169"/>
        <v>#VALUE!</v>
      </c>
      <c r="Q943" s="6" t="str">
        <f t="shared" si="170"/>
        <v>Jan-00</v>
      </c>
      <c r="R943" s="6" t="str">
        <f t="shared" si="171"/>
        <v>Q1</v>
      </c>
      <c r="S943" s="6">
        <f t="shared" si="172"/>
        <v>1900</v>
      </c>
      <c r="T943" s="6" t="str">
        <f t="shared" si="173"/>
        <v>Retail</v>
      </c>
    </row>
    <row r="944" spans="8:20" x14ac:dyDescent="0.3">
      <c r="H944">
        <f t="shared" si="179"/>
        <v>0</v>
      </c>
      <c r="I944">
        <f t="shared" si="174"/>
        <v>0</v>
      </c>
      <c r="J944">
        <f t="shared" si="175"/>
        <v>0</v>
      </c>
      <c r="K944" t="str">
        <f t="shared" si="176"/>
        <v>January</v>
      </c>
      <c r="L944" t="str">
        <f t="shared" si="177"/>
        <v>Q1</v>
      </c>
      <c r="M944" s="2">
        <f t="shared" si="178"/>
        <v>1900</v>
      </c>
      <c r="N944" t="str">
        <f ca="1">IF(COUNTIFS(A$2:A944,A944,O$2:O944,O944)&gt;1,"Repeat","New")</f>
        <v>New</v>
      </c>
      <c r="O944" s="2" t="e">
        <f t="shared" ca="1" si="168"/>
        <v>#VALUE!</v>
      </c>
      <c r="P944" s="3" t="e">
        <f t="shared" ca="1" si="169"/>
        <v>#VALUE!</v>
      </c>
      <c r="Q944" s="6" t="str">
        <f t="shared" si="170"/>
        <v>Jan-00</v>
      </c>
      <c r="R944" s="6" t="str">
        <f t="shared" si="171"/>
        <v>Q1</v>
      </c>
      <c r="S944" s="6">
        <f t="shared" si="172"/>
        <v>1900</v>
      </c>
      <c r="T944" s="6" t="str">
        <f t="shared" si="173"/>
        <v>Retail</v>
      </c>
    </row>
    <row r="945" spans="8:20" x14ac:dyDescent="0.3">
      <c r="H945">
        <f t="shared" si="179"/>
        <v>0</v>
      </c>
      <c r="I945">
        <f t="shared" si="174"/>
        <v>0</v>
      </c>
      <c r="J945">
        <f t="shared" si="175"/>
        <v>0</v>
      </c>
      <c r="K945" t="str">
        <f t="shared" si="176"/>
        <v>January</v>
      </c>
      <c r="L945" t="str">
        <f t="shared" si="177"/>
        <v>Q1</v>
      </c>
      <c r="M945" s="2">
        <f t="shared" si="178"/>
        <v>1900</v>
      </c>
      <c r="N945" t="str">
        <f ca="1">IF(COUNTIFS(A$2:A945,A945,O$2:O945,O945)&gt;1,"Repeat","New")</f>
        <v>New</v>
      </c>
      <c r="O945" s="2" t="e">
        <f t="shared" ca="1" si="168"/>
        <v>#VALUE!</v>
      </c>
      <c r="P945" s="3" t="e">
        <f t="shared" ca="1" si="169"/>
        <v>#VALUE!</v>
      </c>
      <c r="Q945" s="6" t="str">
        <f t="shared" si="170"/>
        <v>Jan-00</v>
      </c>
      <c r="R945" s="6" t="str">
        <f t="shared" si="171"/>
        <v>Q1</v>
      </c>
      <c r="S945" s="6">
        <f t="shared" si="172"/>
        <v>1900</v>
      </c>
      <c r="T945" s="6" t="str">
        <f t="shared" si="173"/>
        <v>Retail</v>
      </c>
    </row>
    <row r="946" spans="8:20" x14ac:dyDescent="0.3">
      <c r="H946">
        <f t="shared" si="179"/>
        <v>0</v>
      </c>
      <c r="I946">
        <f t="shared" si="174"/>
        <v>0</v>
      </c>
      <c r="J946">
        <f t="shared" si="175"/>
        <v>0</v>
      </c>
      <c r="K946" t="str">
        <f t="shared" si="176"/>
        <v>January</v>
      </c>
      <c r="L946" t="str">
        <f t="shared" si="177"/>
        <v>Q1</v>
      </c>
      <c r="M946" s="2">
        <f t="shared" si="178"/>
        <v>1900</v>
      </c>
      <c r="N946" t="str">
        <f ca="1">IF(COUNTIFS(A$2:A946,A946,O$2:O946,O946)&gt;1,"Repeat","New")</f>
        <v>New</v>
      </c>
      <c r="O946" s="2" t="e">
        <f t="shared" ca="1" si="168"/>
        <v>#VALUE!</v>
      </c>
      <c r="P946" s="3" t="e">
        <f t="shared" ca="1" si="169"/>
        <v>#VALUE!</v>
      </c>
      <c r="Q946" s="6" t="str">
        <f t="shared" si="170"/>
        <v>Jan-00</v>
      </c>
      <c r="R946" s="6" t="str">
        <f t="shared" si="171"/>
        <v>Q1</v>
      </c>
      <c r="S946" s="6">
        <f t="shared" si="172"/>
        <v>1900</v>
      </c>
      <c r="T946" s="6" t="str">
        <f t="shared" si="173"/>
        <v>Retail</v>
      </c>
    </row>
    <row r="947" spans="8:20" x14ac:dyDescent="0.3">
      <c r="H947">
        <f t="shared" si="179"/>
        <v>0</v>
      </c>
      <c r="I947">
        <f t="shared" si="174"/>
        <v>0</v>
      </c>
      <c r="J947">
        <f t="shared" si="175"/>
        <v>0</v>
      </c>
      <c r="K947" t="str">
        <f t="shared" si="176"/>
        <v>January</v>
      </c>
      <c r="L947" t="str">
        <f t="shared" si="177"/>
        <v>Q1</v>
      </c>
      <c r="M947" s="2">
        <f t="shared" si="178"/>
        <v>1900</v>
      </c>
      <c r="N947" t="str">
        <f ca="1">IF(COUNTIFS(A$2:A947,A947,O$2:O947,O947)&gt;1,"Repeat","New")</f>
        <v>New</v>
      </c>
      <c r="O947" s="2" t="e">
        <f t="shared" ca="1" si="168"/>
        <v>#VALUE!</v>
      </c>
      <c r="P947" s="3" t="e">
        <f t="shared" ca="1" si="169"/>
        <v>#VALUE!</v>
      </c>
      <c r="Q947" s="6" t="str">
        <f t="shared" si="170"/>
        <v>Jan-00</v>
      </c>
      <c r="R947" s="6" t="str">
        <f t="shared" si="171"/>
        <v>Q1</v>
      </c>
      <c r="S947" s="6">
        <f t="shared" si="172"/>
        <v>1900</v>
      </c>
      <c r="T947" s="6" t="str">
        <f t="shared" si="173"/>
        <v>Retail</v>
      </c>
    </row>
    <row r="948" spans="8:20" x14ac:dyDescent="0.3">
      <c r="H948">
        <f t="shared" si="179"/>
        <v>0</v>
      </c>
      <c r="I948">
        <f t="shared" si="174"/>
        <v>0</v>
      </c>
      <c r="J948">
        <f t="shared" si="175"/>
        <v>0</v>
      </c>
      <c r="K948" t="str">
        <f t="shared" si="176"/>
        <v>January</v>
      </c>
      <c r="L948" t="str">
        <f t="shared" si="177"/>
        <v>Q1</v>
      </c>
      <c r="M948" s="2">
        <f t="shared" si="178"/>
        <v>1900</v>
      </c>
      <c r="N948" t="str">
        <f ca="1">IF(COUNTIFS(A$2:A948,A948,O$2:O948,O948)&gt;1,"Repeat","New")</f>
        <v>New</v>
      </c>
      <c r="O948" s="2" t="e">
        <f t="shared" ca="1" si="168"/>
        <v>#VALUE!</v>
      </c>
      <c r="P948" s="3" t="e">
        <f t="shared" ca="1" si="169"/>
        <v>#VALUE!</v>
      </c>
      <c r="Q948" s="6" t="str">
        <f t="shared" si="170"/>
        <v>Jan-00</v>
      </c>
      <c r="R948" s="6" t="str">
        <f t="shared" si="171"/>
        <v>Q1</v>
      </c>
      <c r="S948" s="6">
        <f t="shared" si="172"/>
        <v>1900</v>
      </c>
      <c r="T948" s="6" t="str">
        <f t="shared" si="173"/>
        <v>Retail</v>
      </c>
    </row>
    <row r="949" spans="8:20" x14ac:dyDescent="0.3">
      <c r="H949">
        <f t="shared" si="179"/>
        <v>0</v>
      </c>
      <c r="I949">
        <f t="shared" si="174"/>
        <v>0</v>
      </c>
      <c r="J949">
        <f t="shared" si="175"/>
        <v>0</v>
      </c>
      <c r="K949" t="str">
        <f t="shared" si="176"/>
        <v>January</v>
      </c>
      <c r="L949" t="str">
        <f t="shared" si="177"/>
        <v>Q1</v>
      </c>
      <c r="M949" s="2">
        <f t="shared" si="178"/>
        <v>1900</v>
      </c>
      <c r="N949" t="str">
        <f ca="1">IF(COUNTIFS(A$2:A949,A949,O$2:O949,O949)&gt;1,"Repeat","New")</f>
        <v>New</v>
      </c>
      <c r="O949" s="2" t="e">
        <f t="shared" ca="1" si="168"/>
        <v>#VALUE!</v>
      </c>
      <c r="P949" s="3" t="e">
        <f t="shared" ca="1" si="169"/>
        <v>#VALUE!</v>
      </c>
      <c r="Q949" s="6" t="str">
        <f t="shared" si="170"/>
        <v>Jan-00</v>
      </c>
      <c r="R949" s="6" t="str">
        <f t="shared" si="171"/>
        <v>Q1</v>
      </c>
      <c r="S949" s="6">
        <f t="shared" si="172"/>
        <v>1900</v>
      </c>
      <c r="T949" s="6" t="str">
        <f t="shared" si="173"/>
        <v>Retail</v>
      </c>
    </row>
    <row r="950" spans="8:20" x14ac:dyDescent="0.3">
      <c r="H950">
        <f t="shared" si="179"/>
        <v>0</v>
      </c>
      <c r="I950">
        <f t="shared" si="174"/>
        <v>0</v>
      </c>
      <c r="J950">
        <f t="shared" si="175"/>
        <v>0</v>
      </c>
      <c r="K950" t="str">
        <f t="shared" si="176"/>
        <v>January</v>
      </c>
      <c r="L950" t="str">
        <f t="shared" si="177"/>
        <v>Q1</v>
      </c>
      <c r="M950" s="2">
        <f t="shared" si="178"/>
        <v>1900</v>
      </c>
      <c r="N950" t="str">
        <f ca="1">IF(COUNTIFS(A$2:A950,A950,O$2:O950,O950)&gt;1,"Repeat","New")</f>
        <v>New</v>
      </c>
      <c r="O950" s="2" t="e">
        <f t="shared" ref="O950:O1001" ca="1" si="180">M950-N950</f>
        <v>#VALUE!</v>
      </c>
      <c r="P950" s="3" t="e">
        <f t="shared" ref="P950:P1001" ca="1" si="181">IF(M950&gt;0,O950/M950,0)</f>
        <v>#VALUE!</v>
      </c>
      <c r="Q950" s="6" t="str">
        <f t="shared" ref="Q950:Q1001" si="182">TEXT(B950, "mmm-yy")</f>
        <v>Jan-00</v>
      </c>
      <c r="R950" s="6" t="str">
        <f t="shared" ref="R950:R1001" si="183">"Q"&amp;INT((MONTH(B950)-1)/3)+1</f>
        <v>Q1</v>
      </c>
      <c r="S950" s="6">
        <f t="shared" ref="S950:S1001" si="184">YEAR(B950)</f>
        <v>1900</v>
      </c>
      <c r="T950" s="6" t="str">
        <f t="shared" ref="T950:T1001" si="185">IF(M950&gt;5000, "Enterprise", "Retail")</f>
        <v>Retail</v>
      </c>
    </row>
    <row r="951" spans="8:20" x14ac:dyDescent="0.3">
      <c r="H951">
        <f t="shared" si="179"/>
        <v>0</v>
      </c>
      <c r="I951">
        <f t="shared" si="174"/>
        <v>0</v>
      </c>
      <c r="J951">
        <f t="shared" si="175"/>
        <v>0</v>
      </c>
      <c r="K951" t="str">
        <f t="shared" si="176"/>
        <v>January</v>
      </c>
      <c r="L951" t="str">
        <f t="shared" si="177"/>
        <v>Q1</v>
      </c>
      <c r="M951" s="2">
        <f t="shared" si="178"/>
        <v>1900</v>
      </c>
      <c r="N951" t="str">
        <f ca="1">IF(COUNTIFS(A$2:A951,A951,O$2:O951,O951)&gt;1,"Repeat","New")</f>
        <v>New</v>
      </c>
      <c r="O951" s="2" t="e">
        <f t="shared" ca="1" si="180"/>
        <v>#VALUE!</v>
      </c>
      <c r="P951" s="3" t="e">
        <f t="shared" ca="1" si="181"/>
        <v>#VALUE!</v>
      </c>
      <c r="Q951" s="6" t="str">
        <f t="shared" si="182"/>
        <v>Jan-00</v>
      </c>
      <c r="R951" s="6" t="str">
        <f t="shared" si="183"/>
        <v>Q1</v>
      </c>
      <c r="S951" s="6">
        <f t="shared" si="184"/>
        <v>1900</v>
      </c>
      <c r="T951" s="6" t="str">
        <f t="shared" si="185"/>
        <v>Retail</v>
      </c>
    </row>
    <row r="952" spans="8:20" x14ac:dyDescent="0.3">
      <c r="H952">
        <f t="shared" si="179"/>
        <v>0</v>
      </c>
      <c r="I952">
        <f t="shared" si="174"/>
        <v>0</v>
      </c>
      <c r="J952">
        <f t="shared" si="175"/>
        <v>0</v>
      </c>
      <c r="K952" t="str">
        <f t="shared" si="176"/>
        <v>January</v>
      </c>
      <c r="L952" t="str">
        <f t="shared" si="177"/>
        <v>Q1</v>
      </c>
      <c r="M952" s="2">
        <f t="shared" si="178"/>
        <v>1900</v>
      </c>
      <c r="N952" t="str">
        <f ca="1">IF(COUNTIFS(A$2:A952,A952,O$2:O952,O952)&gt;1,"Repeat","New")</f>
        <v>New</v>
      </c>
      <c r="O952" s="2" t="e">
        <f t="shared" ca="1" si="180"/>
        <v>#VALUE!</v>
      </c>
      <c r="P952" s="3" t="e">
        <f t="shared" ca="1" si="181"/>
        <v>#VALUE!</v>
      </c>
      <c r="Q952" s="6" t="str">
        <f t="shared" si="182"/>
        <v>Jan-00</v>
      </c>
      <c r="R952" s="6" t="str">
        <f t="shared" si="183"/>
        <v>Q1</v>
      </c>
      <c r="S952" s="6">
        <f t="shared" si="184"/>
        <v>1900</v>
      </c>
      <c r="T952" s="6" t="str">
        <f t="shared" si="185"/>
        <v>Retail</v>
      </c>
    </row>
    <row r="953" spans="8:20" x14ac:dyDescent="0.3">
      <c r="H953">
        <f t="shared" si="179"/>
        <v>0</v>
      </c>
      <c r="I953">
        <f t="shared" si="174"/>
        <v>0</v>
      </c>
      <c r="J953">
        <f t="shared" si="175"/>
        <v>0</v>
      </c>
      <c r="K953" t="str">
        <f t="shared" si="176"/>
        <v>January</v>
      </c>
      <c r="L953" t="str">
        <f t="shared" si="177"/>
        <v>Q1</v>
      </c>
      <c r="M953" s="2">
        <f t="shared" si="178"/>
        <v>1900</v>
      </c>
      <c r="N953" t="str">
        <f ca="1">IF(COUNTIFS(A$2:A953,A953,O$2:O953,O953)&gt;1,"Repeat","New")</f>
        <v>New</v>
      </c>
      <c r="O953" s="2" t="e">
        <f t="shared" ca="1" si="180"/>
        <v>#VALUE!</v>
      </c>
      <c r="P953" s="3" t="e">
        <f t="shared" ca="1" si="181"/>
        <v>#VALUE!</v>
      </c>
      <c r="Q953" s="6" t="str">
        <f t="shared" si="182"/>
        <v>Jan-00</v>
      </c>
      <c r="R953" s="6" t="str">
        <f t="shared" si="183"/>
        <v>Q1</v>
      </c>
      <c r="S953" s="6">
        <f t="shared" si="184"/>
        <v>1900</v>
      </c>
      <c r="T953" s="6" t="str">
        <f t="shared" si="185"/>
        <v>Retail</v>
      </c>
    </row>
    <row r="954" spans="8:20" x14ac:dyDescent="0.3">
      <c r="H954">
        <f t="shared" si="179"/>
        <v>0</v>
      </c>
      <c r="I954">
        <f t="shared" si="174"/>
        <v>0</v>
      </c>
      <c r="J954">
        <f t="shared" si="175"/>
        <v>0</v>
      </c>
      <c r="K954" t="str">
        <f t="shared" si="176"/>
        <v>January</v>
      </c>
      <c r="L954" t="str">
        <f t="shared" si="177"/>
        <v>Q1</v>
      </c>
      <c r="M954" s="2">
        <f t="shared" si="178"/>
        <v>1900</v>
      </c>
      <c r="N954" t="str">
        <f ca="1">IF(COUNTIFS(A$2:A954,A954,O$2:O954,O954)&gt;1,"Repeat","New")</f>
        <v>New</v>
      </c>
      <c r="O954" s="2" t="e">
        <f t="shared" ca="1" si="180"/>
        <v>#VALUE!</v>
      </c>
      <c r="P954" s="3" t="e">
        <f t="shared" ca="1" si="181"/>
        <v>#VALUE!</v>
      </c>
      <c r="Q954" s="6" t="str">
        <f t="shared" si="182"/>
        <v>Jan-00</v>
      </c>
      <c r="R954" s="6" t="str">
        <f t="shared" si="183"/>
        <v>Q1</v>
      </c>
      <c r="S954" s="6">
        <f t="shared" si="184"/>
        <v>1900</v>
      </c>
      <c r="T954" s="6" t="str">
        <f t="shared" si="185"/>
        <v>Retail</v>
      </c>
    </row>
    <row r="955" spans="8:20" x14ac:dyDescent="0.3">
      <c r="H955">
        <f t="shared" si="179"/>
        <v>0</v>
      </c>
      <c r="I955">
        <f t="shared" si="174"/>
        <v>0</v>
      </c>
      <c r="J955">
        <f t="shared" si="175"/>
        <v>0</v>
      </c>
      <c r="K955" t="str">
        <f t="shared" si="176"/>
        <v>January</v>
      </c>
      <c r="L955" t="str">
        <f t="shared" si="177"/>
        <v>Q1</v>
      </c>
      <c r="M955" s="2">
        <f t="shared" si="178"/>
        <v>1900</v>
      </c>
      <c r="N955" t="str">
        <f ca="1">IF(COUNTIFS(A$2:A955,A955,O$2:O955,O955)&gt;1,"Repeat","New")</f>
        <v>New</v>
      </c>
      <c r="O955" s="2" t="e">
        <f t="shared" ca="1" si="180"/>
        <v>#VALUE!</v>
      </c>
      <c r="P955" s="3" t="e">
        <f t="shared" ca="1" si="181"/>
        <v>#VALUE!</v>
      </c>
      <c r="Q955" s="6" t="str">
        <f t="shared" si="182"/>
        <v>Jan-00</v>
      </c>
      <c r="R955" s="6" t="str">
        <f t="shared" si="183"/>
        <v>Q1</v>
      </c>
      <c r="S955" s="6">
        <f t="shared" si="184"/>
        <v>1900</v>
      </c>
      <c r="T955" s="6" t="str">
        <f t="shared" si="185"/>
        <v>Retail</v>
      </c>
    </row>
    <row r="956" spans="8:20" x14ac:dyDescent="0.3">
      <c r="H956">
        <f t="shared" si="179"/>
        <v>0</v>
      </c>
      <c r="I956">
        <f t="shared" si="174"/>
        <v>0</v>
      </c>
      <c r="J956">
        <f t="shared" si="175"/>
        <v>0</v>
      </c>
      <c r="K956" t="str">
        <f t="shared" si="176"/>
        <v>January</v>
      </c>
      <c r="L956" t="str">
        <f t="shared" si="177"/>
        <v>Q1</v>
      </c>
      <c r="M956" s="2">
        <f t="shared" si="178"/>
        <v>1900</v>
      </c>
      <c r="N956" t="str">
        <f ca="1">IF(COUNTIFS(A$2:A956,A956,O$2:O956,O956)&gt;1,"Repeat","New")</f>
        <v>New</v>
      </c>
      <c r="O956" s="2" t="e">
        <f t="shared" ca="1" si="180"/>
        <v>#VALUE!</v>
      </c>
      <c r="P956" s="3" t="e">
        <f t="shared" ca="1" si="181"/>
        <v>#VALUE!</v>
      </c>
      <c r="Q956" s="6" t="str">
        <f t="shared" si="182"/>
        <v>Jan-00</v>
      </c>
      <c r="R956" s="6" t="str">
        <f t="shared" si="183"/>
        <v>Q1</v>
      </c>
      <c r="S956" s="6">
        <f t="shared" si="184"/>
        <v>1900</v>
      </c>
      <c r="T956" s="6" t="str">
        <f t="shared" si="185"/>
        <v>Retail</v>
      </c>
    </row>
    <row r="957" spans="8:20" x14ac:dyDescent="0.3">
      <c r="H957">
        <f t="shared" si="179"/>
        <v>0</v>
      </c>
      <c r="I957">
        <f t="shared" si="174"/>
        <v>0</v>
      </c>
      <c r="J957">
        <f t="shared" si="175"/>
        <v>0</v>
      </c>
      <c r="K957" t="str">
        <f t="shared" si="176"/>
        <v>January</v>
      </c>
      <c r="L957" t="str">
        <f t="shared" si="177"/>
        <v>Q1</v>
      </c>
      <c r="M957" s="2">
        <f t="shared" si="178"/>
        <v>1900</v>
      </c>
      <c r="N957" t="str">
        <f ca="1">IF(COUNTIFS(A$2:A957,A957,O$2:O957,O957)&gt;1,"Repeat","New")</f>
        <v>New</v>
      </c>
      <c r="O957" s="2" t="e">
        <f t="shared" ca="1" si="180"/>
        <v>#VALUE!</v>
      </c>
      <c r="P957" s="3" t="e">
        <f t="shared" ca="1" si="181"/>
        <v>#VALUE!</v>
      </c>
      <c r="Q957" s="6" t="str">
        <f t="shared" si="182"/>
        <v>Jan-00</v>
      </c>
      <c r="R957" s="6" t="str">
        <f t="shared" si="183"/>
        <v>Q1</v>
      </c>
      <c r="S957" s="6">
        <f t="shared" si="184"/>
        <v>1900</v>
      </c>
      <c r="T957" s="6" t="str">
        <f t="shared" si="185"/>
        <v>Retail</v>
      </c>
    </row>
    <row r="958" spans="8:20" x14ac:dyDescent="0.3">
      <c r="H958">
        <f t="shared" si="179"/>
        <v>0</v>
      </c>
      <c r="I958">
        <f t="shared" si="174"/>
        <v>0</v>
      </c>
      <c r="J958">
        <f t="shared" si="175"/>
        <v>0</v>
      </c>
      <c r="K958" t="str">
        <f t="shared" si="176"/>
        <v>January</v>
      </c>
      <c r="L958" t="str">
        <f t="shared" si="177"/>
        <v>Q1</v>
      </c>
      <c r="M958" s="2">
        <f t="shared" si="178"/>
        <v>1900</v>
      </c>
      <c r="N958" t="str">
        <f ca="1">IF(COUNTIFS(A$2:A958,A958,O$2:O958,O958)&gt;1,"Repeat","New")</f>
        <v>New</v>
      </c>
      <c r="O958" s="2" t="e">
        <f t="shared" ca="1" si="180"/>
        <v>#VALUE!</v>
      </c>
      <c r="P958" s="3" t="e">
        <f t="shared" ca="1" si="181"/>
        <v>#VALUE!</v>
      </c>
      <c r="Q958" s="6" t="str">
        <f t="shared" si="182"/>
        <v>Jan-00</v>
      </c>
      <c r="R958" s="6" t="str">
        <f t="shared" si="183"/>
        <v>Q1</v>
      </c>
      <c r="S958" s="6">
        <f t="shared" si="184"/>
        <v>1900</v>
      </c>
      <c r="T958" s="6" t="str">
        <f t="shared" si="185"/>
        <v>Retail</v>
      </c>
    </row>
    <row r="959" spans="8:20" x14ac:dyDescent="0.3">
      <c r="H959">
        <f t="shared" si="179"/>
        <v>0</v>
      </c>
      <c r="I959">
        <f t="shared" si="174"/>
        <v>0</v>
      </c>
      <c r="J959">
        <f t="shared" si="175"/>
        <v>0</v>
      </c>
      <c r="K959" t="str">
        <f t="shared" si="176"/>
        <v>January</v>
      </c>
      <c r="L959" t="str">
        <f t="shared" si="177"/>
        <v>Q1</v>
      </c>
      <c r="M959" s="2">
        <f t="shared" si="178"/>
        <v>1900</v>
      </c>
      <c r="N959" t="str">
        <f ca="1">IF(COUNTIFS(A$2:A959,A959,O$2:O959,O959)&gt;1,"Repeat","New")</f>
        <v>New</v>
      </c>
      <c r="O959" s="2" t="e">
        <f t="shared" ca="1" si="180"/>
        <v>#VALUE!</v>
      </c>
      <c r="P959" s="3" t="e">
        <f t="shared" ca="1" si="181"/>
        <v>#VALUE!</v>
      </c>
      <c r="Q959" s="6" t="str">
        <f t="shared" si="182"/>
        <v>Jan-00</v>
      </c>
      <c r="R959" s="6" t="str">
        <f t="shared" si="183"/>
        <v>Q1</v>
      </c>
      <c r="S959" s="6">
        <f t="shared" si="184"/>
        <v>1900</v>
      </c>
      <c r="T959" s="6" t="str">
        <f t="shared" si="185"/>
        <v>Retail</v>
      </c>
    </row>
    <row r="960" spans="8:20" x14ac:dyDescent="0.3">
      <c r="H960">
        <f t="shared" si="179"/>
        <v>0</v>
      </c>
      <c r="I960">
        <f t="shared" si="174"/>
        <v>0</v>
      </c>
      <c r="J960">
        <f t="shared" si="175"/>
        <v>0</v>
      </c>
      <c r="K960" t="str">
        <f t="shared" si="176"/>
        <v>January</v>
      </c>
      <c r="L960" t="str">
        <f t="shared" si="177"/>
        <v>Q1</v>
      </c>
      <c r="M960" s="2">
        <f t="shared" si="178"/>
        <v>1900</v>
      </c>
      <c r="N960" t="str">
        <f ca="1">IF(COUNTIFS(A$2:A960,A960,O$2:O960,O960)&gt;1,"Repeat","New")</f>
        <v>New</v>
      </c>
      <c r="O960" s="2" t="e">
        <f t="shared" ca="1" si="180"/>
        <v>#VALUE!</v>
      </c>
      <c r="P960" s="3" t="e">
        <f t="shared" ca="1" si="181"/>
        <v>#VALUE!</v>
      </c>
      <c r="Q960" s="6" t="str">
        <f t="shared" si="182"/>
        <v>Jan-00</v>
      </c>
      <c r="R960" s="6" t="str">
        <f t="shared" si="183"/>
        <v>Q1</v>
      </c>
      <c r="S960" s="6">
        <f t="shared" si="184"/>
        <v>1900</v>
      </c>
      <c r="T960" s="6" t="str">
        <f t="shared" si="185"/>
        <v>Retail</v>
      </c>
    </row>
    <row r="961" spans="8:20" x14ac:dyDescent="0.3">
      <c r="H961">
        <f t="shared" si="179"/>
        <v>0</v>
      </c>
      <c r="I961">
        <f t="shared" si="174"/>
        <v>0</v>
      </c>
      <c r="J961">
        <f t="shared" si="175"/>
        <v>0</v>
      </c>
      <c r="K961" t="str">
        <f t="shared" si="176"/>
        <v>January</v>
      </c>
      <c r="L961" t="str">
        <f t="shared" si="177"/>
        <v>Q1</v>
      </c>
      <c r="M961" s="2">
        <f t="shared" si="178"/>
        <v>1900</v>
      </c>
      <c r="N961" t="str">
        <f ca="1">IF(COUNTIFS(A$2:A961,A961,O$2:O961,O961)&gt;1,"Repeat","New")</f>
        <v>New</v>
      </c>
      <c r="O961" s="2" t="e">
        <f t="shared" ca="1" si="180"/>
        <v>#VALUE!</v>
      </c>
      <c r="P961" s="3" t="e">
        <f t="shared" ca="1" si="181"/>
        <v>#VALUE!</v>
      </c>
      <c r="Q961" s="6" t="str">
        <f t="shared" si="182"/>
        <v>Jan-00</v>
      </c>
      <c r="R961" s="6" t="str">
        <f t="shared" si="183"/>
        <v>Q1</v>
      </c>
      <c r="S961" s="6">
        <f t="shared" si="184"/>
        <v>1900</v>
      </c>
      <c r="T961" s="6" t="str">
        <f t="shared" si="185"/>
        <v>Retail</v>
      </c>
    </row>
    <row r="962" spans="8:20" x14ac:dyDescent="0.3">
      <c r="H962">
        <f t="shared" si="179"/>
        <v>0</v>
      </c>
      <c r="I962">
        <f t="shared" ref="I962:I1001" si="186">H962-(D962*F962)</f>
        <v>0</v>
      </c>
      <c r="J962">
        <f t="shared" ref="J962:J1001" si="187">IF(H962&gt;0,I962/H962,0)</f>
        <v>0</v>
      </c>
      <c r="K962" t="str">
        <f t="shared" ref="K962:K1001" si="188">TEXT(A962,"mmmm")</f>
        <v>January</v>
      </c>
      <c r="L962" t="str">
        <f t="shared" ref="L962:L1001" si="189">"Q"&amp;ROUNDUP(MONTH(A962)/3,0)</f>
        <v>Q1</v>
      </c>
      <c r="M962" s="2">
        <f t="shared" ref="M962:M1001" si="190">YEAR(A962)</f>
        <v>1900</v>
      </c>
      <c r="N962" t="str">
        <f ca="1">IF(COUNTIFS(A$2:A962,A962,O$2:O962,O962)&gt;1,"Repeat","New")</f>
        <v>New</v>
      </c>
      <c r="O962" s="2" t="e">
        <f t="shared" ca="1" si="180"/>
        <v>#VALUE!</v>
      </c>
      <c r="P962" s="3" t="e">
        <f t="shared" ca="1" si="181"/>
        <v>#VALUE!</v>
      </c>
      <c r="Q962" s="6" t="str">
        <f t="shared" si="182"/>
        <v>Jan-00</v>
      </c>
      <c r="R962" s="6" t="str">
        <f t="shared" si="183"/>
        <v>Q1</v>
      </c>
      <c r="S962" s="6">
        <f t="shared" si="184"/>
        <v>1900</v>
      </c>
      <c r="T962" s="6" t="str">
        <f t="shared" si="185"/>
        <v>Retail</v>
      </c>
    </row>
    <row r="963" spans="8:20" x14ac:dyDescent="0.3">
      <c r="H963">
        <f t="shared" ref="H963:H1001" si="191">(E963*F963)*(1-G963)</f>
        <v>0</v>
      </c>
      <c r="I963">
        <f t="shared" si="186"/>
        <v>0</v>
      </c>
      <c r="J963">
        <f t="shared" si="187"/>
        <v>0</v>
      </c>
      <c r="K963" t="str">
        <f t="shared" si="188"/>
        <v>January</v>
      </c>
      <c r="L963" t="str">
        <f t="shared" si="189"/>
        <v>Q1</v>
      </c>
      <c r="M963" s="2">
        <f t="shared" si="190"/>
        <v>1900</v>
      </c>
      <c r="N963" t="str">
        <f ca="1">IF(COUNTIFS(A$2:A963,A963,O$2:O963,O963)&gt;1,"Repeat","New")</f>
        <v>New</v>
      </c>
      <c r="O963" s="2" t="e">
        <f t="shared" ca="1" si="180"/>
        <v>#VALUE!</v>
      </c>
      <c r="P963" s="3" t="e">
        <f t="shared" ca="1" si="181"/>
        <v>#VALUE!</v>
      </c>
      <c r="Q963" s="6" t="str">
        <f t="shared" si="182"/>
        <v>Jan-00</v>
      </c>
      <c r="R963" s="6" t="str">
        <f t="shared" si="183"/>
        <v>Q1</v>
      </c>
      <c r="S963" s="6">
        <f t="shared" si="184"/>
        <v>1900</v>
      </c>
      <c r="T963" s="6" t="str">
        <f t="shared" si="185"/>
        <v>Retail</v>
      </c>
    </row>
    <row r="964" spans="8:20" x14ac:dyDescent="0.3">
      <c r="H964">
        <f t="shared" si="191"/>
        <v>0</v>
      </c>
      <c r="I964">
        <f t="shared" si="186"/>
        <v>0</v>
      </c>
      <c r="J964">
        <f t="shared" si="187"/>
        <v>0</v>
      </c>
      <c r="K964" t="str">
        <f t="shared" si="188"/>
        <v>January</v>
      </c>
      <c r="L964" t="str">
        <f t="shared" si="189"/>
        <v>Q1</v>
      </c>
      <c r="M964" s="2">
        <f t="shared" si="190"/>
        <v>1900</v>
      </c>
      <c r="N964" t="str">
        <f ca="1">IF(COUNTIFS(A$2:A964,A964,O$2:O964,O964)&gt;1,"Repeat","New")</f>
        <v>New</v>
      </c>
      <c r="O964" s="2" t="e">
        <f t="shared" ca="1" si="180"/>
        <v>#VALUE!</v>
      </c>
      <c r="P964" s="3" t="e">
        <f t="shared" ca="1" si="181"/>
        <v>#VALUE!</v>
      </c>
      <c r="Q964" s="6" t="str">
        <f t="shared" si="182"/>
        <v>Jan-00</v>
      </c>
      <c r="R964" s="6" t="str">
        <f t="shared" si="183"/>
        <v>Q1</v>
      </c>
      <c r="S964" s="6">
        <f t="shared" si="184"/>
        <v>1900</v>
      </c>
      <c r="T964" s="6" t="str">
        <f t="shared" si="185"/>
        <v>Retail</v>
      </c>
    </row>
    <row r="965" spans="8:20" x14ac:dyDescent="0.3">
      <c r="H965">
        <f t="shared" si="191"/>
        <v>0</v>
      </c>
      <c r="I965">
        <f t="shared" si="186"/>
        <v>0</v>
      </c>
      <c r="J965">
        <f t="shared" si="187"/>
        <v>0</v>
      </c>
      <c r="K965" t="str">
        <f t="shared" si="188"/>
        <v>January</v>
      </c>
      <c r="L965" t="str">
        <f t="shared" si="189"/>
        <v>Q1</v>
      </c>
      <c r="M965" s="2">
        <f t="shared" si="190"/>
        <v>1900</v>
      </c>
      <c r="N965" t="str">
        <f ca="1">IF(COUNTIFS(A$2:A965,A965,O$2:O965,O965)&gt;1,"Repeat","New")</f>
        <v>New</v>
      </c>
      <c r="O965" s="2" t="e">
        <f t="shared" ca="1" si="180"/>
        <v>#VALUE!</v>
      </c>
      <c r="P965" s="3" t="e">
        <f t="shared" ca="1" si="181"/>
        <v>#VALUE!</v>
      </c>
      <c r="Q965" s="6" t="str">
        <f t="shared" si="182"/>
        <v>Jan-00</v>
      </c>
      <c r="R965" s="6" t="str">
        <f t="shared" si="183"/>
        <v>Q1</v>
      </c>
      <c r="S965" s="6">
        <f t="shared" si="184"/>
        <v>1900</v>
      </c>
      <c r="T965" s="6" t="str">
        <f t="shared" si="185"/>
        <v>Retail</v>
      </c>
    </row>
    <row r="966" spans="8:20" x14ac:dyDescent="0.3">
      <c r="H966">
        <f t="shared" si="191"/>
        <v>0</v>
      </c>
      <c r="I966">
        <f t="shared" si="186"/>
        <v>0</v>
      </c>
      <c r="J966">
        <f t="shared" si="187"/>
        <v>0</v>
      </c>
      <c r="K966" t="str">
        <f t="shared" si="188"/>
        <v>January</v>
      </c>
      <c r="L966" t="str">
        <f t="shared" si="189"/>
        <v>Q1</v>
      </c>
      <c r="M966" s="2">
        <f t="shared" si="190"/>
        <v>1900</v>
      </c>
      <c r="N966" t="str">
        <f ca="1">IF(COUNTIFS(A$2:A966,A966,O$2:O966,O966)&gt;1,"Repeat","New")</f>
        <v>New</v>
      </c>
      <c r="O966" s="2" t="e">
        <f t="shared" ca="1" si="180"/>
        <v>#VALUE!</v>
      </c>
      <c r="P966" s="3" t="e">
        <f t="shared" ca="1" si="181"/>
        <v>#VALUE!</v>
      </c>
      <c r="Q966" s="6" t="str">
        <f t="shared" si="182"/>
        <v>Jan-00</v>
      </c>
      <c r="R966" s="6" t="str">
        <f t="shared" si="183"/>
        <v>Q1</v>
      </c>
      <c r="S966" s="6">
        <f t="shared" si="184"/>
        <v>1900</v>
      </c>
      <c r="T966" s="6" t="str">
        <f t="shared" si="185"/>
        <v>Retail</v>
      </c>
    </row>
    <row r="967" spans="8:20" x14ac:dyDescent="0.3">
      <c r="H967">
        <f t="shared" si="191"/>
        <v>0</v>
      </c>
      <c r="I967">
        <f t="shared" si="186"/>
        <v>0</v>
      </c>
      <c r="J967">
        <f t="shared" si="187"/>
        <v>0</v>
      </c>
      <c r="K967" t="str">
        <f t="shared" si="188"/>
        <v>January</v>
      </c>
      <c r="L967" t="str">
        <f t="shared" si="189"/>
        <v>Q1</v>
      </c>
      <c r="M967" s="2">
        <f t="shared" si="190"/>
        <v>1900</v>
      </c>
      <c r="N967" t="str">
        <f ca="1">IF(COUNTIFS(A$2:A967,A967,O$2:O967,O967)&gt;1,"Repeat","New")</f>
        <v>New</v>
      </c>
      <c r="O967" s="2" t="e">
        <f t="shared" ca="1" si="180"/>
        <v>#VALUE!</v>
      </c>
      <c r="P967" s="3" t="e">
        <f t="shared" ca="1" si="181"/>
        <v>#VALUE!</v>
      </c>
      <c r="Q967" s="6" t="str">
        <f t="shared" si="182"/>
        <v>Jan-00</v>
      </c>
      <c r="R967" s="6" t="str">
        <f t="shared" si="183"/>
        <v>Q1</v>
      </c>
      <c r="S967" s="6">
        <f t="shared" si="184"/>
        <v>1900</v>
      </c>
      <c r="T967" s="6" t="str">
        <f t="shared" si="185"/>
        <v>Retail</v>
      </c>
    </row>
    <row r="968" spans="8:20" x14ac:dyDescent="0.3">
      <c r="H968">
        <f t="shared" si="191"/>
        <v>0</v>
      </c>
      <c r="I968">
        <f t="shared" si="186"/>
        <v>0</v>
      </c>
      <c r="J968">
        <f t="shared" si="187"/>
        <v>0</v>
      </c>
      <c r="K968" t="str">
        <f t="shared" si="188"/>
        <v>January</v>
      </c>
      <c r="L968" t="str">
        <f t="shared" si="189"/>
        <v>Q1</v>
      </c>
      <c r="M968" s="2">
        <f t="shared" si="190"/>
        <v>1900</v>
      </c>
      <c r="N968" t="str">
        <f ca="1">IF(COUNTIFS(A$2:A968,A968,O$2:O968,O968)&gt;1,"Repeat","New")</f>
        <v>New</v>
      </c>
      <c r="O968" s="2" t="e">
        <f t="shared" ca="1" si="180"/>
        <v>#VALUE!</v>
      </c>
      <c r="P968" s="3" t="e">
        <f t="shared" ca="1" si="181"/>
        <v>#VALUE!</v>
      </c>
      <c r="Q968" s="6" t="str">
        <f t="shared" si="182"/>
        <v>Jan-00</v>
      </c>
      <c r="R968" s="6" t="str">
        <f t="shared" si="183"/>
        <v>Q1</v>
      </c>
      <c r="S968" s="6">
        <f t="shared" si="184"/>
        <v>1900</v>
      </c>
      <c r="T968" s="6" t="str">
        <f t="shared" si="185"/>
        <v>Retail</v>
      </c>
    </row>
    <row r="969" spans="8:20" x14ac:dyDescent="0.3">
      <c r="H969">
        <f t="shared" si="191"/>
        <v>0</v>
      </c>
      <c r="I969">
        <f t="shared" si="186"/>
        <v>0</v>
      </c>
      <c r="J969">
        <f t="shared" si="187"/>
        <v>0</v>
      </c>
      <c r="K969" t="str">
        <f t="shared" si="188"/>
        <v>January</v>
      </c>
      <c r="L969" t="str">
        <f t="shared" si="189"/>
        <v>Q1</v>
      </c>
      <c r="M969" s="2">
        <f t="shared" si="190"/>
        <v>1900</v>
      </c>
      <c r="N969" t="str">
        <f ca="1">IF(COUNTIFS(A$2:A969,A969,O$2:O969,O969)&gt;1,"Repeat","New")</f>
        <v>New</v>
      </c>
      <c r="O969" s="2" t="e">
        <f t="shared" ca="1" si="180"/>
        <v>#VALUE!</v>
      </c>
      <c r="P969" s="3" t="e">
        <f t="shared" ca="1" si="181"/>
        <v>#VALUE!</v>
      </c>
      <c r="Q969" s="6" t="str">
        <f t="shared" si="182"/>
        <v>Jan-00</v>
      </c>
      <c r="R969" s="6" t="str">
        <f t="shared" si="183"/>
        <v>Q1</v>
      </c>
      <c r="S969" s="6">
        <f t="shared" si="184"/>
        <v>1900</v>
      </c>
      <c r="T969" s="6" t="str">
        <f t="shared" si="185"/>
        <v>Retail</v>
      </c>
    </row>
    <row r="970" spans="8:20" x14ac:dyDescent="0.3">
      <c r="H970">
        <f t="shared" si="191"/>
        <v>0</v>
      </c>
      <c r="I970">
        <f t="shared" si="186"/>
        <v>0</v>
      </c>
      <c r="J970">
        <f t="shared" si="187"/>
        <v>0</v>
      </c>
      <c r="K970" t="str">
        <f t="shared" si="188"/>
        <v>January</v>
      </c>
      <c r="L970" t="str">
        <f t="shared" si="189"/>
        <v>Q1</v>
      </c>
      <c r="M970" s="2">
        <f t="shared" si="190"/>
        <v>1900</v>
      </c>
      <c r="N970" t="str">
        <f ca="1">IF(COUNTIFS(A$2:A970,A970,O$2:O970,O970)&gt;1,"Repeat","New")</f>
        <v>New</v>
      </c>
      <c r="O970" s="2" t="e">
        <f t="shared" ca="1" si="180"/>
        <v>#VALUE!</v>
      </c>
      <c r="P970" s="3" t="e">
        <f t="shared" ca="1" si="181"/>
        <v>#VALUE!</v>
      </c>
      <c r="Q970" s="6" t="str">
        <f t="shared" si="182"/>
        <v>Jan-00</v>
      </c>
      <c r="R970" s="6" t="str">
        <f t="shared" si="183"/>
        <v>Q1</v>
      </c>
      <c r="S970" s="6">
        <f t="shared" si="184"/>
        <v>1900</v>
      </c>
      <c r="T970" s="6" t="str">
        <f t="shared" si="185"/>
        <v>Retail</v>
      </c>
    </row>
    <row r="971" spans="8:20" x14ac:dyDescent="0.3">
      <c r="H971">
        <f t="shared" si="191"/>
        <v>0</v>
      </c>
      <c r="I971">
        <f t="shared" si="186"/>
        <v>0</v>
      </c>
      <c r="J971">
        <f t="shared" si="187"/>
        <v>0</v>
      </c>
      <c r="K971" t="str">
        <f t="shared" si="188"/>
        <v>January</v>
      </c>
      <c r="L971" t="str">
        <f t="shared" si="189"/>
        <v>Q1</v>
      </c>
      <c r="M971" s="2">
        <f t="shared" si="190"/>
        <v>1900</v>
      </c>
      <c r="N971" t="str">
        <f ca="1">IF(COUNTIFS(A$2:A971,A971,O$2:O971,O971)&gt;1,"Repeat","New")</f>
        <v>New</v>
      </c>
      <c r="O971" s="2" t="e">
        <f t="shared" ca="1" si="180"/>
        <v>#VALUE!</v>
      </c>
      <c r="P971" s="3" t="e">
        <f t="shared" ca="1" si="181"/>
        <v>#VALUE!</v>
      </c>
      <c r="Q971" s="6" t="str">
        <f t="shared" si="182"/>
        <v>Jan-00</v>
      </c>
      <c r="R971" s="6" t="str">
        <f t="shared" si="183"/>
        <v>Q1</v>
      </c>
      <c r="S971" s="6">
        <f t="shared" si="184"/>
        <v>1900</v>
      </c>
      <c r="T971" s="6" t="str">
        <f t="shared" si="185"/>
        <v>Retail</v>
      </c>
    </row>
    <row r="972" spans="8:20" x14ac:dyDescent="0.3">
      <c r="H972">
        <f t="shared" si="191"/>
        <v>0</v>
      </c>
      <c r="I972">
        <f t="shared" si="186"/>
        <v>0</v>
      </c>
      <c r="J972">
        <f t="shared" si="187"/>
        <v>0</v>
      </c>
      <c r="K972" t="str">
        <f t="shared" si="188"/>
        <v>January</v>
      </c>
      <c r="L972" t="str">
        <f t="shared" si="189"/>
        <v>Q1</v>
      </c>
      <c r="M972" s="2">
        <f t="shared" si="190"/>
        <v>1900</v>
      </c>
      <c r="N972" t="str">
        <f ca="1">IF(COUNTIFS(A$2:A972,A972,O$2:O972,O972)&gt;1,"Repeat","New")</f>
        <v>New</v>
      </c>
      <c r="O972" s="2" t="e">
        <f t="shared" ca="1" si="180"/>
        <v>#VALUE!</v>
      </c>
      <c r="P972" s="3" t="e">
        <f t="shared" ca="1" si="181"/>
        <v>#VALUE!</v>
      </c>
      <c r="Q972" s="6" t="str">
        <f t="shared" si="182"/>
        <v>Jan-00</v>
      </c>
      <c r="R972" s="6" t="str">
        <f t="shared" si="183"/>
        <v>Q1</v>
      </c>
      <c r="S972" s="6">
        <f t="shared" si="184"/>
        <v>1900</v>
      </c>
      <c r="T972" s="6" t="str">
        <f t="shared" si="185"/>
        <v>Retail</v>
      </c>
    </row>
    <row r="973" spans="8:20" x14ac:dyDescent="0.3">
      <c r="H973">
        <f t="shared" si="191"/>
        <v>0</v>
      </c>
      <c r="I973">
        <f t="shared" si="186"/>
        <v>0</v>
      </c>
      <c r="J973">
        <f t="shared" si="187"/>
        <v>0</v>
      </c>
      <c r="K973" t="str">
        <f t="shared" si="188"/>
        <v>January</v>
      </c>
      <c r="L973" t="str">
        <f t="shared" si="189"/>
        <v>Q1</v>
      </c>
      <c r="M973" s="2">
        <f t="shared" si="190"/>
        <v>1900</v>
      </c>
      <c r="N973" t="str">
        <f ca="1">IF(COUNTIFS(A$2:A973,A973,O$2:O973,O973)&gt;1,"Repeat","New")</f>
        <v>New</v>
      </c>
      <c r="O973" s="2" t="e">
        <f t="shared" ca="1" si="180"/>
        <v>#VALUE!</v>
      </c>
      <c r="P973" s="3" t="e">
        <f t="shared" ca="1" si="181"/>
        <v>#VALUE!</v>
      </c>
      <c r="Q973" s="6" t="str">
        <f t="shared" si="182"/>
        <v>Jan-00</v>
      </c>
      <c r="R973" s="6" t="str">
        <f t="shared" si="183"/>
        <v>Q1</v>
      </c>
      <c r="S973" s="6">
        <f t="shared" si="184"/>
        <v>1900</v>
      </c>
      <c r="T973" s="6" t="str">
        <f t="shared" si="185"/>
        <v>Retail</v>
      </c>
    </row>
    <row r="974" spans="8:20" x14ac:dyDescent="0.3">
      <c r="H974">
        <f t="shared" si="191"/>
        <v>0</v>
      </c>
      <c r="I974">
        <f t="shared" si="186"/>
        <v>0</v>
      </c>
      <c r="J974">
        <f t="shared" si="187"/>
        <v>0</v>
      </c>
      <c r="K974" t="str">
        <f t="shared" si="188"/>
        <v>January</v>
      </c>
      <c r="L974" t="str">
        <f t="shared" si="189"/>
        <v>Q1</v>
      </c>
      <c r="M974" s="2">
        <f t="shared" si="190"/>
        <v>1900</v>
      </c>
      <c r="N974" t="str">
        <f ca="1">IF(COUNTIFS(A$2:A974,A974,O$2:O974,O974)&gt;1,"Repeat","New")</f>
        <v>New</v>
      </c>
      <c r="O974" s="2" t="e">
        <f t="shared" ca="1" si="180"/>
        <v>#VALUE!</v>
      </c>
      <c r="P974" s="3" t="e">
        <f t="shared" ca="1" si="181"/>
        <v>#VALUE!</v>
      </c>
      <c r="Q974" s="6" t="str">
        <f t="shared" si="182"/>
        <v>Jan-00</v>
      </c>
      <c r="R974" s="6" t="str">
        <f t="shared" si="183"/>
        <v>Q1</v>
      </c>
      <c r="S974" s="6">
        <f t="shared" si="184"/>
        <v>1900</v>
      </c>
      <c r="T974" s="6" t="str">
        <f t="shared" si="185"/>
        <v>Retail</v>
      </c>
    </row>
    <row r="975" spans="8:20" x14ac:dyDescent="0.3">
      <c r="H975">
        <f t="shared" si="191"/>
        <v>0</v>
      </c>
      <c r="I975">
        <f t="shared" si="186"/>
        <v>0</v>
      </c>
      <c r="J975">
        <f t="shared" si="187"/>
        <v>0</v>
      </c>
      <c r="K975" t="str">
        <f t="shared" si="188"/>
        <v>January</v>
      </c>
      <c r="L975" t="str">
        <f t="shared" si="189"/>
        <v>Q1</v>
      </c>
      <c r="M975" s="2">
        <f t="shared" si="190"/>
        <v>1900</v>
      </c>
      <c r="N975" t="str">
        <f ca="1">IF(COUNTIFS(A$2:A975,A975,O$2:O975,O975)&gt;1,"Repeat","New")</f>
        <v>New</v>
      </c>
      <c r="O975" s="2" t="e">
        <f t="shared" ca="1" si="180"/>
        <v>#VALUE!</v>
      </c>
      <c r="P975" s="3" t="e">
        <f t="shared" ca="1" si="181"/>
        <v>#VALUE!</v>
      </c>
      <c r="Q975" s="6" t="str">
        <f t="shared" si="182"/>
        <v>Jan-00</v>
      </c>
      <c r="R975" s="6" t="str">
        <f t="shared" si="183"/>
        <v>Q1</v>
      </c>
      <c r="S975" s="6">
        <f t="shared" si="184"/>
        <v>1900</v>
      </c>
      <c r="T975" s="6" t="str">
        <f t="shared" si="185"/>
        <v>Retail</v>
      </c>
    </row>
    <row r="976" spans="8:20" x14ac:dyDescent="0.3">
      <c r="H976">
        <f t="shared" si="191"/>
        <v>0</v>
      </c>
      <c r="I976">
        <f t="shared" si="186"/>
        <v>0</v>
      </c>
      <c r="J976">
        <f t="shared" si="187"/>
        <v>0</v>
      </c>
      <c r="K976" t="str">
        <f t="shared" si="188"/>
        <v>January</v>
      </c>
      <c r="L976" t="str">
        <f t="shared" si="189"/>
        <v>Q1</v>
      </c>
      <c r="M976" s="2">
        <f t="shared" si="190"/>
        <v>1900</v>
      </c>
      <c r="N976" t="str">
        <f ca="1">IF(COUNTIFS(A$2:A976,A976,O$2:O976,O976)&gt;1,"Repeat","New")</f>
        <v>New</v>
      </c>
      <c r="O976" s="2" t="e">
        <f t="shared" ca="1" si="180"/>
        <v>#VALUE!</v>
      </c>
      <c r="P976" s="3" t="e">
        <f t="shared" ca="1" si="181"/>
        <v>#VALUE!</v>
      </c>
      <c r="Q976" s="6" t="str">
        <f t="shared" si="182"/>
        <v>Jan-00</v>
      </c>
      <c r="R976" s="6" t="str">
        <f t="shared" si="183"/>
        <v>Q1</v>
      </c>
      <c r="S976" s="6">
        <f t="shared" si="184"/>
        <v>1900</v>
      </c>
      <c r="T976" s="6" t="str">
        <f t="shared" si="185"/>
        <v>Retail</v>
      </c>
    </row>
    <row r="977" spans="8:20" x14ac:dyDescent="0.3">
      <c r="H977">
        <f t="shared" si="191"/>
        <v>0</v>
      </c>
      <c r="I977">
        <f t="shared" si="186"/>
        <v>0</v>
      </c>
      <c r="J977">
        <f t="shared" si="187"/>
        <v>0</v>
      </c>
      <c r="K977" t="str">
        <f t="shared" si="188"/>
        <v>January</v>
      </c>
      <c r="L977" t="str">
        <f t="shared" si="189"/>
        <v>Q1</v>
      </c>
      <c r="M977" s="2">
        <f t="shared" si="190"/>
        <v>1900</v>
      </c>
      <c r="N977" t="str">
        <f ca="1">IF(COUNTIFS(A$2:A977,A977,O$2:O977,O977)&gt;1,"Repeat","New")</f>
        <v>New</v>
      </c>
      <c r="O977" s="2" t="e">
        <f t="shared" ca="1" si="180"/>
        <v>#VALUE!</v>
      </c>
      <c r="P977" s="3" t="e">
        <f t="shared" ca="1" si="181"/>
        <v>#VALUE!</v>
      </c>
      <c r="Q977" s="6" t="str">
        <f t="shared" si="182"/>
        <v>Jan-00</v>
      </c>
      <c r="R977" s="6" t="str">
        <f t="shared" si="183"/>
        <v>Q1</v>
      </c>
      <c r="S977" s="6">
        <f t="shared" si="184"/>
        <v>1900</v>
      </c>
      <c r="T977" s="6" t="str">
        <f t="shared" si="185"/>
        <v>Retail</v>
      </c>
    </row>
    <row r="978" spans="8:20" x14ac:dyDescent="0.3">
      <c r="H978">
        <f t="shared" si="191"/>
        <v>0</v>
      </c>
      <c r="I978">
        <f t="shared" si="186"/>
        <v>0</v>
      </c>
      <c r="J978">
        <f t="shared" si="187"/>
        <v>0</v>
      </c>
      <c r="K978" t="str">
        <f t="shared" si="188"/>
        <v>January</v>
      </c>
      <c r="L978" t="str">
        <f t="shared" si="189"/>
        <v>Q1</v>
      </c>
      <c r="M978" s="2">
        <f t="shared" si="190"/>
        <v>1900</v>
      </c>
      <c r="N978" t="str">
        <f ca="1">IF(COUNTIFS(A$2:A978,A978,O$2:O978,O978)&gt;1,"Repeat","New")</f>
        <v>New</v>
      </c>
      <c r="O978" s="2" t="e">
        <f t="shared" ca="1" si="180"/>
        <v>#VALUE!</v>
      </c>
      <c r="P978" s="3" t="e">
        <f t="shared" ca="1" si="181"/>
        <v>#VALUE!</v>
      </c>
      <c r="Q978" s="6" t="str">
        <f t="shared" si="182"/>
        <v>Jan-00</v>
      </c>
      <c r="R978" s="6" t="str">
        <f t="shared" si="183"/>
        <v>Q1</v>
      </c>
      <c r="S978" s="6">
        <f t="shared" si="184"/>
        <v>1900</v>
      </c>
      <c r="T978" s="6" t="str">
        <f t="shared" si="185"/>
        <v>Retail</v>
      </c>
    </row>
    <row r="979" spans="8:20" x14ac:dyDescent="0.3">
      <c r="H979">
        <f t="shared" si="191"/>
        <v>0</v>
      </c>
      <c r="I979">
        <f t="shared" si="186"/>
        <v>0</v>
      </c>
      <c r="J979">
        <f t="shared" si="187"/>
        <v>0</v>
      </c>
      <c r="K979" t="str">
        <f t="shared" si="188"/>
        <v>January</v>
      </c>
      <c r="L979" t="str">
        <f t="shared" si="189"/>
        <v>Q1</v>
      </c>
      <c r="M979" s="2">
        <f t="shared" si="190"/>
        <v>1900</v>
      </c>
      <c r="N979" t="str">
        <f ca="1">IF(COUNTIFS(A$2:A979,A979,O$2:O979,O979)&gt;1,"Repeat","New")</f>
        <v>New</v>
      </c>
      <c r="O979" s="2" t="e">
        <f t="shared" ca="1" si="180"/>
        <v>#VALUE!</v>
      </c>
      <c r="P979" s="3" t="e">
        <f t="shared" ca="1" si="181"/>
        <v>#VALUE!</v>
      </c>
      <c r="Q979" s="6" t="str">
        <f t="shared" si="182"/>
        <v>Jan-00</v>
      </c>
      <c r="R979" s="6" t="str">
        <f t="shared" si="183"/>
        <v>Q1</v>
      </c>
      <c r="S979" s="6">
        <f t="shared" si="184"/>
        <v>1900</v>
      </c>
      <c r="T979" s="6" t="str">
        <f t="shared" si="185"/>
        <v>Retail</v>
      </c>
    </row>
    <row r="980" spans="8:20" x14ac:dyDescent="0.3">
      <c r="H980">
        <f t="shared" si="191"/>
        <v>0</v>
      </c>
      <c r="I980">
        <f t="shared" si="186"/>
        <v>0</v>
      </c>
      <c r="J980">
        <f t="shared" si="187"/>
        <v>0</v>
      </c>
      <c r="K980" t="str">
        <f t="shared" si="188"/>
        <v>January</v>
      </c>
      <c r="L980" t="str">
        <f t="shared" si="189"/>
        <v>Q1</v>
      </c>
      <c r="M980" s="2">
        <f t="shared" si="190"/>
        <v>1900</v>
      </c>
      <c r="N980" t="str">
        <f ca="1">IF(COUNTIFS(A$2:A980,A980,O$2:O980,O980)&gt;1,"Repeat","New")</f>
        <v>New</v>
      </c>
      <c r="O980" s="2" t="e">
        <f t="shared" ca="1" si="180"/>
        <v>#VALUE!</v>
      </c>
      <c r="P980" s="3" t="e">
        <f t="shared" ca="1" si="181"/>
        <v>#VALUE!</v>
      </c>
      <c r="Q980" s="6" t="str">
        <f t="shared" si="182"/>
        <v>Jan-00</v>
      </c>
      <c r="R980" s="6" t="str">
        <f t="shared" si="183"/>
        <v>Q1</v>
      </c>
      <c r="S980" s="6">
        <f t="shared" si="184"/>
        <v>1900</v>
      </c>
      <c r="T980" s="6" t="str">
        <f t="shared" si="185"/>
        <v>Retail</v>
      </c>
    </row>
    <row r="981" spans="8:20" x14ac:dyDescent="0.3">
      <c r="H981">
        <f t="shared" si="191"/>
        <v>0</v>
      </c>
      <c r="I981">
        <f t="shared" si="186"/>
        <v>0</v>
      </c>
      <c r="J981">
        <f t="shared" si="187"/>
        <v>0</v>
      </c>
      <c r="K981" t="str">
        <f t="shared" si="188"/>
        <v>January</v>
      </c>
      <c r="L981" t="str">
        <f t="shared" si="189"/>
        <v>Q1</v>
      </c>
      <c r="M981" s="2">
        <f t="shared" si="190"/>
        <v>1900</v>
      </c>
      <c r="N981" t="str">
        <f ca="1">IF(COUNTIFS(A$2:A981,A981,O$2:O981,O981)&gt;1,"Repeat","New")</f>
        <v>New</v>
      </c>
      <c r="O981" s="2" t="e">
        <f t="shared" ca="1" si="180"/>
        <v>#VALUE!</v>
      </c>
      <c r="P981" s="3" t="e">
        <f t="shared" ca="1" si="181"/>
        <v>#VALUE!</v>
      </c>
      <c r="Q981" s="6" t="str">
        <f t="shared" si="182"/>
        <v>Jan-00</v>
      </c>
      <c r="R981" s="6" t="str">
        <f t="shared" si="183"/>
        <v>Q1</v>
      </c>
      <c r="S981" s="6">
        <f t="shared" si="184"/>
        <v>1900</v>
      </c>
      <c r="T981" s="6" t="str">
        <f t="shared" si="185"/>
        <v>Retail</v>
      </c>
    </row>
    <row r="982" spans="8:20" x14ac:dyDescent="0.3">
      <c r="H982">
        <f t="shared" si="191"/>
        <v>0</v>
      </c>
      <c r="I982">
        <f t="shared" si="186"/>
        <v>0</v>
      </c>
      <c r="J982">
        <f t="shared" si="187"/>
        <v>0</v>
      </c>
      <c r="K982" t="str">
        <f t="shared" si="188"/>
        <v>January</v>
      </c>
      <c r="L982" t="str">
        <f t="shared" si="189"/>
        <v>Q1</v>
      </c>
      <c r="M982" s="2">
        <f t="shared" si="190"/>
        <v>1900</v>
      </c>
      <c r="N982" t="str">
        <f ca="1">IF(COUNTIFS(A$2:A982,A982,O$2:O982,O982)&gt;1,"Repeat","New")</f>
        <v>New</v>
      </c>
      <c r="O982" s="2" t="e">
        <f t="shared" ca="1" si="180"/>
        <v>#VALUE!</v>
      </c>
      <c r="P982" s="3" t="e">
        <f t="shared" ca="1" si="181"/>
        <v>#VALUE!</v>
      </c>
      <c r="Q982" s="6" t="str">
        <f t="shared" si="182"/>
        <v>Jan-00</v>
      </c>
      <c r="R982" s="6" t="str">
        <f t="shared" si="183"/>
        <v>Q1</v>
      </c>
      <c r="S982" s="6">
        <f t="shared" si="184"/>
        <v>1900</v>
      </c>
      <c r="T982" s="6" t="str">
        <f t="shared" si="185"/>
        <v>Retail</v>
      </c>
    </row>
    <row r="983" spans="8:20" x14ac:dyDescent="0.3">
      <c r="H983">
        <f t="shared" si="191"/>
        <v>0</v>
      </c>
      <c r="I983">
        <f t="shared" si="186"/>
        <v>0</v>
      </c>
      <c r="J983">
        <f t="shared" si="187"/>
        <v>0</v>
      </c>
      <c r="K983" t="str">
        <f t="shared" si="188"/>
        <v>January</v>
      </c>
      <c r="L983" t="str">
        <f t="shared" si="189"/>
        <v>Q1</v>
      </c>
      <c r="M983" s="2">
        <f t="shared" si="190"/>
        <v>1900</v>
      </c>
      <c r="N983" t="str">
        <f ca="1">IF(COUNTIFS(A$2:A983,A983,O$2:O983,O983)&gt;1,"Repeat","New")</f>
        <v>New</v>
      </c>
      <c r="O983" s="2" t="e">
        <f t="shared" ca="1" si="180"/>
        <v>#VALUE!</v>
      </c>
      <c r="P983" s="3" t="e">
        <f t="shared" ca="1" si="181"/>
        <v>#VALUE!</v>
      </c>
      <c r="Q983" s="6" t="str">
        <f t="shared" si="182"/>
        <v>Jan-00</v>
      </c>
      <c r="R983" s="6" t="str">
        <f t="shared" si="183"/>
        <v>Q1</v>
      </c>
      <c r="S983" s="6">
        <f t="shared" si="184"/>
        <v>1900</v>
      </c>
      <c r="T983" s="6" t="str">
        <f t="shared" si="185"/>
        <v>Retail</v>
      </c>
    </row>
    <row r="984" spans="8:20" x14ac:dyDescent="0.3">
      <c r="H984">
        <f t="shared" si="191"/>
        <v>0</v>
      </c>
      <c r="I984">
        <f t="shared" si="186"/>
        <v>0</v>
      </c>
      <c r="J984">
        <f t="shared" si="187"/>
        <v>0</v>
      </c>
      <c r="K984" t="str">
        <f t="shared" si="188"/>
        <v>January</v>
      </c>
      <c r="L984" t="str">
        <f t="shared" si="189"/>
        <v>Q1</v>
      </c>
      <c r="M984" s="2">
        <f t="shared" si="190"/>
        <v>1900</v>
      </c>
      <c r="N984" t="str">
        <f ca="1">IF(COUNTIFS(A$2:A984,A984,O$2:O984,O984)&gt;1,"Repeat","New")</f>
        <v>New</v>
      </c>
      <c r="O984" s="2" t="e">
        <f t="shared" ca="1" si="180"/>
        <v>#VALUE!</v>
      </c>
      <c r="P984" s="3" t="e">
        <f t="shared" ca="1" si="181"/>
        <v>#VALUE!</v>
      </c>
      <c r="Q984" s="6" t="str">
        <f t="shared" si="182"/>
        <v>Jan-00</v>
      </c>
      <c r="R984" s="6" t="str">
        <f t="shared" si="183"/>
        <v>Q1</v>
      </c>
      <c r="S984" s="6">
        <f t="shared" si="184"/>
        <v>1900</v>
      </c>
      <c r="T984" s="6" t="str">
        <f t="shared" si="185"/>
        <v>Retail</v>
      </c>
    </row>
    <row r="985" spans="8:20" x14ac:dyDescent="0.3">
      <c r="H985">
        <f t="shared" si="191"/>
        <v>0</v>
      </c>
      <c r="I985">
        <f t="shared" si="186"/>
        <v>0</v>
      </c>
      <c r="J985">
        <f t="shared" si="187"/>
        <v>0</v>
      </c>
      <c r="K985" t="str">
        <f t="shared" si="188"/>
        <v>January</v>
      </c>
      <c r="L985" t="str">
        <f t="shared" si="189"/>
        <v>Q1</v>
      </c>
      <c r="M985" s="2">
        <f t="shared" si="190"/>
        <v>1900</v>
      </c>
      <c r="N985" t="str">
        <f ca="1">IF(COUNTIFS(A$2:A985,A985,O$2:O985,O985)&gt;1,"Repeat","New")</f>
        <v>New</v>
      </c>
      <c r="O985" s="2" t="e">
        <f t="shared" ca="1" si="180"/>
        <v>#VALUE!</v>
      </c>
      <c r="P985" s="3" t="e">
        <f t="shared" ca="1" si="181"/>
        <v>#VALUE!</v>
      </c>
      <c r="Q985" s="6" t="str">
        <f t="shared" si="182"/>
        <v>Jan-00</v>
      </c>
      <c r="R985" s="6" t="str">
        <f t="shared" si="183"/>
        <v>Q1</v>
      </c>
      <c r="S985" s="6">
        <f t="shared" si="184"/>
        <v>1900</v>
      </c>
      <c r="T985" s="6" t="str">
        <f t="shared" si="185"/>
        <v>Retail</v>
      </c>
    </row>
    <row r="986" spans="8:20" x14ac:dyDescent="0.3">
      <c r="H986">
        <f t="shared" si="191"/>
        <v>0</v>
      </c>
      <c r="I986">
        <f t="shared" si="186"/>
        <v>0</v>
      </c>
      <c r="J986">
        <f t="shared" si="187"/>
        <v>0</v>
      </c>
      <c r="K986" t="str">
        <f t="shared" si="188"/>
        <v>January</v>
      </c>
      <c r="L986" t="str">
        <f t="shared" si="189"/>
        <v>Q1</v>
      </c>
      <c r="M986" s="2">
        <f t="shared" si="190"/>
        <v>1900</v>
      </c>
      <c r="N986" t="str">
        <f ca="1">IF(COUNTIFS(A$2:A986,A986,O$2:O986,O986)&gt;1,"Repeat","New")</f>
        <v>New</v>
      </c>
      <c r="O986" s="2" t="e">
        <f t="shared" ca="1" si="180"/>
        <v>#VALUE!</v>
      </c>
      <c r="P986" s="3" t="e">
        <f t="shared" ca="1" si="181"/>
        <v>#VALUE!</v>
      </c>
      <c r="Q986" s="6" t="str">
        <f t="shared" si="182"/>
        <v>Jan-00</v>
      </c>
      <c r="R986" s="6" t="str">
        <f t="shared" si="183"/>
        <v>Q1</v>
      </c>
      <c r="S986" s="6">
        <f t="shared" si="184"/>
        <v>1900</v>
      </c>
      <c r="T986" s="6" t="str">
        <f t="shared" si="185"/>
        <v>Retail</v>
      </c>
    </row>
    <row r="987" spans="8:20" x14ac:dyDescent="0.3">
      <c r="H987">
        <f t="shared" si="191"/>
        <v>0</v>
      </c>
      <c r="I987">
        <f t="shared" si="186"/>
        <v>0</v>
      </c>
      <c r="J987">
        <f t="shared" si="187"/>
        <v>0</v>
      </c>
      <c r="K987" t="str">
        <f t="shared" si="188"/>
        <v>January</v>
      </c>
      <c r="L987" t="str">
        <f t="shared" si="189"/>
        <v>Q1</v>
      </c>
      <c r="M987" s="2">
        <f t="shared" si="190"/>
        <v>1900</v>
      </c>
      <c r="N987" t="str">
        <f ca="1">IF(COUNTIFS(A$2:A987,A987,O$2:O987,O987)&gt;1,"Repeat","New")</f>
        <v>New</v>
      </c>
      <c r="O987" s="2" t="e">
        <f t="shared" ca="1" si="180"/>
        <v>#VALUE!</v>
      </c>
      <c r="P987" s="3" t="e">
        <f t="shared" ca="1" si="181"/>
        <v>#VALUE!</v>
      </c>
      <c r="Q987" s="6" t="str">
        <f t="shared" si="182"/>
        <v>Jan-00</v>
      </c>
      <c r="R987" s="6" t="str">
        <f t="shared" si="183"/>
        <v>Q1</v>
      </c>
      <c r="S987" s="6">
        <f t="shared" si="184"/>
        <v>1900</v>
      </c>
      <c r="T987" s="6" t="str">
        <f t="shared" si="185"/>
        <v>Retail</v>
      </c>
    </row>
    <row r="988" spans="8:20" x14ac:dyDescent="0.3">
      <c r="H988">
        <f t="shared" si="191"/>
        <v>0</v>
      </c>
      <c r="I988">
        <f t="shared" si="186"/>
        <v>0</v>
      </c>
      <c r="J988">
        <f t="shared" si="187"/>
        <v>0</v>
      </c>
      <c r="K988" t="str">
        <f t="shared" si="188"/>
        <v>January</v>
      </c>
      <c r="L988" t="str">
        <f t="shared" si="189"/>
        <v>Q1</v>
      </c>
      <c r="M988" s="2">
        <f t="shared" si="190"/>
        <v>1900</v>
      </c>
      <c r="N988" t="str">
        <f ca="1">IF(COUNTIFS(A$2:A988,A988,O$2:O988,O988)&gt;1,"Repeat","New")</f>
        <v>New</v>
      </c>
      <c r="O988" s="2" t="e">
        <f t="shared" ca="1" si="180"/>
        <v>#VALUE!</v>
      </c>
      <c r="P988" s="3" t="e">
        <f t="shared" ca="1" si="181"/>
        <v>#VALUE!</v>
      </c>
      <c r="Q988" s="6" t="str">
        <f t="shared" si="182"/>
        <v>Jan-00</v>
      </c>
      <c r="R988" s="6" t="str">
        <f t="shared" si="183"/>
        <v>Q1</v>
      </c>
      <c r="S988" s="6">
        <f t="shared" si="184"/>
        <v>1900</v>
      </c>
      <c r="T988" s="6" t="str">
        <f t="shared" si="185"/>
        <v>Retail</v>
      </c>
    </row>
    <row r="989" spans="8:20" x14ac:dyDescent="0.3">
      <c r="H989">
        <f t="shared" si="191"/>
        <v>0</v>
      </c>
      <c r="I989">
        <f t="shared" si="186"/>
        <v>0</v>
      </c>
      <c r="J989">
        <f t="shared" si="187"/>
        <v>0</v>
      </c>
      <c r="K989" t="str">
        <f t="shared" si="188"/>
        <v>January</v>
      </c>
      <c r="L989" t="str">
        <f t="shared" si="189"/>
        <v>Q1</v>
      </c>
      <c r="M989" s="2">
        <f t="shared" si="190"/>
        <v>1900</v>
      </c>
      <c r="N989" t="str">
        <f ca="1">IF(COUNTIFS(A$2:A989,A989,O$2:O989,O989)&gt;1,"Repeat","New")</f>
        <v>New</v>
      </c>
      <c r="O989" s="2" t="e">
        <f t="shared" ca="1" si="180"/>
        <v>#VALUE!</v>
      </c>
      <c r="P989" s="3" t="e">
        <f t="shared" ca="1" si="181"/>
        <v>#VALUE!</v>
      </c>
      <c r="Q989" s="6" t="str">
        <f t="shared" si="182"/>
        <v>Jan-00</v>
      </c>
      <c r="R989" s="6" t="str">
        <f t="shared" si="183"/>
        <v>Q1</v>
      </c>
      <c r="S989" s="6">
        <f t="shared" si="184"/>
        <v>1900</v>
      </c>
      <c r="T989" s="6" t="str">
        <f t="shared" si="185"/>
        <v>Retail</v>
      </c>
    </row>
    <row r="990" spans="8:20" x14ac:dyDescent="0.3">
      <c r="H990">
        <f t="shared" si="191"/>
        <v>0</v>
      </c>
      <c r="I990">
        <f t="shared" si="186"/>
        <v>0</v>
      </c>
      <c r="J990">
        <f t="shared" si="187"/>
        <v>0</v>
      </c>
      <c r="K990" t="str">
        <f t="shared" si="188"/>
        <v>January</v>
      </c>
      <c r="L990" t="str">
        <f t="shared" si="189"/>
        <v>Q1</v>
      </c>
      <c r="M990" s="2">
        <f t="shared" si="190"/>
        <v>1900</v>
      </c>
      <c r="N990" t="str">
        <f ca="1">IF(COUNTIFS(A$2:A990,A990,O$2:O990,O990)&gt;1,"Repeat","New")</f>
        <v>New</v>
      </c>
      <c r="O990" s="2" t="e">
        <f t="shared" ca="1" si="180"/>
        <v>#VALUE!</v>
      </c>
      <c r="P990" s="3" t="e">
        <f t="shared" ca="1" si="181"/>
        <v>#VALUE!</v>
      </c>
      <c r="Q990" s="6" t="str">
        <f t="shared" si="182"/>
        <v>Jan-00</v>
      </c>
      <c r="R990" s="6" t="str">
        <f t="shared" si="183"/>
        <v>Q1</v>
      </c>
      <c r="S990" s="6">
        <f t="shared" si="184"/>
        <v>1900</v>
      </c>
      <c r="T990" s="6" t="str">
        <f t="shared" si="185"/>
        <v>Retail</v>
      </c>
    </row>
    <row r="991" spans="8:20" x14ac:dyDescent="0.3">
      <c r="H991">
        <f t="shared" si="191"/>
        <v>0</v>
      </c>
      <c r="I991">
        <f t="shared" si="186"/>
        <v>0</v>
      </c>
      <c r="J991">
        <f t="shared" si="187"/>
        <v>0</v>
      </c>
      <c r="K991" t="str">
        <f t="shared" si="188"/>
        <v>January</v>
      </c>
      <c r="L991" t="str">
        <f t="shared" si="189"/>
        <v>Q1</v>
      </c>
      <c r="M991" s="2">
        <f t="shared" si="190"/>
        <v>1900</v>
      </c>
      <c r="N991" t="str">
        <f ca="1">IF(COUNTIFS(A$2:A991,A991,O$2:O991,O991)&gt;1,"Repeat","New")</f>
        <v>New</v>
      </c>
      <c r="O991" s="2" t="e">
        <f t="shared" ca="1" si="180"/>
        <v>#VALUE!</v>
      </c>
      <c r="P991" s="3" t="e">
        <f t="shared" ca="1" si="181"/>
        <v>#VALUE!</v>
      </c>
      <c r="Q991" s="6" t="str">
        <f t="shared" si="182"/>
        <v>Jan-00</v>
      </c>
      <c r="R991" s="6" t="str">
        <f t="shared" si="183"/>
        <v>Q1</v>
      </c>
      <c r="S991" s="6">
        <f t="shared" si="184"/>
        <v>1900</v>
      </c>
      <c r="T991" s="6" t="str">
        <f t="shared" si="185"/>
        <v>Retail</v>
      </c>
    </row>
    <row r="992" spans="8:20" x14ac:dyDescent="0.3">
      <c r="H992">
        <f t="shared" si="191"/>
        <v>0</v>
      </c>
      <c r="I992">
        <f t="shared" si="186"/>
        <v>0</v>
      </c>
      <c r="J992">
        <f t="shared" si="187"/>
        <v>0</v>
      </c>
      <c r="K992" t="str">
        <f t="shared" si="188"/>
        <v>January</v>
      </c>
      <c r="L992" t="str">
        <f t="shared" si="189"/>
        <v>Q1</v>
      </c>
      <c r="M992" s="2">
        <f t="shared" si="190"/>
        <v>1900</v>
      </c>
      <c r="N992" t="str">
        <f ca="1">IF(COUNTIFS(A$2:A992,A992,O$2:O992,O992)&gt;1,"Repeat","New")</f>
        <v>New</v>
      </c>
      <c r="O992" s="2" t="e">
        <f t="shared" ca="1" si="180"/>
        <v>#VALUE!</v>
      </c>
      <c r="P992" s="3" t="e">
        <f t="shared" ca="1" si="181"/>
        <v>#VALUE!</v>
      </c>
      <c r="Q992" s="6" t="str">
        <f t="shared" si="182"/>
        <v>Jan-00</v>
      </c>
      <c r="R992" s="6" t="str">
        <f t="shared" si="183"/>
        <v>Q1</v>
      </c>
      <c r="S992" s="6">
        <f t="shared" si="184"/>
        <v>1900</v>
      </c>
      <c r="T992" s="6" t="str">
        <f t="shared" si="185"/>
        <v>Retail</v>
      </c>
    </row>
    <row r="993" spans="1:20" x14ac:dyDescent="0.3">
      <c r="H993">
        <f t="shared" si="191"/>
        <v>0</v>
      </c>
      <c r="I993">
        <f t="shared" si="186"/>
        <v>0</v>
      </c>
      <c r="J993">
        <f t="shared" si="187"/>
        <v>0</v>
      </c>
      <c r="K993" t="str">
        <f t="shared" si="188"/>
        <v>January</v>
      </c>
      <c r="L993" t="str">
        <f t="shared" si="189"/>
        <v>Q1</v>
      </c>
      <c r="M993" s="2">
        <f t="shared" si="190"/>
        <v>1900</v>
      </c>
      <c r="N993" t="str">
        <f ca="1">IF(COUNTIFS(A$2:A993,A993,O$2:O993,O993)&gt;1,"Repeat","New")</f>
        <v>New</v>
      </c>
      <c r="O993" s="2" t="e">
        <f t="shared" ca="1" si="180"/>
        <v>#VALUE!</v>
      </c>
      <c r="P993" s="3" t="e">
        <f t="shared" ca="1" si="181"/>
        <v>#VALUE!</v>
      </c>
      <c r="Q993" s="6" t="str">
        <f t="shared" si="182"/>
        <v>Jan-00</v>
      </c>
      <c r="R993" s="6" t="str">
        <f t="shared" si="183"/>
        <v>Q1</v>
      </c>
      <c r="S993" s="6">
        <f t="shared" si="184"/>
        <v>1900</v>
      </c>
      <c r="T993" s="6" t="str">
        <f t="shared" si="185"/>
        <v>Retail</v>
      </c>
    </row>
    <row r="994" spans="1:20" x14ac:dyDescent="0.3">
      <c r="H994">
        <f t="shared" si="191"/>
        <v>0</v>
      </c>
      <c r="I994">
        <f t="shared" si="186"/>
        <v>0</v>
      </c>
      <c r="J994">
        <f t="shared" si="187"/>
        <v>0</v>
      </c>
      <c r="K994" t="str">
        <f t="shared" si="188"/>
        <v>January</v>
      </c>
      <c r="L994" t="str">
        <f t="shared" si="189"/>
        <v>Q1</v>
      </c>
      <c r="M994" s="2">
        <f t="shared" si="190"/>
        <v>1900</v>
      </c>
      <c r="N994" t="str">
        <f ca="1">IF(COUNTIFS(A$2:A994,A994,O$2:O994,O994)&gt;1,"Repeat","New")</f>
        <v>New</v>
      </c>
      <c r="O994" s="2" t="e">
        <f t="shared" ca="1" si="180"/>
        <v>#VALUE!</v>
      </c>
      <c r="P994" s="3" t="e">
        <f t="shared" ca="1" si="181"/>
        <v>#VALUE!</v>
      </c>
      <c r="Q994" s="6" t="str">
        <f t="shared" si="182"/>
        <v>Jan-00</v>
      </c>
      <c r="R994" s="6" t="str">
        <f t="shared" si="183"/>
        <v>Q1</v>
      </c>
      <c r="S994" s="6">
        <f t="shared" si="184"/>
        <v>1900</v>
      </c>
      <c r="T994" s="6" t="str">
        <f t="shared" si="185"/>
        <v>Retail</v>
      </c>
    </row>
    <row r="995" spans="1:20" x14ac:dyDescent="0.3">
      <c r="H995">
        <f t="shared" si="191"/>
        <v>0</v>
      </c>
      <c r="I995">
        <f t="shared" si="186"/>
        <v>0</v>
      </c>
      <c r="J995">
        <f t="shared" si="187"/>
        <v>0</v>
      </c>
      <c r="K995" t="str">
        <f t="shared" si="188"/>
        <v>January</v>
      </c>
      <c r="L995" t="str">
        <f t="shared" si="189"/>
        <v>Q1</v>
      </c>
      <c r="M995" s="2">
        <f t="shared" si="190"/>
        <v>1900</v>
      </c>
      <c r="N995" t="str">
        <f ca="1">IF(COUNTIFS(A$2:A995,A995,O$2:O995,O995)&gt;1,"Repeat","New")</f>
        <v>New</v>
      </c>
      <c r="O995" s="2" t="e">
        <f t="shared" ca="1" si="180"/>
        <v>#VALUE!</v>
      </c>
      <c r="P995" s="3" t="e">
        <f t="shared" ca="1" si="181"/>
        <v>#VALUE!</v>
      </c>
      <c r="Q995" s="6" t="str">
        <f t="shared" si="182"/>
        <v>Jan-00</v>
      </c>
      <c r="R995" s="6" t="str">
        <f t="shared" si="183"/>
        <v>Q1</v>
      </c>
      <c r="S995" s="6">
        <f t="shared" si="184"/>
        <v>1900</v>
      </c>
      <c r="T995" s="6" t="str">
        <f t="shared" si="185"/>
        <v>Retail</v>
      </c>
    </row>
    <row r="996" spans="1:20" x14ac:dyDescent="0.3">
      <c r="H996">
        <f t="shared" si="191"/>
        <v>0</v>
      </c>
      <c r="I996">
        <f t="shared" si="186"/>
        <v>0</v>
      </c>
      <c r="J996">
        <f t="shared" si="187"/>
        <v>0</v>
      </c>
      <c r="K996" t="str">
        <f t="shared" si="188"/>
        <v>January</v>
      </c>
      <c r="L996" t="str">
        <f t="shared" si="189"/>
        <v>Q1</v>
      </c>
      <c r="M996" s="2">
        <f t="shared" si="190"/>
        <v>1900</v>
      </c>
      <c r="N996" t="str">
        <f ca="1">IF(COUNTIFS(A$2:A996,A996,O$2:O996,O996)&gt;1,"Repeat","New")</f>
        <v>New</v>
      </c>
      <c r="O996" s="2" t="e">
        <f t="shared" ca="1" si="180"/>
        <v>#VALUE!</v>
      </c>
      <c r="P996" s="3" t="e">
        <f t="shared" ca="1" si="181"/>
        <v>#VALUE!</v>
      </c>
      <c r="Q996" s="6" t="str">
        <f t="shared" si="182"/>
        <v>Jan-00</v>
      </c>
      <c r="R996" s="6" t="str">
        <f t="shared" si="183"/>
        <v>Q1</v>
      </c>
      <c r="S996" s="6">
        <f t="shared" si="184"/>
        <v>1900</v>
      </c>
      <c r="T996" s="6" t="str">
        <f t="shared" si="185"/>
        <v>Retail</v>
      </c>
    </row>
    <row r="997" spans="1:20" x14ac:dyDescent="0.3">
      <c r="H997">
        <f t="shared" si="191"/>
        <v>0</v>
      </c>
      <c r="I997">
        <f t="shared" si="186"/>
        <v>0</v>
      </c>
      <c r="J997">
        <f t="shared" si="187"/>
        <v>0</v>
      </c>
      <c r="K997" t="str">
        <f t="shared" si="188"/>
        <v>January</v>
      </c>
      <c r="L997" t="str">
        <f t="shared" si="189"/>
        <v>Q1</v>
      </c>
      <c r="M997" s="2">
        <f t="shared" si="190"/>
        <v>1900</v>
      </c>
      <c r="N997" t="str">
        <f ca="1">IF(COUNTIFS(A$2:A997,A997,O$2:O997,O997)&gt;1,"Repeat","New")</f>
        <v>New</v>
      </c>
      <c r="O997" s="2" t="e">
        <f t="shared" ca="1" si="180"/>
        <v>#VALUE!</v>
      </c>
      <c r="P997" s="3" t="e">
        <f t="shared" ca="1" si="181"/>
        <v>#VALUE!</v>
      </c>
      <c r="Q997" s="6" t="str">
        <f t="shared" si="182"/>
        <v>Jan-00</v>
      </c>
      <c r="R997" s="6" t="str">
        <f t="shared" si="183"/>
        <v>Q1</v>
      </c>
      <c r="S997" s="6">
        <f t="shared" si="184"/>
        <v>1900</v>
      </c>
      <c r="T997" s="6" t="str">
        <f t="shared" si="185"/>
        <v>Retail</v>
      </c>
    </row>
    <row r="998" spans="1:20" x14ac:dyDescent="0.3">
      <c r="H998">
        <f t="shared" si="191"/>
        <v>0</v>
      </c>
      <c r="I998">
        <f t="shared" si="186"/>
        <v>0</v>
      </c>
      <c r="J998">
        <f t="shared" si="187"/>
        <v>0</v>
      </c>
      <c r="K998" t="str">
        <f t="shared" si="188"/>
        <v>January</v>
      </c>
      <c r="L998" t="str">
        <f t="shared" si="189"/>
        <v>Q1</v>
      </c>
      <c r="M998" s="2">
        <f t="shared" si="190"/>
        <v>1900</v>
      </c>
      <c r="N998" t="str">
        <f ca="1">IF(COUNTIFS(A$2:A998,A998,O$2:O998,O998)&gt;1,"Repeat","New")</f>
        <v>New</v>
      </c>
      <c r="O998" s="2" t="e">
        <f t="shared" ca="1" si="180"/>
        <v>#VALUE!</v>
      </c>
      <c r="P998" s="3" t="e">
        <f t="shared" ca="1" si="181"/>
        <v>#VALUE!</v>
      </c>
      <c r="Q998" s="6" t="str">
        <f t="shared" si="182"/>
        <v>Jan-00</v>
      </c>
      <c r="R998" s="6" t="str">
        <f t="shared" si="183"/>
        <v>Q1</v>
      </c>
      <c r="S998" s="6">
        <f t="shared" si="184"/>
        <v>1900</v>
      </c>
      <c r="T998" s="6" t="str">
        <f t="shared" si="185"/>
        <v>Retail</v>
      </c>
    </row>
    <row r="999" spans="1:20" x14ac:dyDescent="0.3">
      <c r="H999">
        <f t="shared" si="191"/>
        <v>0</v>
      </c>
      <c r="I999">
        <f t="shared" si="186"/>
        <v>0</v>
      </c>
      <c r="J999">
        <f t="shared" si="187"/>
        <v>0</v>
      </c>
      <c r="K999" t="str">
        <f t="shared" si="188"/>
        <v>January</v>
      </c>
      <c r="L999" t="str">
        <f t="shared" si="189"/>
        <v>Q1</v>
      </c>
      <c r="M999" s="2">
        <f t="shared" si="190"/>
        <v>1900</v>
      </c>
      <c r="N999" t="str">
        <f ca="1">IF(COUNTIFS(A$2:A999,A999,O$2:O999,O999)&gt;1,"Repeat","New")</f>
        <v>New</v>
      </c>
      <c r="O999" s="2" t="e">
        <f t="shared" ca="1" si="180"/>
        <v>#VALUE!</v>
      </c>
      <c r="P999" s="3" t="e">
        <f t="shared" ca="1" si="181"/>
        <v>#VALUE!</v>
      </c>
      <c r="Q999" s="6" t="str">
        <f t="shared" si="182"/>
        <v>Jan-00</v>
      </c>
      <c r="R999" s="6" t="str">
        <f t="shared" si="183"/>
        <v>Q1</v>
      </c>
      <c r="S999" s="6">
        <f t="shared" si="184"/>
        <v>1900</v>
      </c>
      <c r="T999" s="6" t="str">
        <f t="shared" si="185"/>
        <v>Retail</v>
      </c>
    </row>
    <row r="1000" spans="1:20" x14ac:dyDescent="0.3">
      <c r="H1000">
        <f t="shared" si="191"/>
        <v>0</v>
      </c>
      <c r="I1000">
        <f t="shared" si="186"/>
        <v>0</v>
      </c>
      <c r="J1000">
        <f t="shared" si="187"/>
        <v>0</v>
      </c>
      <c r="K1000" t="str">
        <f t="shared" si="188"/>
        <v>January</v>
      </c>
      <c r="L1000" t="str">
        <f t="shared" si="189"/>
        <v>Q1</v>
      </c>
      <c r="M1000" s="2">
        <f t="shared" si="190"/>
        <v>1900</v>
      </c>
      <c r="N1000" t="str">
        <f ca="1">IF(COUNTIFS(A$2:A1000,A1000,O$2:O1000,O1000)&gt;1,"Repeat","New")</f>
        <v>New</v>
      </c>
      <c r="O1000" s="2" t="e">
        <f t="shared" ca="1" si="180"/>
        <v>#VALUE!</v>
      </c>
      <c r="P1000" s="3" t="e">
        <f t="shared" ca="1" si="181"/>
        <v>#VALUE!</v>
      </c>
      <c r="Q1000" s="6" t="str">
        <f t="shared" si="182"/>
        <v>Jan-00</v>
      </c>
      <c r="R1000" s="6" t="str">
        <f t="shared" si="183"/>
        <v>Q1</v>
      </c>
      <c r="S1000" s="6">
        <f t="shared" si="184"/>
        <v>1900</v>
      </c>
      <c r="T1000" s="6" t="str">
        <f t="shared" si="185"/>
        <v>Retail</v>
      </c>
    </row>
    <row r="1001" spans="1:20" x14ac:dyDescent="0.3">
      <c r="H1001">
        <f t="shared" si="191"/>
        <v>0</v>
      </c>
      <c r="I1001">
        <f t="shared" si="186"/>
        <v>0</v>
      </c>
      <c r="J1001">
        <f t="shared" si="187"/>
        <v>0</v>
      </c>
      <c r="K1001" t="str">
        <f t="shared" si="188"/>
        <v>January</v>
      </c>
      <c r="L1001" t="str">
        <f t="shared" si="189"/>
        <v>Q1</v>
      </c>
      <c r="M1001" s="2">
        <f t="shared" si="190"/>
        <v>1900</v>
      </c>
      <c r="N1001" t="str">
        <f ca="1">IF(COUNTIFS(A$2:A1001,A1001,O$2:O1001,O1001)&gt;1,"Repeat","New")</f>
        <v>New</v>
      </c>
      <c r="O1001" s="2" t="e">
        <f t="shared" ca="1" si="180"/>
        <v>#VALUE!</v>
      </c>
      <c r="P1001" s="3" t="e">
        <f t="shared" ca="1" si="181"/>
        <v>#VALUE!</v>
      </c>
      <c r="Q1001" s="6" t="str">
        <f t="shared" si="182"/>
        <v>Jan-00</v>
      </c>
      <c r="R1001" s="6" t="str">
        <f t="shared" si="183"/>
        <v>Q1</v>
      </c>
      <c r="S1001" s="6">
        <f t="shared" si="184"/>
        <v>1900</v>
      </c>
      <c r="T1001" s="6" t="str">
        <f t="shared" si="185"/>
        <v>Retail</v>
      </c>
    </row>
    <row r="1002" spans="1:20" x14ac:dyDescent="0.3">
      <c r="A1002" t="s">
        <v>12</v>
      </c>
      <c r="B1002" s="1">
        <v>45039</v>
      </c>
      <c r="C1002" t="s">
        <v>13</v>
      </c>
      <c r="D1002" t="s">
        <v>14</v>
      </c>
      <c r="E1002" t="s">
        <v>15</v>
      </c>
      <c r="F1002" t="s">
        <v>16</v>
      </c>
      <c r="G1002" t="s">
        <v>17</v>
      </c>
      <c r="H1002" t="s">
        <v>18</v>
      </c>
      <c r="I1002" t="s">
        <v>19</v>
      </c>
      <c r="J1002">
        <v>1075</v>
      </c>
      <c r="K1002">
        <v>5</v>
      </c>
      <c r="L1002">
        <v>470.39</v>
      </c>
    </row>
    <row r="1003" spans="1:20" x14ac:dyDescent="0.3">
      <c r="A1003" t="s">
        <v>20</v>
      </c>
      <c r="B1003" s="1">
        <v>44702</v>
      </c>
      <c r="C1003" t="s">
        <v>21</v>
      </c>
      <c r="D1003" t="s">
        <v>22</v>
      </c>
      <c r="E1003" t="s">
        <v>23</v>
      </c>
      <c r="F1003" t="s">
        <v>24</v>
      </c>
      <c r="G1003" t="s">
        <v>25</v>
      </c>
      <c r="H1003" t="s">
        <v>26</v>
      </c>
      <c r="I1003" t="s">
        <v>19</v>
      </c>
      <c r="J1003">
        <v>764</v>
      </c>
      <c r="K1003">
        <v>2</v>
      </c>
      <c r="L1003">
        <v>154.44</v>
      </c>
    </row>
    <row r="1004" spans="1:20" x14ac:dyDescent="0.3">
      <c r="A1004" t="s">
        <v>27</v>
      </c>
      <c r="B1004" s="1">
        <v>44938</v>
      </c>
      <c r="C1004" t="s">
        <v>28</v>
      </c>
      <c r="D1004" t="s">
        <v>29</v>
      </c>
      <c r="E1004" t="s">
        <v>30</v>
      </c>
      <c r="F1004" t="s">
        <v>31</v>
      </c>
      <c r="G1004" t="s">
        <v>32</v>
      </c>
      <c r="H1004" t="s">
        <v>33</v>
      </c>
      <c r="I1004" t="s">
        <v>34</v>
      </c>
      <c r="J1004">
        <v>825</v>
      </c>
      <c r="K1004">
        <v>1</v>
      </c>
      <c r="L1004">
        <v>60.01</v>
      </c>
    </row>
    <row r="1005" spans="1:20" x14ac:dyDescent="0.3">
      <c r="A1005" t="s">
        <v>35</v>
      </c>
      <c r="B1005" s="1">
        <v>44877</v>
      </c>
      <c r="C1005" t="s">
        <v>36</v>
      </c>
      <c r="D1005" t="s">
        <v>14</v>
      </c>
      <c r="E1005" t="s">
        <v>15</v>
      </c>
      <c r="F1005" t="s">
        <v>24</v>
      </c>
      <c r="G1005" t="s">
        <v>37</v>
      </c>
      <c r="H1005" t="s">
        <v>33</v>
      </c>
      <c r="I1005" t="s">
        <v>19</v>
      </c>
      <c r="J1005">
        <v>933</v>
      </c>
      <c r="K1005">
        <v>1</v>
      </c>
      <c r="L1005">
        <v>3.94</v>
      </c>
    </row>
    <row r="1006" spans="1:20" x14ac:dyDescent="0.3">
      <c r="A1006" t="s">
        <v>38</v>
      </c>
      <c r="B1006" s="1">
        <v>45072</v>
      </c>
      <c r="C1006" t="s">
        <v>39</v>
      </c>
      <c r="D1006" t="s">
        <v>22</v>
      </c>
      <c r="E1006" t="s">
        <v>23</v>
      </c>
      <c r="F1006" t="s">
        <v>40</v>
      </c>
      <c r="G1006" t="s">
        <v>17</v>
      </c>
      <c r="H1006" t="s">
        <v>18</v>
      </c>
      <c r="I1006" t="s">
        <v>34</v>
      </c>
      <c r="J1006">
        <v>45</v>
      </c>
      <c r="K1006">
        <v>5</v>
      </c>
      <c r="L1006">
        <v>1.6</v>
      </c>
    </row>
    <row r="1007" spans="1:20" x14ac:dyDescent="0.3">
      <c r="A1007" t="s">
        <v>41</v>
      </c>
      <c r="B1007" s="1">
        <v>45232</v>
      </c>
      <c r="C1007" t="s">
        <v>42</v>
      </c>
      <c r="D1007" t="s">
        <v>43</v>
      </c>
      <c r="E1007" t="s">
        <v>30</v>
      </c>
      <c r="F1007" t="s">
        <v>44</v>
      </c>
      <c r="G1007" t="s">
        <v>45</v>
      </c>
      <c r="H1007" t="s">
        <v>33</v>
      </c>
      <c r="I1007" t="s">
        <v>19</v>
      </c>
      <c r="J1007">
        <v>806</v>
      </c>
      <c r="K1007">
        <v>2</v>
      </c>
      <c r="L1007">
        <v>70.48</v>
      </c>
    </row>
    <row r="1008" spans="1:20" x14ac:dyDescent="0.3">
      <c r="A1008" t="s">
        <v>46</v>
      </c>
      <c r="B1008" s="1">
        <v>45008</v>
      </c>
      <c r="C1008" t="s">
        <v>47</v>
      </c>
      <c r="D1008" t="s">
        <v>48</v>
      </c>
      <c r="E1008" t="s">
        <v>30</v>
      </c>
      <c r="F1008" t="s">
        <v>31</v>
      </c>
      <c r="G1008" t="s">
        <v>45</v>
      </c>
      <c r="H1008" t="s">
        <v>49</v>
      </c>
      <c r="I1008" t="s">
        <v>34</v>
      </c>
      <c r="J1008">
        <v>556</v>
      </c>
      <c r="K1008">
        <v>2</v>
      </c>
      <c r="L1008">
        <v>27.79</v>
      </c>
    </row>
    <row r="1009" spans="1:12" x14ac:dyDescent="0.3">
      <c r="A1009" t="s">
        <v>50</v>
      </c>
      <c r="B1009" s="1">
        <v>44773</v>
      </c>
      <c r="C1009" t="s">
        <v>51</v>
      </c>
      <c r="D1009" t="s">
        <v>52</v>
      </c>
      <c r="E1009" t="s">
        <v>30</v>
      </c>
      <c r="F1009" t="s">
        <v>40</v>
      </c>
      <c r="G1009" t="s">
        <v>37</v>
      </c>
      <c r="H1009" t="s">
        <v>33</v>
      </c>
      <c r="I1009" t="s">
        <v>19</v>
      </c>
      <c r="J1009">
        <v>158</v>
      </c>
      <c r="K1009">
        <v>5</v>
      </c>
      <c r="L1009">
        <v>11.5</v>
      </c>
    </row>
    <row r="1010" spans="1:12" x14ac:dyDescent="0.3">
      <c r="A1010" t="s">
        <v>53</v>
      </c>
      <c r="B1010" s="1">
        <v>45226</v>
      </c>
      <c r="C1010" t="s">
        <v>51</v>
      </c>
      <c r="D1010" t="s">
        <v>48</v>
      </c>
      <c r="E1010" t="s">
        <v>30</v>
      </c>
      <c r="F1010" t="s">
        <v>40</v>
      </c>
      <c r="G1010" t="s">
        <v>45</v>
      </c>
      <c r="H1010" t="s">
        <v>49</v>
      </c>
      <c r="I1010" t="s">
        <v>34</v>
      </c>
      <c r="J1010">
        <v>775</v>
      </c>
      <c r="K1010">
        <v>3</v>
      </c>
      <c r="L1010">
        <v>161.97999999999999</v>
      </c>
    </row>
    <row r="1011" spans="1:12" x14ac:dyDescent="0.3">
      <c r="A1011" t="s">
        <v>54</v>
      </c>
      <c r="B1011" s="1">
        <v>44745</v>
      </c>
      <c r="C1011" t="s">
        <v>55</v>
      </c>
      <c r="D1011" t="s">
        <v>56</v>
      </c>
      <c r="E1011" t="s">
        <v>30</v>
      </c>
      <c r="F1011" t="s">
        <v>16</v>
      </c>
      <c r="G1011" t="s">
        <v>37</v>
      </c>
      <c r="H1011" t="s">
        <v>33</v>
      </c>
      <c r="I1011" t="s">
        <v>34</v>
      </c>
      <c r="J1011">
        <v>1206</v>
      </c>
      <c r="K1011">
        <v>3</v>
      </c>
      <c r="L1011">
        <v>118.04</v>
      </c>
    </row>
    <row r="1012" spans="1:12" x14ac:dyDescent="0.3">
      <c r="A1012" t="s">
        <v>57</v>
      </c>
      <c r="B1012" s="1">
        <v>44770</v>
      </c>
      <c r="C1012" t="s">
        <v>58</v>
      </c>
      <c r="D1012" t="s">
        <v>43</v>
      </c>
      <c r="E1012" t="s">
        <v>30</v>
      </c>
      <c r="F1012" t="s">
        <v>44</v>
      </c>
      <c r="G1012" t="s">
        <v>32</v>
      </c>
      <c r="H1012" t="s">
        <v>18</v>
      </c>
      <c r="I1012" t="s">
        <v>59</v>
      </c>
      <c r="J1012">
        <v>1487</v>
      </c>
      <c r="K1012">
        <v>3</v>
      </c>
      <c r="L1012">
        <v>581.41999999999996</v>
      </c>
    </row>
    <row r="1013" spans="1:12" x14ac:dyDescent="0.3">
      <c r="A1013" t="s">
        <v>60</v>
      </c>
      <c r="B1013" s="1">
        <v>44993</v>
      </c>
      <c r="C1013" t="s">
        <v>61</v>
      </c>
      <c r="D1013" t="s">
        <v>62</v>
      </c>
      <c r="E1013" t="s">
        <v>15</v>
      </c>
      <c r="F1013" t="s">
        <v>24</v>
      </c>
      <c r="G1013" t="s">
        <v>45</v>
      </c>
      <c r="H1013" t="s">
        <v>49</v>
      </c>
      <c r="I1013" t="s">
        <v>34</v>
      </c>
      <c r="J1013">
        <v>217</v>
      </c>
      <c r="K1013">
        <v>3</v>
      </c>
      <c r="L1013">
        <v>36.89</v>
      </c>
    </row>
    <row r="1014" spans="1:12" x14ac:dyDescent="0.3">
      <c r="A1014" t="s">
        <v>63</v>
      </c>
      <c r="B1014" s="1">
        <v>45278</v>
      </c>
      <c r="C1014" t="s">
        <v>64</v>
      </c>
      <c r="D1014" t="s">
        <v>43</v>
      </c>
      <c r="E1014" t="s">
        <v>30</v>
      </c>
      <c r="F1014" t="s">
        <v>31</v>
      </c>
      <c r="G1014" t="s">
        <v>45</v>
      </c>
      <c r="H1014" t="s">
        <v>49</v>
      </c>
      <c r="I1014" t="s">
        <v>59</v>
      </c>
      <c r="J1014">
        <v>163</v>
      </c>
      <c r="K1014">
        <v>1</v>
      </c>
      <c r="L1014">
        <v>20.77</v>
      </c>
    </row>
    <row r="1015" spans="1:12" x14ac:dyDescent="0.3">
      <c r="A1015" t="s">
        <v>65</v>
      </c>
      <c r="B1015" s="1">
        <v>44723</v>
      </c>
      <c r="C1015" t="s">
        <v>66</v>
      </c>
      <c r="D1015" t="s">
        <v>56</v>
      </c>
      <c r="E1015" t="s">
        <v>30</v>
      </c>
      <c r="F1015" t="s">
        <v>24</v>
      </c>
      <c r="G1015" t="s">
        <v>32</v>
      </c>
      <c r="H1015" t="s">
        <v>33</v>
      </c>
      <c r="I1015" t="s">
        <v>19</v>
      </c>
      <c r="J1015">
        <v>26</v>
      </c>
      <c r="K1015">
        <v>4</v>
      </c>
      <c r="L1015">
        <v>9.06</v>
      </c>
    </row>
    <row r="1016" spans="1:12" x14ac:dyDescent="0.3">
      <c r="A1016" t="s">
        <v>67</v>
      </c>
      <c r="B1016" s="1">
        <v>45119</v>
      </c>
      <c r="C1016" t="s">
        <v>64</v>
      </c>
      <c r="D1016" t="s">
        <v>62</v>
      </c>
      <c r="E1016" t="s">
        <v>15</v>
      </c>
      <c r="F1016" t="s">
        <v>44</v>
      </c>
      <c r="G1016" t="s">
        <v>32</v>
      </c>
      <c r="H1016" t="s">
        <v>26</v>
      </c>
      <c r="I1016" t="s">
        <v>34</v>
      </c>
      <c r="J1016">
        <v>896</v>
      </c>
      <c r="K1016">
        <v>3</v>
      </c>
      <c r="L1016">
        <v>87.87</v>
      </c>
    </row>
    <row r="1017" spans="1:12" x14ac:dyDescent="0.3">
      <c r="A1017" t="s">
        <v>68</v>
      </c>
      <c r="B1017" s="1">
        <v>44705</v>
      </c>
      <c r="C1017" t="s">
        <v>69</v>
      </c>
      <c r="D1017" t="s">
        <v>62</v>
      </c>
      <c r="E1017" t="s">
        <v>15</v>
      </c>
      <c r="F1017" t="s">
        <v>24</v>
      </c>
      <c r="G1017" t="s">
        <v>32</v>
      </c>
      <c r="H1017" t="s">
        <v>49</v>
      </c>
      <c r="I1017" t="s">
        <v>59</v>
      </c>
      <c r="J1017">
        <v>721</v>
      </c>
      <c r="K1017">
        <v>1</v>
      </c>
      <c r="L1017">
        <v>45.56</v>
      </c>
    </row>
    <row r="1018" spans="1:12" x14ac:dyDescent="0.3">
      <c r="A1018" t="s">
        <v>70</v>
      </c>
      <c r="B1018" s="1">
        <v>45029</v>
      </c>
      <c r="C1018" t="s">
        <v>71</v>
      </c>
      <c r="D1018" t="s">
        <v>43</v>
      </c>
      <c r="E1018" t="s">
        <v>30</v>
      </c>
      <c r="F1018" t="s">
        <v>31</v>
      </c>
      <c r="G1018" t="s">
        <v>17</v>
      </c>
      <c r="H1018" t="s">
        <v>49</v>
      </c>
      <c r="I1018" t="s">
        <v>19</v>
      </c>
      <c r="J1018">
        <v>1295</v>
      </c>
      <c r="K1018">
        <v>1</v>
      </c>
      <c r="L1018">
        <v>141.65</v>
      </c>
    </row>
    <row r="1019" spans="1:12" x14ac:dyDescent="0.3">
      <c r="A1019" t="s">
        <v>72</v>
      </c>
      <c r="B1019" s="1">
        <v>44572</v>
      </c>
      <c r="C1019" t="s">
        <v>73</v>
      </c>
      <c r="D1019" t="s">
        <v>52</v>
      </c>
      <c r="E1019" t="s">
        <v>30</v>
      </c>
      <c r="F1019" t="s">
        <v>16</v>
      </c>
      <c r="G1019" t="s">
        <v>32</v>
      </c>
      <c r="H1019" t="s">
        <v>26</v>
      </c>
      <c r="I1019" t="s">
        <v>19</v>
      </c>
      <c r="J1019">
        <v>435</v>
      </c>
      <c r="K1019">
        <v>2</v>
      </c>
      <c r="L1019">
        <v>3.39</v>
      </c>
    </row>
    <row r="1020" spans="1:12" x14ac:dyDescent="0.3">
      <c r="A1020" t="s">
        <v>74</v>
      </c>
      <c r="B1020" s="1">
        <v>44786</v>
      </c>
      <c r="C1020" t="s">
        <v>39</v>
      </c>
      <c r="D1020" t="s">
        <v>48</v>
      </c>
      <c r="E1020" t="s">
        <v>30</v>
      </c>
      <c r="F1020" t="s">
        <v>16</v>
      </c>
      <c r="G1020" t="s">
        <v>32</v>
      </c>
      <c r="H1020" t="s">
        <v>49</v>
      </c>
      <c r="I1020" t="s">
        <v>34</v>
      </c>
      <c r="J1020">
        <v>642</v>
      </c>
      <c r="K1020">
        <v>3</v>
      </c>
      <c r="L1020">
        <v>259.25</v>
      </c>
    </row>
    <row r="1021" spans="1:12" x14ac:dyDescent="0.3">
      <c r="A1021" t="s">
        <v>75</v>
      </c>
      <c r="B1021" s="1">
        <v>45045</v>
      </c>
      <c r="C1021" t="s">
        <v>73</v>
      </c>
      <c r="D1021" t="s">
        <v>48</v>
      </c>
      <c r="E1021" t="s">
        <v>30</v>
      </c>
      <c r="F1021" t="s">
        <v>40</v>
      </c>
      <c r="G1021" t="s">
        <v>17</v>
      </c>
      <c r="H1021" t="s">
        <v>33</v>
      </c>
      <c r="I1021" t="s">
        <v>19</v>
      </c>
      <c r="J1021">
        <v>443</v>
      </c>
      <c r="K1021">
        <v>1</v>
      </c>
      <c r="L1021">
        <v>38.5</v>
      </c>
    </row>
    <row r="1022" spans="1:12" x14ac:dyDescent="0.3">
      <c r="A1022" t="s">
        <v>76</v>
      </c>
      <c r="B1022" s="1">
        <v>44607</v>
      </c>
      <c r="C1022" t="s">
        <v>77</v>
      </c>
      <c r="D1022" t="s">
        <v>78</v>
      </c>
      <c r="E1022" t="s">
        <v>15</v>
      </c>
      <c r="F1022" t="s">
        <v>24</v>
      </c>
      <c r="G1022" t="s">
        <v>32</v>
      </c>
      <c r="H1022" t="s">
        <v>26</v>
      </c>
      <c r="I1022" t="s">
        <v>19</v>
      </c>
      <c r="J1022">
        <v>783</v>
      </c>
      <c r="K1022">
        <v>1</v>
      </c>
      <c r="L1022">
        <v>105.08</v>
      </c>
    </row>
    <row r="1023" spans="1:12" x14ac:dyDescent="0.3">
      <c r="A1023" t="s">
        <v>79</v>
      </c>
      <c r="B1023" s="1">
        <v>44783</v>
      </c>
      <c r="C1023" t="s">
        <v>42</v>
      </c>
      <c r="D1023" t="s">
        <v>78</v>
      </c>
      <c r="E1023" t="s">
        <v>15</v>
      </c>
      <c r="F1023" t="s">
        <v>31</v>
      </c>
      <c r="G1023" t="s">
        <v>32</v>
      </c>
      <c r="H1023" t="s">
        <v>49</v>
      </c>
      <c r="I1023" t="s">
        <v>59</v>
      </c>
      <c r="J1023">
        <v>830</v>
      </c>
      <c r="K1023">
        <v>4</v>
      </c>
      <c r="L1023">
        <v>435.93</v>
      </c>
    </row>
    <row r="1024" spans="1:12" x14ac:dyDescent="0.3">
      <c r="A1024" t="s">
        <v>80</v>
      </c>
      <c r="B1024" s="1">
        <v>45226</v>
      </c>
      <c r="C1024" t="s">
        <v>55</v>
      </c>
      <c r="D1024" t="s">
        <v>62</v>
      </c>
      <c r="E1024" t="s">
        <v>15</v>
      </c>
      <c r="F1024" t="s">
        <v>31</v>
      </c>
      <c r="G1024" t="s">
        <v>17</v>
      </c>
      <c r="H1024" t="s">
        <v>18</v>
      </c>
      <c r="I1024" t="s">
        <v>19</v>
      </c>
      <c r="J1024">
        <v>1010</v>
      </c>
      <c r="K1024">
        <v>3</v>
      </c>
      <c r="L1024">
        <v>208.1</v>
      </c>
    </row>
    <row r="1025" spans="1:12" x14ac:dyDescent="0.3">
      <c r="A1025" t="s">
        <v>81</v>
      </c>
      <c r="B1025" s="1">
        <v>44608</v>
      </c>
      <c r="C1025" t="s">
        <v>82</v>
      </c>
      <c r="D1025" t="s">
        <v>14</v>
      </c>
      <c r="E1025" t="s">
        <v>15</v>
      </c>
      <c r="F1025" t="s">
        <v>31</v>
      </c>
      <c r="G1025" t="s">
        <v>17</v>
      </c>
      <c r="H1025" t="s">
        <v>26</v>
      </c>
      <c r="I1025" t="s">
        <v>34</v>
      </c>
      <c r="J1025">
        <v>854</v>
      </c>
      <c r="K1025">
        <v>2</v>
      </c>
      <c r="L1025">
        <v>93.43</v>
      </c>
    </row>
    <row r="1026" spans="1:12" x14ac:dyDescent="0.3">
      <c r="A1026" t="s">
        <v>83</v>
      </c>
      <c r="B1026" s="1">
        <v>44758</v>
      </c>
      <c r="C1026" t="s">
        <v>61</v>
      </c>
      <c r="D1026" t="s">
        <v>22</v>
      </c>
      <c r="E1026" t="s">
        <v>23</v>
      </c>
      <c r="F1026" t="s">
        <v>40</v>
      </c>
      <c r="G1026" t="s">
        <v>17</v>
      </c>
      <c r="H1026" t="s">
        <v>49</v>
      </c>
      <c r="I1026" t="s">
        <v>19</v>
      </c>
      <c r="J1026">
        <v>596</v>
      </c>
      <c r="K1026">
        <v>5</v>
      </c>
      <c r="L1026">
        <v>109.46</v>
      </c>
    </row>
    <row r="1027" spans="1:12" x14ac:dyDescent="0.3">
      <c r="A1027" t="s">
        <v>84</v>
      </c>
      <c r="B1027" s="1">
        <v>45137</v>
      </c>
      <c r="C1027" t="s">
        <v>85</v>
      </c>
      <c r="D1027" t="s">
        <v>48</v>
      </c>
      <c r="E1027" t="s">
        <v>30</v>
      </c>
      <c r="F1027" t="s">
        <v>24</v>
      </c>
      <c r="G1027" t="s">
        <v>45</v>
      </c>
      <c r="H1027" t="s">
        <v>33</v>
      </c>
      <c r="I1027" t="s">
        <v>34</v>
      </c>
      <c r="J1027">
        <v>537</v>
      </c>
      <c r="K1027">
        <v>1</v>
      </c>
      <c r="L1027">
        <v>56.99</v>
      </c>
    </row>
    <row r="1028" spans="1:12" x14ac:dyDescent="0.3">
      <c r="A1028" t="s">
        <v>86</v>
      </c>
      <c r="B1028" s="1">
        <v>45290</v>
      </c>
      <c r="C1028" t="s">
        <v>87</v>
      </c>
      <c r="D1028" t="s">
        <v>56</v>
      </c>
      <c r="E1028" t="s">
        <v>30</v>
      </c>
      <c r="F1028" t="s">
        <v>24</v>
      </c>
      <c r="G1028" t="s">
        <v>37</v>
      </c>
      <c r="H1028" t="s">
        <v>26</v>
      </c>
      <c r="I1028" t="s">
        <v>19</v>
      </c>
      <c r="J1028">
        <v>473</v>
      </c>
      <c r="K1028">
        <v>4</v>
      </c>
      <c r="L1028">
        <v>161.5</v>
      </c>
    </row>
    <row r="1029" spans="1:12" x14ac:dyDescent="0.3">
      <c r="A1029" t="s">
        <v>88</v>
      </c>
      <c r="B1029" s="1">
        <v>45193</v>
      </c>
      <c r="C1029" t="s">
        <v>89</v>
      </c>
      <c r="D1029" t="s">
        <v>90</v>
      </c>
      <c r="E1029" t="s">
        <v>23</v>
      </c>
      <c r="F1029" t="s">
        <v>44</v>
      </c>
      <c r="G1029" t="s">
        <v>32</v>
      </c>
      <c r="H1029" t="s">
        <v>49</v>
      </c>
      <c r="I1029" t="s">
        <v>19</v>
      </c>
      <c r="J1029">
        <v>1355</v>
      </c>
      <c r="K1029">
        <v>4</v>
      </c>
      <c r="L1029">
        <v>305.45</v>
      </c>
    </row>
    <row r="1030" spans="1:12" x14ac:dyDescent="0.3">
      <c r="A1030" t="s">
        <v>91</v>
      </c>
      <c r="B1030" s="1">
        <v>45017</v>
      </c>
      <c r="C1030" t="s">
        <v>92</v>
      </c>
      <c r="D1030" t="s">
        <v>43</v>
      </c>
      <c r="E1030" t="s">
        <v>30</v>
      </c>
      <c r="F1030" t="s">
        <v>16</v>
      </c>
      <c r="G1030" t="s">
        <v>37</v>
      </c>
      <c r="H1030" t="s">
        <v>26</v>
      </c>
      <c r="I1030" t="s">
        <v>59</v>
      </c>
      <c r="J1030">
        <v>241</v>
      </c>
      <c r="K1030">
        <v>5</v>
      </c>
      <c r="L1030">
        <v>108.75</v>
      </c>
    </row>
    <row r="1031" spans="1:12" x14ac:dyDescent="0.3">
      <c r="A1031" t="s">
        <v>93</v>
      </c>
      <c r="B1031" s="1">
        <v>44828</v>
      </c>
      <c r="C1031" t="s">
        <v>94</v>
      </c>
      <c r="D1031" t="s">
        <v>78</v>
      </c>
      <c r="E1031" t="s">
        <v>15</v>
      </c>
      <c r="F1031" t="s">
        <v>40</v>
      </c>
      <c r="G1031" t="s">
        <v>32</v>
      </c>
      <c r="H1031" t="s">
        <v>18</v>
      </c>
      <c r="I1031" t="s">
        <v>59</v>
      </c>
      <c r="J1031">
        <v>882</v>
      </c>
      <c r="K1031">
        <v>5</v>
      </c>
      <c r="L1031">
        <v>546.72</v>
      </c>
    </row>
    <row r="1032" spans="1:12" x14ac:dyDescent="0.3">
      <c r="A1032" t="s">
        <v>95</v>
      </c>
      <c r="B1032" s="1">
        <v>45052</v>
      </c>
      <c r="C1032" t="s">
        <v>96</v>
      </c>
      <c r="D1032" t="s">
        <v>29</v>
      </c>
      <c r="E1032" t="s">
        <v>30</v>
      </c>
      <c r="F1032" t="s">
        <v>40</v>
      </c>
      <c r="G1032" t="s">
        <v>25</v>
      </c>
      <c r="H1032" t="s">
        <v>33</v>
      </c>
      <c r="I1032" t="s">
        <v>19</v>
      </c>
      <c r="J1032">
        <v>710</v>
      </c>
      <c r="K1032">
        <v>3</v>
      </c>
      <c r="L1032">
        <v>67.63</v>
      </c>
    </row>
    <row r="1033" spans="1:12" x14ac:dyDescent="0.3">
      <c r="A1033" t="s">
        <v>97</v>
      </c>
      <c r="B1033" s="1">
        <v>44630</v>
      </c>
      <c r="C1033" t="s">
        <v>98</v>
      </c>
      <c r="D1033" t="s">
        <v>78</v>
      </c>
      <c r="E1033" t="s">
        <v>15</v>
      </c>
      <c r="F1033" t="s">
        <v>31</v>
      </c>
      <c r="G1033" t="s">
        <v>37</v>
      </c>
      <c r="H1033" t="s">
        <v>18</v>
      </c>
      <c r="I1033" t="s">
        <v>59</v>
      </c>
      <c r="J1033">
        <v>1458</v>
      </c>
      <c r="K1033">
        <v>3</v>
      </c>
      <c r="L1033">
        <v>476.52</v>
      </c>
    </row>
    <row r="1034" spans="1:12" x14ac:dyDescent="0.3">
      <c r="A1034" t="s">
        <v>99</v>
      </c>
      <c r="B1034" s="1">
        <v>44728</v>
      </c>
      <c r="C1034" t="s">
        <v>100</v>
      </c>
      <c r="D1034" t="s">
        <v>48</v>
      </c>
      <c r="E1034" t="s">
        <v>30</v>
      </c>
      <c r="F1034" t="s">
        <v>31</v>
      </c>
      <c r="G1034" t="s">
        <v>32</v>
      </c>
      <c r="H1034" t="s">
        <v>49</v>
      </c>
      <c r="I1034" t="s">
        <v>34</v>
      </c>
      <c r="J1034">
        <v>1418</v>
      </c>
      <c r="K1034">
        <v>3</v>
      </c>
      <c r="L1034">
        <v>466.07</v>
      </c>
    </row>
    <row r="1035" spans="1:12" x14ac:dyDescent="0.3">
      <c r="A1035" t="s">
        <v>101</v>
      </c>
      <c r="B1035" s="1">
        <v>44720</v>
      </c>
      <c r="C1035" t="s">
        <v>102</v>
      </c>
      <c r="D1035" t="s">
        <v>22</v>
      </c>
      <c r="E1035" t="s">
        <v>23</v>
      </c>
      <c r="F1035" t="s">
        <v>44</v>
      </c>
      <c r="G1035" t="s">
        <v>17</v>
      </c>
      <c r="H1035" t="s">
        <v>26</v>
      </c>
      <c r="I1035" t="s">
        <v>34</v>
      </c>
      <c r="J1035">
        <v>691</v>
      </c>
      <c r="K1035">
        <v>5</v>
      </c>
      <c r="L1035">
        <v>147.69999999999999</v>
      </c>
    </row>
    <row r="1036" spans="1:12" x14ac:dyDescent="0.3">
      <c r="A1036" t="s">
        <v>103</v>
      </c>
      <c r="B1036" s="1">
        <v>45108</v>
      </c>
      <c r="C1036" t="s">
        <v>104</v>
      </c>
      <c r="D1036" t="s">
        <v>78</v>
      </c>
      <c r="E1036" t="s">
        <v>15</v>
      </c>
      <c r="F1036" t="s">
        <v>44</v>
      </c>
      <c r="G1036" t="s">
        <v>37</v>
      </c>
      <c r="H1036" t="s">
        <v>33</v>
      </c>
      <c r="I1036" t="s">
        <v>59</v>
      </c>
      <c r="J1036">
        <v>1488</v>
      </c>
      <c r="K1036">
        <v>4</v>
      </c>
      <c r="L1036">
        <v>803.3</v>
      </c>
    </row>
    <row r="1037" spans="1:12" x14ac:dyDescent="0.3">
      <c r="A1037" t="s">
        <v>105</v>
      </c>
      <c r="B1037" s="1">
        <v>44571</v>
      </c>
      <c r="C1037" t="s">
        <v>100</v>
      </c>
      <c r="D1037" t="s">
        <v>56</v>
      </c>
      <c r="E1037" t="s">
        <v>30</v>
      </c>
      <c r="F1037" t="s">
        <v>16</v>
      </c>
      <c r="G1037" t="s">
        <v>37</v>
      </c>
      <c r="H1037" t="s">
        <v>33</v>
      </c>
      <c r="I1037" t="s">
        <v>59</v>
      </c>
      <c r="J1037">
        <v>397</v>
      </c>
      <c r="K1037">
        <v>5</v>
      </c>
      <c r="L1037">
        <v>100.51</v>
      </c>
    </row>
    <row r="1038" spans="1:12" x14ac:dyDescent="0.3">
      <c r="A1038" t="s">
        <v>106</v>
      </c>
      <c r="B1038" s="1">
        <v>44866</v>
      </c>
      <c r="C1038" t="s">
        <v>107</v>
      </c>
      <c r="D1038" t="s">
        <v>43</v>
      </c>
      <c r="E1038" t="s">
        <v>30</v>
      </c>
      <c r="F1038" t="s">
        <v>40</v>
      </c>
      <c r="G1038" t="s">
        <v>32</v>
      </c>
      <c r="H1038" t="s">
        <v>18</v>
      </c>
      <c r="I1038" t="s">
        <v>59</v>
      </c>
      <c r="J1038">
        <v>251</v>
      </c>
      <c r="K1038">
        <v>5</v>
      </c>
      <c r="L1038">
        <v>89.06</v>
      </c>
    </row>
    <row r="1039" spans="1:12" x14ac:dyDescent="0.3">
      <c r="A1039" t="s">
        <v>108</v>
      </c>
      <c r="B1039" s="1">
        <v>45141</v>
      </c>
      <c r="C1039" t="s">
        <v>66</v>
      </c>
      <c r="D1039" t="s">
        <v>48</v>
      </c>
      <c r="E1039" t="s">
        <v>30</v>
      </c>
      <c r="F1039" t="s">
        <v>40</v>
      </c>
      <c r="G1039" t="s">
        <v>37</v>
      </c>
      <c r="H1039" t="s">
        <v>33</v>
      </c>
      <c r="I1039" t="s">
        <v>34</v>
      </c>
      <c r="J1039">
        <v>1206</v>
      </c>
      <c r="K1039">
        <v>1</v>
      </c>
      <c r="L1039">
        <v>132.88999999999999</v>
      </c>
    </row>
    <row r="1040" spans="1:12" x14ac:dyDescent="0.3">
      <c r="A1040" t="s">
        <v>109</v>
      </c>
      <c r="B1040" s="1">
        <v>44738</v>
      </c>
      <c r="C1040" t="s">
        <v>107</v>
      </c>
      <c r="D1040" t="s">
        <v>48</v>
      </c>
      <c r="E1040" t="s">
        <v>30</v>
      </c>
      <c r="F1040" t="s">
        <v>16</v>
      </c>
      <c r="G1040" t="s">
        <v>17</v>
      </c>
      <c r="H1040" t="s">
        <v>33</v>
      </c>
      <c r="I1040" t="s">
        <v>19</v>
      </c>
      <c r="J1040">
        <v>813</v>
      </c>
      <c r="K1040">
        <v>4</v>
      </c>
      <c r="L1040">
        <v>456</v>
      </c>
    </row>
    <row r="1041" spans="1:12" x14ac:dyDescent="0.3">
      <c r="A1041" t="s">
        <v>110</v>
      </c>
      <c r="B1041" s="1">
        <v>44965</v>
      </c>
      <c r="C1041" t="s">
        <v>111</v>
      </c>
      <c r="D1041" t="s">
        <v>52</v>
      </c>
      <c r="E1041" t="s">
        <v>30</v>
      </c>
      <c r="F1041" t="s">
        <v>44</v>
      </c>
      <c r="G1041" t="s">
        <v>17</v>
      </c>
      <c r="H1041" t="s">
        <v>33</v>
      </c>
      <c r="I1041" t="s">
        <v>34</v>
      </c>
      <c r="J1041">
        <v>1476</v>
      </c>
      <c r="K1041">
        <v>2</v>
      </c>
      <c r="L1041">
        <v>29.26</v>
      </c>
    </row>
    <row r="1042" spans="1:12" x14ac:dyDescent="0.3">
      <c r="A1042" t="s">
        <v>112</v>
      </c>
      <c r="B1042" s="1">
        <v>44754</v>
      </c>
      <c r="C1042" t="s">
        <v>113</v>
      </c>
      <c r="D1042" t="s">
        <v>90</v>
      </c>
      <c r="E1042" t="s">
        <v>23</v>
      </c>
      <c r="F1042" t="s">
        <v>40</v>
      </c>
      <c r="G1042" t="s">
        <v>25</v>
      </c>
      <c r="H1042" t="s">
        <v>18</v>
      </c>
      <c r="I1042" t="s">
        <v>19</v>
      </c>
      <c r="J1042">
        <v>1243</v>
      </c>
      <c r="K1042">
        <v>3</v>
      </c>
      <c r="L1042">
        <v>292.02</v>
      </c>
    </row>
    <row r="1043" spans="1:12" x14ac:dyDescent="0.3">
      <c r="A1043" t="s">
        <v>114</v>
      </c>
      <c r="B1043" s="1">
        <v>44988</v>
      </c>
      <c r="C1043" t="s">
        <v>61</v>
      </c>
      <c r="D1043" t="s">
        <v>43</v>
      </c>
      <c r="E1043" t="s">
        <v>30</v>
      </c>
      <c r="F1043" t="s">
        <v>44</v>
      </c>
      <c r="G1043" t="s">
        <v>17</v>
      </c>
      <c r="H1043" t="s">
        <v>26</v>
      </c>
      <c r="I1043" t="s">
        <v>34</v>
      </c>
      <c r="J1043">
        <v>589</v>
      </c>
      <c r="K1043">
        <v>4</v>
      </c>
      <c r="L1043">
        <v>146.76</v>
      </c>
    </row>
    <row r="1044" spans="1:12" x14ac:dyDescent="0.3">
      <c r="A1044" t="s">
        <v>115</v>
      </c>
      <c r="B1044" s="1">
        <v>44617</v>
      </c>
      <c r="C1044" t="s">
        <v>51</v>
      </c>
      <c r="D1044" t="s">
        <v>14</v>
      </c>
      <c r="E1044" t="s">
        <v>15</v>
      </c>
      <c r="F1044" t="s">
        <v>40</v>
      </c>
      <c r="G1044" t="s">
        <v>37</v>
      </c>
      <c r="H1044" t="s">
        <v>33</v>
      </c>
      <c r="I1044" t="s">
        <v>34</v>
      </c>
      <c r="J1044">
        <v>1263</v>
      </c>
      <c r="K1044">
        <v>3</v>
      </c>
      <c r="L1044">
        <v>371.7</v>
      </c>
    </row>
    <row r="1045" spans="1:12" x14ac:dyDescent="0.3">
      <c r="A1045" t="s">
        <v>116</v>
      </c>
      <c r="B1045" s="1">
        <v>44843</v>
      </c>
      <c r="C1045" t="s">
        <v>117</v>
      </c>
      <c r="D1045" t="s">
        <v>90</v>
      </c>
      <c r="E1045" t="s">
        <v>23</v>
      </c>
      <c r="F1045" t="s">
        <v>16</v>
      </c>
      <c r="G1045" t="s">
        <v>37</v>
      </c>
      <c r="H1045" t="s">
        <v>26</v>
      </c>
      <c r="I1045" t="s">
        <v>34</v>
      </c>
      <c r="J1045">
        <v>1285</v>
      </c>
      <c r="K1045">
        <v>4</v>
      </c>
      <c r="L1045">
        <v>674.76</v>
      </c>
    </row>
    <row r="1046" spans="1:12" x14ac:dyDescent="0.3">
      <c r="A1046" t="s">
        <v>118</v>
      </c>
      <c r="B1046" s="1">
        <v>44789</v>
      </c>
      <c r="C1046" t="s">
        <v>119</v>
      </c>
      <c r="D1046" t="s">
        <v>29</v>
      </c>
      <c r="E1046" t="s">
        <v>30</v>
      </c>
      <c r="F1046" t="s">
        <v>40</v>
      </c>
      <c r="G1046" t="s">
        <v>37</v>
      </c>
      <c r="H1046" t="s">
        <v>26</v>
      </c>
      <c r="I1046" t="s">
        <v>34</v>
      </c>
      <c r="J1046">
        <v>1312</v>
      </c>
      <c r="K1046">
        <v>1</v>
      </c>
      <c r="L1046">
        <v>64.510000000000005</v>
      </c>
    </row>
    <row r="1047" spans="1:12" x14ac:dyDescent="0.3">
      <c r="A1047" t="s">
        <v>120</v>
      </c>
      <c r="B1047" s="1">
        <v>44572</v>
      </c>
      <c r="C1047" t="s">
        <v>77</v>
      </c>
      <c r="D1047" t="s">
        <v>14</v>
      </c>
      <c r="E1047" t="s">
        <v>15</v>
      </c>
      <c r="F1047" t="s">
        <v>16</v>
      </c>
      <c r="G1047" t="s">
        <v>17</v>
      </c>
      <c r="H1047" t="s">
        <v>33</v>
      </c>
      <c r="I1047" t="s">
        <v>34</v>
      </c>
      <c r="J1047">
        <v>1035</v>
      </c>
      <c r="K1047">
        <v>3</v>
      </c>
      <c r="L1047">
        <v>234.32</v>
      </c>
    </row>
    <row r="1048" spans="1:12" x14ac:dyDescent="0.3">
      <c r="A1048" t="s">
        <v>121</v>
      </c>
      <c r="B1048" s="1">
        <v>45238</v>
      </c>
      <c r="C1048" t="s">
        <v>122</v>
      </c>
      <c r="D1048" t="s">
        <v>29</v>
      </c>
      <c r="E1048" t="s">
        <v>30</v>
      </c>
      <c r="F1048" t="s">
        <v>40</v>
      </c>
      <c r="G1048" t="s">
        <v>32</v>
      </c>
      <c r="H1048" t="s">
        <v>18</v>
      </c>
      <c r="I1048" t="s">
        <v>34</v>
      </c>
      <c r="J1048">
        <v>1373</v>
      </c>
      <c r="K1048">
        <v>3</v>
      </c>
      <c r="L1048">
        <v>599.79999999999995</v>
      </c>
    </row>
    <row r="1049" spans="1:12" x14ac:dyDescent="0.3">
      <c r="A1049" t="s">
        <v>123</v>
      </c>
      <c r="B1049" s="1">
        <v>44689</v>
      </c>
      <c r="C1049" t="s">
        <v>21</v>
      </c>
      <c r="D1049" t="s">
        <v>62</v>
      </c>
      <c r="E1049" t="s">
        <v>15</v>
      </c>
      <c r="F1049" t="s">
        <v>16</v>
      </c>
      <c r="G1049" t="s">
        <v>45</v>
      </c>
      <c r="H1049" t="s">
        <v>26</v>
      </c>
      <c r="I1049" t="s">
        <v>59</v>
      </c>
      <c r="J1049">
        <v>1063</v>
      </c>
      <c r="K1049">
        <v>2</v>
      </c>
      <c r="L1049">
        <v>220.48</v>
      </c>
    </row>
    <row r="1050" spans="1:12" x14ac:dyDescent="0.3">
      <c r="A1050" t="s">
        <v>124</v>
      </c>
      <c r="B1050" s="1">
        <v>44690</v>
      </c>
      <c r="C1050" t="s">
        <v>100</v>
      </c>
      <c r="D1050" t="s">
        <v>78</v>
      </c>
      <c r="E1050" t="s">
        <v>15</v>
      </c>
      <c r="F1050" t="s">
        <v>31</v>
      </c>
      <c r="G1050" t="s">
        <v>32</v>
      </c>
      <c r="H1050" t="s">
        <v>18</v>
      </c>
      <c r="I1050" t="s">
        <v>59</v>
      </c>
      <c r="J1050">
        <v>602</v>
      </c>
      <c r="K1050">
        <v>2</v>
      </c>
      <c r="L1050">
        <v>151.41</v>
      </c>
    </row>
    <row r="1051" spans="1:12" x14ac:dyDescent="0.3">
      <c r="A1051" t="s">
        <v>125</v>
      </c>
      <c r="B1051" s="1">
        <v>45041</v>
      </c>
      <c r="C1051" t="s">
        <v>69</v>
      </c>
      <c r="D1051" t="s">
        <v>78</v>
      </c>
      <c r="E1051" t="s">
        <v>15</v>
      </c>
      <c r="F1051" t="s">
        <v>40</v>
      </c>
      <c r="G1051" t="s">
        <v>17</v>
      </c>
      <c r="H1051" t="s">
        <v>18</v>
      </c>
      <c r="I1051" t="s">
        <v>19</v>
      </c>
      <c r="J1051">
        <v>1014</v>
      </c>
      <c r="K1051">
        <v>1</v>
      </c>
      <c r="L1051">
        <v>40.76</v>
      </c>
    </row>
    <row r="1052" spans="1:12" x14ac:dyDescent="0.3">
      <c r="A1052" t="s">
        <v>126</v>
      </c>
      <c r="B1052" s="1">
        <v>44878</v>
      </c>
      <c r="C1052" t="s">
        <v>127</v>
      </c>
      <c r="D1052" t="s">
        <v>48</v>
      </c>
      <c r="E1052" t="s">
        <v>30</v>
      </c>
      <c r="F1052" t="s">
        <v>16</v>
      </c>
      <c r="G1052" t="s">
        <v>17</v>
      </c>
      <c r="H1052" t="s">
        <v>18</v>
      </c>
      <c r="I1052" t="s">
        <v>34</v>
      </c>
      <c r="J1052">
        <v>331</v>
      </c>
      <c r="K1052">
        <v>1</v>
      </c>
      <c r="L1052">
        <v>30.24</v>
      </c>
    </row>
    <row r="1053" spans="1:12" x14ac:dyDescent="0.3">
      <c r="A1053" t="s">
        <v>128</v>
      </c>
      <c r="B1053" s="1">
        <v>44830</v>
      </c>
      <c r="C1053" t="s">
        <v>129</v>
      </c>
      <c r="D1053" t="s">
        <v>90</v>
      </c>
      <c r="E1053" t="s">
        <v>23</v>
      </c>
      <c r="F1053" t="s">
        <v>16</v>
      </c>
      <c r="G1053" t="s">
        <v>25</v>
      </c>
      <c r="H1053" t="s">
        <v>18</v>
      </c>
      <c r="I1053" t="s">
        <v>34</v>
      </c>
      <c r="J1053">
        <v>1140</v>
      </c>
      <c r="K1053">
        <v>5</v>
      </c>
      <c r="L1053">
        <v>688.05</v>
      </c>
    </row>
    <row r="1054" spans="1:12" x14ac:dyDescent="0.3">
      <c r="A1054" t="s">
        <v>130</v>
      </c>
      <c r="B1054" s="1">
        <v>44987</v>
      </c>
      <c r="C1054" t="s">
        <v>107</v>
      </c>
      <c r="D1054" t="s">
        <v>22</v>
      </c>
      <c r="E1054" t="s">
        <v>23</v>
      </c>
      <c r="F1054" t="s">
        <v>16</v>
      </c>
      <c r="G1054" t="s">
        <v>25</v>
      </c>
      <c r="H1054" t="s">
        <v>33</v>
      </c>
      <c r="I1054" t="s">
        <v>19</v>
      </c>
      <c r="J1054">
        <v>883</v>
      </c>
      <c r="K1054">
        <v>3</v>
      </c>
      <c r="L1054">
        <v>97.16</v>
      </c>
    </row>
    <row r="1055" spans="1:12" x14ac:dyDescent="0.3">
      <c r="A1055" t="s">
        <v>131</v>
      </c>
      <c r="B1055" s="1">
        <v>45143</v>
      </c>
      <c r="C1055" t="s">
        <v>89</v>
      </c>
      <c r="D1055" t="s">
        <v>90</v>
      </c>
      <c r="E1055" t="s">
        <v>23</v>
      </c>
      <c r="F1055" t="s">
        <v>16</v>
      </c>
      <c r="G1055" t="s">
        <v>32</v>
      </c>
      <c r="H1055" t="s">
        <v>18</v>
      </c>
      <c r="I1055" t="s">
        <v>19</v>
      </c>
      <c r="J1055">
        <v>371</v>
      </c>
      <c r="K1055">
        <v>3</v>
      </c>
      <c r="L1055">
        <v>37.79</v>
      </c>
    </row>
    <row r="1056" spans="1:12" x14ac:dyDescent="0.3">
      <c r="A1056" t="s">
        <v>132</v>
      </c>
      <c r="B1056" s="1">
        <v>45058</v>
      </c>
      <c r="C1056" t="s">
        <v>107</v>
      </c>
      <c r="D1056" t="s">
        <v>43</v>
      </c>
      <c r="E1056" t="s">
        <v>30</v>
      </c>
      <c r="F1056" t="s">
        <v>24</v>
      </c>
      <c r="G1056" t="s">
        <v>25</v>
      </c>
      <c r="H1056" t="s">
        <v>49</v>
      </c>
      <c r="I1056" t="s">
        <v>19</v>
      </c>
      <c r="J1056">
        <v>1249</v>
      </c>
      <c r="K1056">
        <v>2</v>
      </c>
      <c r="L1056">
        <v>309.86</v>
      </c>
    </row>
    <row r="1057" spans="1:12" x14ac:dyDescent="0.3">
      <c r="A1057" t="s">
        <v>133</v>
      </c>
      <c r="B1057" s="1">
        <v>44980</v>
      </c>
      <c r="C1057" t="s">
        <v>51</v>
      </c>
      <c r="D1057" t="s">
        <v>62</v>
      </c>
      <c r="E1057" t="s">
        <v>15</v>
      </c>
      <c r="F1057" t="s">
        <v>31</v>
      </c>
      <c r="G1057" t="s">
        <v>25</v>
      </c>
      <c r="H1057" t="s">
        <v>49</v>
      </c>
      <c r="I1057" t="s">
        <v>34</v>
      </c>
      <c r="J1057">
        <v>267</v>
      </c>
      <c r="K1057">
        <v>4</v>
      </c>
      <c r="L1057">
        <v>119.22</v>
      </c>
    </row>
    <row r="1058" spans="1:12" x14ac:dyDescent="0.3">
      <c r="A1058" t="s">
        <v>134</v>
      </c>
      <c r="B1058" s="1">
        <v>44693</v>
      </c>
      <c r="C1058" t="s">
        <v>135</v>
      </c>
      <c r="D1058" t="s">
        <v>14</v>
      </c>
      <c r="E1058" t="s">
        <v>15</v>
      </c>
      <c r="F1058" t="s">
        <v>16</v>
      </c>
      <c r="G1058" t="s">
        <v>37</v>
      </c>
      <c r="H1058" t="s">
        <v>18</v>
      </c>
      <c r="I1058" t="s">
        <v>19</v>
      </c>
      <c r="J1058">
        <v>1221</v>
      </c>
      <c r="K1058">
        <v>1</v>
      </c>
      <c r="L1058">
        <v>168.63</v>
      </c>
    </row>
    <row r="1059" spans="1:12" x14ac:dyDescent="0.3">
      <c r="A1059" t="s">
        <v>136</v>
      </c>
      <c r="B1059" s="1">
        <v>45112</v>
      </c>
      <c r="C1059" t="s">
        <v>66</v>
      </c>
      <c r="D1059" t="s">
        <v>56</v>
      </c>
      <c r="E1059" t="s">
        <v>30</v>
      </c>
      <c r="F1059" t="s">
        <v>40</v>
      </c>
      <c r="G1059" t="s">
        <v>17</v>
      </c>
      <c r="H1059" t="s">
        <v>18</v>
      </c>
      <c r="I1059" t="s">
        <v>59</v>
      </c>
      <c r="J1059">
        <v>1385</v>
      </c>
      <c r="K1059">
        <v>3</v>
      </c>
      <c r="L1059">
        <v>124.34</v>
      </c>
    </row>
    <row r="1060" spans="1:12" x14ac:dyDescent="0.3">
      <c r="A1060" t="s">
        <v>137</v>
      </c>
      <c r="B1060" s="1">
        <v>45081</v>
      </c>
      <c r="C1060" t="s">
        <v>13</v>
      </c>
      <c r="D1060" t="s">
        <v>14</v>
      </c>
      <c r="E1060" t="s">
        <v>15</v>
      </c>
      <c r="F1060" t="s">
        <v>24</v>
      </c>
      <c r="G1060" t="s">
        <v>45</v>
      </c>
      <c r="H1060" t="s">
        <v>49</v>
      </c>
      <c r="I1060" t="s">
        <v>19</v>
      </c>
      <c r="J1060">
        <v>366</v>
      </c>
      <c r="K1060">
        <v>4</v>
      </c>
      <c r="L1060">
        <v>70.319999999999993</v>
      </c>
    </row>
    <row r="1061" spans="1:12" x14ac:dyDescent="0.3">
      <c r="A1061" t="s">
        <v>138</v>
      </c>
      <c r="B1061" s="1">
        <v>45252</v>
      </c>
      <c r="C1061" t="s">
        <v>28</v>
      </c>
      <c r="D1061" t="s">
        <v>29</v>
      </c>
      <c r="E1061" t="s">
        <v>30</v>
      </c>
      <c r="F1061" t="s">
        <v>40</v>
      </c>
      <c r="G1061" t="s">
        <v>45</v>
      </c>
      <c r="H1061" t="s">
        <v>33</v>
      </c>
      <c r="I1061" t="s">
        <v>19</v>
      </c>
      <c r="J1061">
        <v>1043</v>
      </c>
      <c r="K1061">
        <v>2</v>
      </c>
      <c r="L1061">
        <v>34.64</v>
      </c>
    </row>
    <row r="1062" spans="1:12" x14ac:dyDescent="0.3">
      <c r="A1062" t="s">
        <v>139</v>
      </c>
      <c r="B1062" s="1">
        <v>45044</v>
      </c>
      <c r="C1062" t="s">
        <v>140</v>
      </c>
      <c r="D1062" t="s">
        <v>62</v>
      </c>
      <c r="E1062" t="s">
        <v>15</v>
      </c>
      <c r="F1062" t="s">
        <v>44</v>
      </c>
      <c r="G1062" t="s">
        <v>37</v>
      </c>
      <c r="H1062" t="s">
        <v>18</v>
      </c>
      <c r="I1062" t="s">
        <v>34</v>
      </c>
      <c r="J1062">
        <v>564</v>
      </c>
      <c r="K1062">
        <v>1</v>
      </c>
      <c r="L1062">
        <v>19.97</v>
      </c>
    </row>
    <row r="1063" spans="1:12" x14ac:dyDescent="0.3">
      <c r="A1063" t="s">
        <v>141</v>
      </c>
      <c r="B1063" s="1">
        <v>44902</v>
      </c>
      <c r="C1063" t="s">
        <v>142</v>
      </c>
      <c r="D1063" t="s">
        <v>43</v>
      </c>
      <c r="E1063" t="s">
        <v>30</v>
      </c>
      <c r="F1063" t="s">
        <v>44</v>
      </c>
      <c r="G1063" t="s">
        <v>25</v>
      </c>
      <c r="H1063" t="s">
        <v>26</v>
      </c>
      <c r="I1063" t="s">
        <v>34</v>
      </c>
      <c r="J1063">
        <v>1325</v>
      </c>
      <c r="K1063">
        <v>2</v>
      </c>
      <c r="L1063">
        <v>166.18</v>
      </c>
    </row>
    <row r="1064" spans="1:12" x14ac:dyDescent="0.3">
      <c r="A1064" t="s">
        <v>143</v>
      </c>
      <c r="B1064" s="1">
        <v>44913</v>
      </c>
      <c r="C1064" t="s">
        <v>87</v>
      </c>
      <c r="D1064" t="s">
        <v>22</v>
      </c>
      <c r="E1064" t="s">
        <v>23</v>
      </c>
      <c r="F1064" t="s">
        <v>16</v>
      </c>
      <c r="G1064" t="s">
        <v>25</v>
      </c>
      <c r="H1064" t="s">
        <v>26</v>
      </c>
      <c r="I1064" t="s">
        <v>34</v>
      </c>
      <c r="J1064">
        <v>285</v>
      </c>
      <c r="K1064">
        <v>5</v>
      </c>
      <c r="L1064">
        <v>120.68</v>
      </c>
    </row>
    <row r="1065" spans="1:12" x14ac:dyDescent="0.3">
      <c r="A1065" t="s">
        <v>144</v>
      </c>
      <c r="B1065" s="1">
        <v>45242</v>
      </c>
      <c r="C1065" t="s">
        <v>21</v>
      </c>
      <c r="D1065" t="s">
        <v>52</v>
      </c>
      <c r="E1065" t="s">
        <v>30</v>
      </c>
      <c r="F1065" t="s">
        <v>40</v>
      </c>
      <c r="G1065" t="s">
        <v>17</v>
      </c>
      <c r="H1065" t="s">
        <v>49</v>
      </c>
      <c r="I1065" t="s">
        <v>34</v>
      </c>
      <c r="J1065">
        <v>594</v>
      </c>
      <c r="K1065">
        <v>2</v>
      </c>
      <c r="L1065">
        <v>167.87</v>
      </c>
    </row>
    <row r="1066" spans="1:12" x14ac:dyDescent="0.3">
      <c r="A1066" t="s">
        <v>145</v>
      </c>
      <c r="B1066" s="1">
        <v>45244</v>
      </c>
      <c r="C1066" t="s">
        <v>69</v>
      </c>
      <c r="D1066" t="s">
        <v>56</v>
      </c>
      <c r="E1066" t="s">
        <v>30</v>
      </c>
      <c r="F1066" t="s">
        <v>16</v>
      </c>
      <c r="G1066" t="s">
        <v>17</v>
      </c>
      <c r="H1066" t="s">
        <v>18</v>
      </c>
      <c r="I1066" t="s">
        <v>34</v>
      </c>
      <c r="J1066">
        <v>1348</v>
      </c>
      <c r="K1066">
        <v>5</v>
      </c>
      <c r="L1066">
        <v>105.07</v>
      </c>
    </row>
    <row r="1067" spans="1:12" x14ac:dyDescent="0.3">
      <c r="A1067" t="s">
        <v>146</v>
      </c>
      <c r="B1067" s="1">
        <v>44963</v>
      </c>
      <c r="C1067" t="s">
        <v>102</v>
      </c>
      <c r="D1067" t="s">
        <v>14</v>
      </c>
      <c r="E1067" t="s">
        <v>15</v>
      </c>
      <c r="F1067" t="s">
        <v>24</v>
      </c>
      <c r="G1067" t="s">
        <v>32</v>
      </c>
      <c r="H1067" t="s">
        <v>33</v>
      </c>
      <c r="I1067" t="s">
        <v>59</v>
      </c>
      <c r="J1067">
        <v>475</v>
      </c>
      <c r="K1067">
        <v>3</v>
      </c>
      <c r="L1067">
        <v>33.76</v>
      </c>
    </row>
    <row r="1068" spans="1:12" x14ac:dyDescent="0.3">
      <c r="A1068" t="s">
        <v>147</v>
      </c>
      <c r="B1068" s="1">
        <v>45050</v>
      </c>
      <c r="C1068" t="s">
        <v>148</v>
      </c>
      <c r="D1068" t="s">
        <v>22</v>
      </c>
      <c r="E1068" t="s">
        <v>23</v>
      </c>
      <c r="F1068" t="s">
        <v>31</v>
      </c>
      <c r="G1068" t="s">
        <v>37</v>
      </c>
      <c r="H1068" t="s">
        <v>18</v>
      </c>
      <c r="I1068" t="s">
        <v>19</v>
      </c>
      <c r="J1068">
        <v>205</v>
      </c>
      <c r="K1068">
        <v>3</v>
      </c>
      <c r="L1068">
        <v>47.4</v>
      </c>
    </row>
    <row r="1069" spans="1:12" x14ac:dyDescent="0.3">
      <c r="A1069" t="s">
        <v>149</v>
      </c>
      <c r="B1069" s="1">
        <v>44703</v>
      </c>
      <c r="C1069" t="s">
        <v>66</v>
      </c>
      <c r="D1069" t="s">
        <v>90</v>
      </c>
      <c r="E1069" t="s">
        <v>23</v>
      </c>
      <c r="F1069" t="s">
        <v>31</v>
      </c>
      <c r="G1069" t="s">
        <v>17</v>
      </c>
      <c r="H1069" t="s">
        <v>49</v>
      </c>
      <c r="I1069" t="s">
        <v>59</v>
      </c>
      <c r="J1069">
        <v>526</v>
      </c>
      <c r="K1069">
        <v>4</v>
      </c>
      <c r="L1069">
        <v>198.96</v>
      </c>
    </row>
    <row r="1070" spans="1:12" x14ac:dyDescent="0.3">
      <c r="A1070" t="s">
        <v>150</v>
      </c>
      <c r="B1070" s="1">
        <v>45178</v>
      </c>
      <c r="C1070" t="s">
        <v>129</v>
      </c>
      <c r="D1070" t="s">
        <v>62</v>
      </c>
      <c r="E1070" t="s">
        <v>15</v>
      </c>
      <c r="F1070" t="s">
        <v>24</v>
      </c>
      <c r="G1070" t="s">
        <v>37</v>
      </c>
      <c r="H1070" t="s">
        <v>33</v>
      </c>
      <c r="I1070" t="s">
        <v>59</v>
      </c>
      <c r="J1070">
        <v>1225</v>
      </c>
      <c r="K1070">
        <v>1</v>
      </c>
      <c r="L1070">
        <v>182.52</v>
      </c>
    </row>
    <row r="1071" spans="1:12" x14ac:dyDescent="0.3">
      <c r="A1071" t="s">
        <v>151</v>
      </c>
      <c r="B1071" s="1">
        <v>44910</v>
      </c>
      <c r="C1071" t="s">
        <v>71</v>
      </c>
      <c r="D1071" t="s">
        <v>78</v>
      </c>
      <c r="E1071" t="s">
        <v>15</v>
      </c>
      <c r="F1071" t="s">
        <v>44</v>
      </c>
      <c r="G1071" t="s">
        <v>37</v>
      </c>
      <c r="H1071" t="s">
        <v>26</v>
      </c>
      <c r="I1071" t="s">
        <v>59</v>
      </c>
      <c r="J1071">
        <v>147</v>
      </c>
      <c r="K1071">
        <v>1</v>
      </c>
      <c r="L1071">
        <v>11.66</v>
      </c>
    </row>
    <row r="1072" spans="1:12" x14ac:dyDescent="0.3">
      <c r="A1072" t="s">
        <v>152</v>
      </c>
      <c r="B1072" s="1">
        <v>45199</v>
      </c>
      <c r="C1072" t="s">
        <v>107</v>
      </c>
      <c r="D1072" t="s">
        <v>14</v>
      </c>
      <c r="E1072" t="s">
        <v>15</v>
      </c>
      <c r="F1072" t="s">
        <v>44</v>
      </c>
      <c r="G1072" t="s">
        <v>25</v>
      </c>
      <c r="H1072" t="s">
        <v>26</v>
      </c>
      <c r="I1072" t="s">
        <v>34</v>
      </c>
      <c r="J1072">
        <v>219</v>
      </c>
      <c r="K1072">
        <v>3</v>
      </c>
      <c r="L1072">
        <v>41.36</v>
      </c>
    </row>
    <row r="1073" spans="1:12" x14ac:dyDescent="0.3">
      <c r="A1073" t="s">
        <v>153</v>
      </c>
      <c r="B1073" s="1">
        <v>45280</v>
      </c>
      <c r="C1073" t="s">
        <v>154</v>
      </c>
      <c r="D1073" t="s">
        <v>78</v>
      </c>
      <c r="E1073" t="s">
        <v>15</v>
      </c>
      <c r="F1073" t="s">
        <v>44</v>
      </c>
      <c r="G1073" t="s">
        <v>37</v>
      </c>
      <c r="H1073" t="s">
        <v>18</v>
      </c>
      <c r="I1073" t="s">
        <v>19</v>
      </c>
      <c r="J1073">
        <v>1409</v>
      </c>
      <c r="K1073">
        <v>4</v>
      </c>
      <c r="L1073">
        <v>560.05999999999995</v>
      </c>
    </row>
    <row r="1074" spans="1:12" x14ac:dyDescent="0.3">
      <c r="A1074" t="s">
        <v>155</v>
      </c>
      <c r="B1074" s="1">
        <v>44571</v>
      </c>
      <c r="C1074" t="s">
        <v>58</v>
      </c>
      <c r="D1074" t="s">
        <v>48</v>
      </c>
      <c r="E1074" t="s">
        <v>30</v>
      </c>
      <c r="F1074" t="s">
        <v>40</v>
      </c>
      <c r="G1074" t="s">
        <v>17</v>
      </c>
      <c r="H1074" t="s">
        <v>18</v>
      </c>
      <c r="I1074" t="s">
        <v>34</v>
      </c>
      <c r="J1074">
        <v>854</v>
      </c>
      <c r="K1074">
        <v>1</v>
      </c>
      <c r="L1074">
        <v>4.32</v>
      </c>
    </row>
    <row r="1075" spans="1:12" x14ac:dyDescent="0.3">
      <c r="A1075" t="s">
        <v>156</v>
      </c>
      <c r="B1075" s="1">
        <v>44826</v>
      </c>
      <c r="C1075" t="s">
        <v>58</v>
      </c>
      <c r="D1075" t="s">
        <v>43</v>
      </c>
      <c r="E1075" t="s">
        <v>30</v>
      </c>
      <c r="F1075" t="s">
        <v>16</v>
      </c>
      <c r="G1075" t="s">
        <v>37</v>
      </c>
      <c r="H1075" t="s">
        <v>33</v>
      </c>
      <c r="I1075" t="s">
        <v>19</v>
      </c>
      <c r="J1075">
        <v>189</v>
      </c>
      <c r="K1075">
        <v>5</v>
      </c>
      <c r="L1075">
        <v>127.96</v>
      </c>
    </row>
    <row r="1076" spans="1:12" x14ac:dyDescent="0.3">
      <c r="A1076" t="s">
        <v>157</v>
      </c>
      <c r="B1076" s="1">
        <v>44848</v>
      </c>
      <c r="C1076" t="s">
        <v>104</v>
      </c>
      <c r="D1076" t="s">
        <v>43</v>
      </c>
      <c r="E1076" t="s">
        <v>30</v>
      </c>
      <c r="F1076" t="s">
        <v>31</v>
      </c>
      <c r="G1076" t="s">
        <v>17</v>
      </c>
      <c r="H1076" t="s">
        <v>33</v>
      </c>
      <c r="I1076" t="s">
        <v>19</v>
      </c>
      <c r="J1076">
        <v>851</v>
      </c>
      <c r="K1076">
        <v>5</v>
      </c>
      <c r="L1076">
        <v>300.98</v>
      </c>
    </row>
    <row r="1077" spans="1:12" x14ac:dyDescent="0.3">
      <c r="A1077" t="s">
        <v>158</v>
      </c>
      <c r="B1077" s="1">
        <v>44611</v>
      </c>
      <c r="C1077" t="s">
        <v>159</v>
      </c>
      <c r="D1077" t="s">
        <v>52</v>
      </c>
      <c r="E1077" t="s">
        <v>30</v>
      </c>
      <c r="F1077" t="s">
        <v>24</v>
      </c>
      <c r="G1077" t="s">
        <v>25</v>
      </c>
      <c r="H1077" t="s">
        <v>18</v>
      </c>
      <c r="I1077" t="s">
        <v>34</v>
      </c>
      <c r="J1077">
        <v>1464</v>
      </c>
      <c r="K1077">
        <v>3</v>
      </c>
      <c r="L1077">
        <v>308.95999999999998</v>
      </c>
    </row>
    <row r="1078" spans="1:12" x14ac:dyDescent="0.3">
      <c r="A1078" t="s">
        <v>160</v>
      </c>
      <c r="B1078" s="1">
        <v>44645</v>
      </c>
      <c r="C1078" t="s">
        <v>127</v>
      </c>
      <c r="D1078" t="s">
        <v>29</v>
      </c>
      <c r="E1078" t="s">
        <v>30</v>
      </c>
      <c r="F1078" t="s">
        <v>31</v>
      </c>
      <c r="G1078" t="s">
        <v>17</v>
      </c>
      <c r="H1078" t="s">
        <v>33</v>
      </c>
      <c r="I1078" t="s">
        <v>19</v>
      </c>
      <c r="J1078">
        <v>1193</v>
      </c>
      <c r="K1078">
        <v>1</v>
      </c>
      <c r="L1078">
        <v>123.55</v>
      </c>
    </row>
    <row r="1079" spans="1:12" x14ac:dyDescent="0.3">
      <c r="A1079" t="s">
        <v>161</v>
      </c>
      <c r="B1079" s="1">
        <v>45168</v>
      </c>
      <c r="C1079" t="s">
        <v>162</v>
      </c>
      <c r="D1079" t="s">
        <v>48</v>
      </c>
      <c r="E1079" t="s">
        <v>30</v>
      </c>
      <c r="F1079" t="s">
        <v>40</v>
      </c>
      <c r="G1079" t="s">
        <v>25</v>
      </c>
      <c r="H1079" t="s">
        <v>26</v>
      </c>
      <c r="I1079" t="s">
        <v>34</v>
      </c>
      <c r="J1079">
        <v>1495</v>
      </c>
      <c r="K1079">
        <v>5</v>
      </c>
      <c r="L1079">
        <v>882.34</v>
      </c>
    </row>
    <row r="1080" spans="1:12" x14ac:dyDescent="0.3">
      <c r="A1080" t="s">
        <v>163</v>
      </c>
      <c r="B1080" s="1">
        <v>44678</v>
      </c>
      <c r="C1080" t="s">
        <v>39</v>
      </c>
      <c r="D1080" t="s">
        <v>56</v>
      </c>
      <c r="E1080" t="s">
        <v>30</v>
      </c>
      <c r="F1080" t="s">
        <v>31</v>
      </c>
      <c r="G1080" t="s">
        <v>25</v>
      </c>
      <c r="H1080" t="s">
        <v>49</v>
      </c>
      <c r="I1080" t="s">
        <v>34</v>
      </c>
      <c r="J1080">
        <v>1079</v>
      </c>
      <c r="K1080">
        <v>2</v>
      </c>
      <c r="L1080">
        <v>4.96</v>
      </c>
    </row>
    <row r="1081" spans="1:12" x14ac:dyDescent="0.3">
      <c r="A1081" t="s">
        <v>164</v>
      </c>
      <c r="B1081" s="1">
        <v>44745</v>
      </c>
      <c r="C1081" t="s">
        <v>165</v>
      </c>
      <c r="D1081" t="s">
        <v>78</v>
      </c>
      <c r="E1081" t="s">
        <v>15</v>
      </c>
      <c r="F1081" t="s">
        <v>24</v>
      </c>
      <c r="G1081" t="s">
        <v>45</v>
      </c>
      <c r="H1081" t="s">
        <v>33</v>
      </c>
      <c r="I1081" t="s">
        <v>59</v>
      </c>
      <c r="J1081">
        <v>543</v>
      </c>
      <c r="K1081">
        <v>1</v>
      </c>
      <c r="L1081">
        <v>78.47</v>
      </c>
    </row>
    <row r="1082" spans="1:12" x14ac:dyDescent="0.3">
      <c r="A1082" t="s">
        <v>166</v>
      </c>
      <c r="B1082" s="1">
        <v>45074</v>
      </c>
      <c r="C1082" t="s">
        <v>73</v>
      </c>
      <c r="D1082" t="s">
        <v>56</v>
      </c>
      <c r="E1082" t="s">
        <v>30</v>
      </c>
      <c r="F1082" t="s">
        <v>31</v>
      </c>
      <c r="G1082" t="s">
        <v>17</v>
      </c>
      <c r="H1082" t="s">
        <v>18</v>
      </c>
      <c r="I1082" t="s">
        <v>34</v>
      </c>
      <c r="J1082">
        <v>397</v>
      </c>
      <c r="K1082">
        <v>5</v>
      </c>
      <c r="L1082">
        <v>115.64</v>
      </c>
    </row>
    <row r="1083" spans="1:12" x14ac:dyDescent="0.3">
      <c r="A1083" t="s">
        <v>167</v>
      </c>
      <c r="B1083" s="1">
        <v>44793</v>
      </c>
      <c r="C1083" t="s">
        <v>82</v>
      </c>
      <c r="D1083" t="s">
        <v>90</v>
      </c>
      <c r="E1083" t="s">
        <v>23</v>
      </c>
      <c r="F1083" t="s">
        <v>31</v>
      </c>
      <c r="G1083" t="s">
        <v>17</v>
      </c>
      <c r="H1083" t="s">
        <v>33</v>
      </c>
      <c r="I1083" t="s">
        <v>59</v>
      </c>
      <c r="J1083">
        <v>363</v>
      </c>
      <c r="K1083">
        <v>5</v>
      </c>
      <c r="L1083">
        <v>149.27000000000001</v>
      </c>
    </row>
    <row r="1084" spans="1:12" x14ac:dyDescent="0.3">
      <c r="A1084" t="s">
        <v>168</v>
      </c>
      <c r="B1084" s="1">
        <v>44960</v>
      </c>
      <c r="C1084" t="s">
        <v>122</v>
      </c>
      <c r="D1084" t="s">
        <v>52</v>
      </c>
      <c r="E1084" t="s">
        <v>30</v>
      </c>
      <c r="F1084" t="s">
        <v>44</v>
      </c>
      <c r="G1084" t="s">
        <v>37</v>
      </c>
      <c r="H1084" t="s">
        <v>33</v>
      </c>
      <c r="I1084" t="s">
        <v>19</v>
      </c>
      <c r="J1084">
        <v>1125</v>
      </c>
      <c r="K1084">
        <v>3</v>
      </c>
      <c r="L1084">
        <v>235.65</v>
      </c>
    </row>
    <row r="1085" spans="1:12" x14ac:dyDescent="0.3">
      <c r="A1085" t="s">
        <v>169</v>
      </c>
      <c r="B1085" s="1">
        <v>44684</v>
      </c>
      <c r="C1085" t="s">
        <v>51</v>
      </c>
      <c r="D1085" t="s">
        <v>62</v>
      </c>
      <c r="E1085" t="s">
        <v>15</v>
      </c>
      <c r="F1085" t="s">
        <v>44</v>
      </c>
      <c r="G1085" t="s">
        <v>45</v>
      </c>
      <c r="H1085" t="s">
        <v>33</v>
      </c>
      <c r="I1085" t="s">
        <v>59</v>
      </c>
      <c r="J1085">
        <v>270</v>
      </c>
      <c r="K1085">
        <v>2</v>
      </c>
      <c r="L1085">
        <v>72.39</v>
      </c>
    </row>
    <row r="1086" spans="1:12" x14ac:dyDescent="0.3">
      <c r="A1086" t="s">
        <v>170</v>
      </c>
      <c r="B1086" s="1">
        <v>44940</v>
      </c>
      <c r="C1086" t="s">
        <v>148</v>
      </c>
      <c r="D1086" t="s">
        <v>43</v>
      </c>
      <c r="E1086" t="s">
        <v>30</v>
      </c>
      <c r="F1086" t="s">
        <v>16</v>
      </c>
      <c r="G1086" t="s">
        <v>17</v>
      </c>
      <c r="H1086" t="s">
        <v>49</v>
      </c>
      <c r="I1086" t="s">
        <v>59</v>
      </c>
      <c r="J1086">
        <v>727</v>
      </c>
      <c r="K1086">
        <v>1</v>
      </c>
      <c r="L1086">
        <v>7.69</v>
      </c>
    </row>
    <row r="1087" spans="1:12" x14ac:dyDescent="0.3">
      <c r="A1087" t="s">
        <v>171</v>
      </c>
      <c r="B1087" s="1">
        <v>44791</v>
      </c>
      <c r="C1087" t="s">
        <v>172</v>
      </c>
      <c r="D1087" t="s">
        <v>90</v>
      </c>
      <c r="E1087" t="s">
        <v>23</v>
      </c>
      <c r="F1087" t="s">
        <v>24</v>
      </c>
      <c r="G1087" t="s">
        <v>45</v>
      </c>
      <c r="H1087" t="s">
        <v>26</v>
      </c>
      <c r="I1087" t="s">
        <v>59</v>
      </c>
      <c r="J1087">
        <v>1489</v>
      </c>
      <c r="K1087">
        <v>2</v>
      </c>
      <c r="L1087">
        <v>197.35</v>
      </c>
    </row>
    <row r="1088" spans="1:12" x14ac:dyDescent="0.3">
      <c r="A1088" t="s">
        <v>173</v>
      </c>
      <c r="B1088" s="1">
        <v>45239</v>
      </c>
      <c r="C1088" t="s">
        <v>51</v>
      </c>
      <c r="D1088" t="s">
        <v>43</v>
      </c>
      <c r="E1088" t="s">
        <v>30</v>
      </c>
      <c r="F1088" t="s">
        <v>40</v>
      </c>
      <c r="G1088" t="s">
        <v>17</v>
      </c>
      <c r="H1088" t="s">
        <v>33</v>
      </c>
      <c r="I1088" t="s">
        <v>19</v>
      </c>
      <c r="J1088">
        <v>189</v>
      </c>
      <c r="K1088">
        <v>5</v>
      </c>
      <c r="L1088">
        <v>20.399999999999999</v>
      </c>
    </row>
    <row r="1089" spans="1:12" x14ac:dyDescent="0.3">
      <c r="A1089" t="s">
        <v>174</v>
      </c>
      <c r="B1089" s="1">
        <v>45067</v>
      </c>
      <c r="C1089" t="s">
        <v>104</v>
      </c>
      <c r="D1089" t="s">
        <v>56</v>
      </c>
      <c r="E1089" t="s">
        <v>30</v>
      </c>
      <c r="F1089" t="s">
        <v>24</v>
      </c>
      <c r="G1089" t="s">
        <v>45</v>
      </c>
      <c r="H1089" t="s">
        <v>26</v>
      </c>
      <c r="I1089" t="s">
        <v>34</v>
      </c>
      <c r="J1089">
        <v>923</v>
      </c>
      <c r="K1089">
        <v>4</v>
      </c>
      <c r="L1089">
        <v>65.349999999999994</v>
      </c>
    </row>
    <row r="1090" spans="1:12" x14ac:dyDescent="0.3">
      <c r="A1090" t="s">
        <v>175</v>
      </c>
      <c r="B1090" s="1">
        <v>44985</v>
      </c>
      <c r="C1090" t="s">
        <v>100</v>
      </c>
      <c r="D1090" t="s">
        <v>14</v>
      </c>
      <c r="E1090" t="s">
        <v>15</v>
      </c>
      <c r="F1090" t="s">
        <v>16</v>
      </c>
      <c r="G1090" t="s">
        <v>32</v>
      </c>
      <c r="H1090" t="s">
        <v>26</v>
      </c>
      <c r="I1090" t="s">
        <v>34</v>
      </c>
      <c r="J1090">
        <v>1288</v>
      </c>
      <c r="K1090">
        <v>2</v>
      </c>
      <c r="L1090">
        <v>171.14</v>
      </c>
    </row>
    <row r="1091" spans="1:12" x14ac:dyDescent="0.3">
      <c r="A1091" t="s">
        <v>176</v>
      </c>
      <c r="B1091" s="1">
        <v>44695</v>
      </c>
      <c r="C1091" t="s">
        <v>100</v>
      </c>
      <c r="D1091" t="s">
        <v>90</v>
      </c>
      <c r="E1091" t="s">
        <v>23</v>
      </c>
      <c r="F1091" t="s">
        <v>16</v>
      </c>
      <c r="G1091" t="s">
        <v>25</v>
      </c>
      <c r="H1091" t="s">
        <v>49</v>
      </c>
      <c r="I1091" t="s">
        <v>59</v>
      </c>
      <c r="J1091">
        <v>328</v>
      </c>
      <c r="K1091">
        <v>1</v>
      </c>
      <c r="L1091">
        <v>33.49</v>
      </c>
    </row>
    <row r="1092" spans="1:12" x14ac:dyDescent="0.3">
      <c r="A1092" t="s">
        <v>177</v>
      </c>
      <c r="B1092" s="1">
        <v>44598</v>
      </c>
      <c r="C1092" t="s">
        <v>39</v>
      </c>
      <c r="D1092" t="s">
        <v>29</v>
      </c>
      <c r="E1092" t="s">
        <v>30</v>
      </c>
      <c r="F1092" t="s">
        <v>16</v>
      </c>
      <c r="G1092" t="s">
        <v>32</v>
      </c>
      <c r="H1092" t="s">
        <v>18</v>
      </c>
      <c r="I1092" t="s">
        <v>19</v>
      </c>
      <c r="J1092">
        <v>619</v>
      </c>
      <c r="K1092">
        <v>5</v>
      </c>
      <c r="L1092">
        <v>355.94</v>
      </c>
    </row>
    <row r="1093" spans="1:12" x14ac:dyDescent="0.3">
      <c r="A1093" t="s">
        <v>178</v>
      </c>
      <c r="B1093" s="1">
        <v>45289</v>
      </c>
      <c r="C1093" t="s">
        <v>73</v>
      </c>
      <c r="D1093" t="s">
        <v>90</v>
      </c>
      <c r="E1093" t="s">
        <v>23</v>
      </c>
      <c r="F1093" t="s">
        <v>16</v>
      </c>
      <c r="G1093" t="s">
        <v>45</v>
      </c>
      <c r="H1093" t="s">
        <v>26</v>
      </c>
      <c r="I1093" t="s">
        <v>59</v>
      </c>
      <c r="J1093">
        <v>837</v>
      </c>
      <c r="K1093">
        <v>4</v>
      </c>
      <c r="L1093">
        <v>316.32</v>
      </c>
    </row>
    <row r="1094" spans="1:12" x14ac:dyDescent="0.3">
      <c r="A1094" t="s">
        <v>179</v>
      </c>
      <c r="B1094" s="1">
        <v>45161</v>
      </c>
      <c r="C1094" t="s">
        <v>180</v>
      </c>
      <c r="D1094" t="s">
        <v>22</v>
      </c>
      <c r="E1094" t="s">
        <v>23</v>
      </c>
      <c r="F1094" t="s">
        <v>31</v>
      </c>
      <c r="G1094" t="s">
        <v>25</v>
      </c>
      <c r="H1094" t="s">
        <v>49</v>
      </c>
      <c r="I1094" t="s">
        <v>19</v>
      </c>
      <c r="J1094">
        <v>62</v>
      </c>
      <c r="K1094">
        <v>3</v>
      </c>
      <c r="L1094">
        <v>18.07</v>
      </c>
    </row>
    <row r="1095" spans="1:12" x14ac:dyDescent="0.3">
      <c r="A1095" t="s">
        <v>181</v>
      </c>
      <c r="B1095" s="1">
        <v>44800</v>
      </c>
      <c r="C1095" t="s">
        <v>102</v>
      </c>
      <c r="D1095" t="s">
        <v>22</v>
      </c>
      <c r="E1095" t="s">
        <v>23</v>
      </c>
      <c r="F1095" t="s">
        <v>40</v>
      </c>
      <c r="G1095" t="s">
        <v>32</v>
      </c>
      <c r="H1095" t="s">
        <v>26</v>
      </c>
      <c r="I1095" t="s">
        <v>59</v>
      </c>
      <c r="J1095">
        <v>257</v>
      </c>
      <c r="K1095">
        <v>4</v>
      </c>
      <c r="L1095">
        <v>22.9</v>
      </c>
    </row>
    <row r="1096" spans="1:12" x14ac:dyDescent="0.3">
      <c r="A1096" t="s">
        <v>182</v>
      </c>
      <c r="B1096" s="1">
        <v>44901</v>
      </c>
      <c r="C1096" t="s">
        <v>28</v>
      </c>
      <c r="D1096" t="s">
        <v>90</v>
      </c>
      <c r="E1096" t="s">
        <v>23</v>
      </c>
      <c r="F1096" t="s">
        <v>24</v>
      </c>
      <c r="G1096" t="s">
        <v>37</v>
      </c>
      <c r="H1096" t="s">
        <v>26</v>
      </c>
      <c r="I1096" t="s">
        <v>59</v>
      </c>
      <c r="J1096">
        <v>788</v>
      </c>
      <c r="K1096">
        <v>1</v>
      </c>
      <c r="L1096">
        <v>90.82</v>
      </c>
    </row>
    <row r="1097" spans="1:12" x14ac:dyDescent="0.3">
      <c r="A1097" t="s">
        <v>183</v>
      </c>
      <c r="B1097" s="1">
        <v>45133</v>
      </c>
      <c r="C1097" t="s">
        <v>104</v>
      </c>
      <c r="D1097" t="s">
        <v>78</v>
      </c>
      <c r="E1097" t="s">
        <v>15</v>
      </c>
      <c r="F1097" t="s">
        <v>31</v>
      </c>
      <c r="G1097" t="s">
        <v>25</v>
      </c>
      <c r="H1097" t="s">
        <v>33</v>
      </c>
      <c r="I1097" t="s">
        <v>19</v>
      </c>
      <c r="J1097">
        <v>716</v>
      </c>
      <c r="K1097">
        <v>3</v>
      </c>
      <c r="L1097">
        <v>293.7</v>
      </c>
    </row>
    <row r="1098" spans="1:12" x14ac:dyDescent="0.3">
      <c r="A1098" t="s">
        <v>184</v>
      </c>
      <c r="B1098" s="1">
        <v>45267</v>
      </c>
      <c r="C1098" t="s">
        <v>92</v>
      </c>
      <c r="D1098" t="s">
        <v>78</v>
      </c>
      <c r="E1098" t="s">
        <v>15</v>
      </c>
      <c r="F1098" t="s">
        <v>16</v>
      </c>
      <c r="G1098" t="s">
        <v>45</v>
      </c>
      <c r="H1098" t="s">
        <v>33</v>
      </c>
      <c r="I1098" t="s">
        <v>19</v>
      </c>
      <c r="J1098">
        <v>231</v>
      </c>
      <c r="K1098">
        <v>4</v>
      </c>
      <c r="L1098">
        <v>13.06</v>
      </c>
    </row>
    <row r="1099" spans="1:12" x14ac:dyDescent="0.3">
      <c r="A1099" t="s">
        <v>185</v>
      </c>
      <c r="B1099" s="1">
        <v>44632</v>
      </c>
      <c r="C1099" t="s">
        <v>94</v>
      </c>
      <c r="D1099" t="s">
        <v>48</v>
      </c>
      <c r="E1099" t="s">
        <v>30</v>
      </c>
      <c r="F1099" t="s">
        <v>40</v>
      </c>
      <c r="G1099" t="s">
        <v>17</v>
      </c>
      <c r="H1099" t="s">
        <v>49</v>
      </c>
      <c r="I1099" t="s">
        <v>19</v>
      </c>
      <c r="J1099">
        <v>1448</v>
      </c>
      <c r="K1099">
        <v>3</v>
      </c>
      <c r="L1099">
        <v>416.51</v>
      </c>
    </row>
    <row r="1100" spans="1:12" x14ac:dyDescent="0.3">
      <c r="A1100" t="s">
        <v>186</v>
      </c>
      <c r="B1100" s="1">
        <v>44647</v>
      </c>
      <c r="C1100" t="s">
        <v>77</v>
      </c>
      <c r="D1100" t="s">
        <v>56</v>
      </c>
      <c r="E1100" t="s">
        <v>30</v>
      </c>
      <c r="F1100" t="s">
        <v>40</v>
      </c>
      <c r="G1100" t="s">
        <v>45</v>
      </c>
      <c r="H1100" t="s">
        <v>26</v>
      </c>
      <c r="I1100" t="s">
        <v>59</v>
      </c>
      <c r="J1100">
        <v>308</v>
      </c>
      <c r="K1100">
        <v>4</v>
      </c>
      <c r="L1100">
        <v>11.77</v>
      </c>
    </row>
    <row r="1101" spans="1:12" x14ac:dyDescent="0.3">
      <c r="A1101" t="s">
        <v>187</v>
      </c>
      <c r="B1101" s="1">
        <v>44831</v>
      </c>
      <c r="C1101" t="s">
        <v>39</v>
      </c>
      <c r="D1101" t="s">
        <v>52</v>
      </c>
      <c r="E1101" t="s">
        <v>30</v>
      </c>
      <c r="F1101" t="s">
        <v>24</v>
      </c>
      <c r="G1101" t="s">
        <v>32</v>
      </c>
      <c r="H1101" t="s">
        <v>33</v>
      </c>
      <c r="I1101" t="s">
        <v>59</v>
      </c>
      <c r="J1101">
        <v>1048</v>
      </c>
      <c r="K1101">
        <v>1</v>
      </c>
      <c r="L1101">
        <v>99.88</v>
      </c>
    </row>
    <row r="1102" spans="1:12" x14ac:dyDescent="0.3">
      <c r="A1102" t="s">
        <v>188</v>
      </c>
      <c r="B1102" s="1">
        <v>45016</v>
      </c>
      <c r="C1102" t="s">
        <v>89</v>
      </c>
      <c r="D1102" t="s">
        <v>52</v>
      </c>
      <c r="E1102" t="s">
        <v>30</v>
      </c>
      <c r="F1102" t="s">
        <v>31</v>
      </c>
      <c r="G1102" t="s">
        <v>37</v>
      </c>
      <c r="H1102" t="s">
        <v>26</v>
      </c>
      <c r="I1102" t="s">
        <v>59</v>
      </c>
      <c r="J1102">
        <v>1175</v>
      </c>
      <c r="K1102">
        <v>5</v>
      </c>
      <c r="L1102">
        <v>772.75</v>
      </c>
    </row>
    <row r="1103" spans="1:12" x14ac:dyDescent="0.3">
      <c r="A1103" t="s">
        <v>189</v>
      </c>
      <c r="B1103" s="1">
        <v>44928</v>
      </c>
      <c r="C1103" t="s">
        <v>127</v>
      </c>
      <c r="D1103" t="s">
        <v>52</v>
      </c>
      <c r="E1103" t="s">
        <v>30</v>
      </c>
      <c r="F1103" t="s">
        <v>24</v>
      </c>
      <c r="G1103" t="s">
        <v>17</v>
      </c>
      <c r="H1103" t="s">
        <v>33</v>
      </c>
      <c r="I1103" t="s">
        <v>19</v>
      </c>
      <c r="J1103">
        <v>1039</v>
      </c>
      <c r="K1103">
        <v>4</v>
      </c>
      <c r="L1103">
        <v>366.42</v>
      </c>
    </row>
    <row r="1104" spans="1:12" x14ac:dyDescent="0.3">
      <c r="A1104" t="s">
        <v>190</v>
      </c>
      <c r="B1104" s="1">
        <v>45030</v>
      </c>
      <c r="C1104" t="s">
        <v>191</v>
      </c>
      <c r="D1104" t="s">
        <v>62</v>
      </c>
      <c r="E1104" t="s">
        <v>15</v>
      </c>
      <c r="F1104" t="s">
        <v>44</v>
      </c>
      <c r="G1104" t="s">
        <v>45</v>
      </c>
      <c r="H1104" t="s">
        <v>49</v>
      </c>
      <c r="I1104" t="s">
        <v>34</v>
      </c>
      <c r="J1104">
        <v>431</v>
      </c>
      <c r="K1104">
        <v>4</v>
      </c>
      <c r="L1104">
        <v>140.76</v>
      </c>
    </row>
    <row r="1105" spans="1:12" x14ac:dyDescent="0.3">
      <c r="A1105" t="s">
        <v>192</v>
      </c>
      <c r="B1105" s="1">
        <v>45126</v>
      </c>
      <c r="C1105" t="s">
        <v>69</v>
      </c>
      <c r="D1105" t="s">
        <v>14</v>
      </c>
      <c r="E1105" t="s">
        <v>15</v>
      </c>
      <c r="F1105" t="s">
        <v>40</v>
      </c>
      <c r="G1105" t="s">
        <v>45</v>
      </c>
      <c r="H1105" t="s">
        <v>33</v>
      </c>
      <c r="I1105" t="s">
        <v>19</v>
      </c>
      <c r="J1105">
        <v>952</v>
      </c>
      <c r="K1105">
        <v>5</v>
      </c>
      <c r="L1105">
        <v>11.45</v>
      </c>
    </row>
    <row r="1106" spans="1:12" x14ac:dyDescent="0.3">
      <c r="A1106" t="s">
        <v>193</v>
      </c>
      <c r="B1106" s="1">
        <v>44922</v>
      </c>
      <c r="C1106" t="s">
        <v>28</v>
      </c>
      <c r="D1106" t="s">
        <v>29</v>
      </c>
      <c r="E1106" t="s">
        <v>30</v>
      </c>
      <c r="F1106" t="s">
        <v>16</v>
      </c>
      <c r="G1106" t="s">
        <v>37</v>
      </c>
      <c r="H1106" t="s">
        <v>26</v>
      </c>
      <c r="I1106" t="s">
        <v>34</v>
      </c>
      <c r="J1106">
        <v>1348</v>
      </c>
      <c r="K1106">
        <v>3</v>
      </c>
      <c r="L1106">
        <v>489.4</v>
      </c>
    </row>
    <row r="1107" spans="1:12" x14ac:dyDescent="0.3">
      <c r="A1107" t="s">
        <v>194</v>
      </c>
      <c r="B1107" s="1">
        <v>45260</v>
      </c>
      <c r="C1107" t="s">
        <v>39</v>
      </c>
      <c r="D1107" t="s">
        <v>90</v>
      </c>
      <c r="E1107" t="s">
        <v>23</v>
      </c>
      <c r="F1107" t="s">
        <v>44</v>
      </c>
      <c r="G1107" t="s">
        <v>17</v>
      </c>
      <c r="H1107" t="s">
        <v>18</v>
      </c>
      <c r="I1107" t="s">
        <v>34</v>
      </c>
      <c r="J1107">
        <v>401</v>
      </c>
      <c r="K1107">
        <v>5</v>
      </c>
      <c r="L1107">
        <v>78.319999999999993</v>
      </c>
    </row>
    <row r="1108" spans="1:12" x14ac:dyDescent="0.3">
      <c r="A1108" t="s">
        <v>195</v>
      </c>
      <c r="B1108" s="1">
        <v>44751</v>
      </c>
      <c r="C1108" t="s">
        <v>154</v>
      </c>
      <c r="D1108" t="s">
        <v>29</v>
      </c>
      <c r="E1108" t="s">
        <v>30</v>
      </c>
      <c r="F1108" t="s">
        <v>40</v>
      </c>
      <c r="G1108" t="s">
        <v>37</v>
      </c>
      <c r="H1108" t="s">
        <v>33</v>
      </c>
      <c r="I1108" t="s">
        <v>59</v>
      </c>
      <c r="J1108">
        <v>573</v>
      </c>
      <c r="K1108">
        <v>4</v>
      </c>
      <c r="L1108">
        <v>122.04</v>
      </c>
    </row>
    <row r="1109" spans="1:12" x14ac:dyDescent="0.3">
      <c r="A1109" t="s">
        <v>196</v>
      </c>
      <c r="B1109" s="1">
        <v>44720</v>
      </c>
      <c r="C1109" t="s">
        <v>98</v>
      </c>
      <c r="D1109" t="s">
        <v>56</v>
      </c>
      <c r="E1109" t="s">
        <v>30</v>
      </c>
      <c r="F1109" t="s">
        <v>40</v>
      </c>
      <c r="G1109" t="s">
        <v>25</v>
      </c>
      <c r="H1109" t="s">
        <v>26</v>
      </c>
      <c r="I1109" t="s">
        <v>59</v>
      </c>
      <c r="J1109">
        <v>520</v>
      </c>
      <c r="K1109">
        <v>5</v>
      </c>
      <c r="L1109">
        <v>108.27</v>
      </c>
    </row>
    <row r="1110" spans="1:12" x14ac:dyDescent="0.3">
      <c r="A1110" t="s">
        <v>197</v>
      </c>
      <c r="B1110" s="1">
        <v>44954</v>
      </c>
      <c r="C1110" t="s">
        <v>85</v>
      </c>
      <c r="D1110" t="s">
        <v>52</v>
      </c>
      <c r="E1110" t="s">
        <v>30</v>
      </c>
      <c r="F1110" t="s">
        <v>44</v>
      </c>
      <c r="G1110" t="s">
        <v>25</v>
      </c>
      <c r="H1110" t="s">
        <v>18</v>
      </c>
      <c r="I1110" t="s">
        <v>34</v>
      </c>
      <c r="J1110">
        <v>241</v>
      </c>
      <c r="K1110">
        <v>4</v>
      </c>
      <c r="L1110">
        <v>76.790000000000006</v>
      </c>
    </row>
    <row r="1111" spans="1:12" x14ac:dyDescent="0.3">
      <c r="A1111" t="s">
        <v>198</v>
      </c>
      <c r="B1111" s="1">
        <v>45220</v>
      </c>
      <c r="C1111" t="s">
        <v>107</v>
      </c>
      <c r="D1111" t="s">
        <v>43</v>
      </c>
      <c r="E1111" t="s">
        <v>30</v>
      </c>
      <c r="F1111" t="s">
        <v>24</v>
      </c>
      <c r="G1111" t="s">
        <v>25</v>
      </c>
      <c r="H1111" t="s">
        <v>18</v>
      </c>
      <c r="I1111" t="s">
        <v>34</v>
      </c>
      <c r="J1111">
        <v>779</v>
      </c>
      <c r="K1111">
        <v>5</v>
      </c>
      <c r="L1111">
        <v>513.51</v>
      </c>
    </row>
    <row r="1112" spans="1:12" x14ac:dyDescent="0.3">
      <c r="A1112" t="s">
        <v>199</v>
      </c>
      <c r="B1112" s="1">
        <v>45001</v>
      </c>
      <c r="C1112" t="s">
        <v>64</v>
      </c>
      <c r="D1112" t="s">
        <v>56</v>
      </c>
      <c r="E1112" t="s">
        <v>30</v>
      </c>
      <c r="F1112" t="s">
        <v>44</v>
      </c>
      <c r="G1112" t="s">
        <v>32</v>
      </c>
      <c r="H1112" t="s">
        <v>49</v>
      </c>
      <c r="I1112" t="s">
        <v>59</v>
      </c>
      <c r="J1112">
        <v>967</v>
      </c>
      <c r="K1112">
        <v>5</v>
      </c>
      <c r="L1112">
        <v>248.22</v>
      </c>
    </row>
    <row r="1113" spans="1:12" x14ac:dyDescent="0.3">
      <c r="A1113" t="s">
        <v>200</v>
      </c>
      <c r="B1113" s="1">
        <v>45135</v>
      </c>
      <c r="C1113" t="s">
        <v>140</v>
      </c>
      <c r="D1113" t="s">
        <v>62</v>
      </c>
      <c r="E1113" t="s">
        <v>15</v>
      </c>
      <c r="F1113" t="s">
        <v>16</v>
      </c>
      <c r="G1113" t="s">
        <v>17</v>
      </c>
      <c r="H1113" t="s">
        <v>26</v>
      </c>
      <c r="I1113" t="s">
        <v>34</v>
      </c>
      <c r="J1113">
        <v>1157</v>
      </c>
      <c r="K1113">
        <v>1</v>
      </c>
      <c r="L1113">
        <v>167.84</v>
      </c>
    </row>
    <row r="1114" spans="1:12" x14ac:dyDescent="0.3">
      <c r="A1114" t="s">
        <v>201</v>
      </c>
      <c r="B1114" s="1">
        <v>44631</v>
      </c>
      <c r="C1114" t="s">
        <v>51</v>
      </c>
      <c r="D1114" t="s">
        <v>48</v>
      </c>
      <c r="E1114" t="s">
        <v>30</v>
      </c>
      <c r="F1114" t="s">
        <v>24</v>
      </c>
      <c r="G1114" t="s">
        <v>32</v>
      </c>
      <c r="H1114" t="s">
        <v>33</v>
      </c>
      <c r="I1114" t="s">
        <v>59</v>
      </c>
      <c r="J1114">
        <v>475</v>
      </c>
      <c r="K1114">
        <v>3</v>
      </c>
      <c r="L1114">
        <v>9.91</v>
      </c>
    </row>
    <row r="1115" spans="1:12" x14ac:dyDescent="0.3">
      <c r="A1115" t="s">
        <v>202</v>
      </c>
      <c r="B1115" s="1">
        <v>44991</v>
      </c>
      <c r="C1115" t="s">
        <v>96</v>
      </c>
      <c r="D1115" t="s">
        <v>43</v>
      </c>
      <c r="E1115" t="s">
        <v>30</v>
      </c>
      <c r="F1115" t="s">
        <v>16</v>
      </c>
      <c r="G1115" t="s">
        <v>45</v>
      </c>
      <c r="H1115" t="s">
        <v>26</v>
      </c>
      <c r="I1115" t="s">
        <v>19</v>
      </c>
      <c r="J1115">
        <v>166</v>
      </c>
      <c r="K1115">
        <v>5</v>
      </c>
      <c r="L1115">
        <v>95.01</v>
      </c>
    </row>
    <row r="1116" spans="1:12" x14ac:dyDescent="0.3">
      <c r="A1116" t="s">
        <v>203</v>
      </c>
      <c r="B1116" s="1">
        <v>44809</v>
      </c>
      <c r="C1116" t="s">
        <v>119</v>
      </c>
      <c r="D1116" t="s">
        <v>29</v>
      </c>
      <c r="E1116" t="s">
        <v>30</v>
      </c>
      <c r="F1116" t="s">
        <v>44</v>
      </c>
      <c r="G1116" t="s">
        <v>37</v>
      </c>
      <c r="H1116" t="s">
        <v>26</v>
      </c>
      <c r="I1116" t="s">
        <v>19</v>
      </c>
      <c r="J1116">
        <v>385</v>
      </c>
      <c r="K1116">
        <v>5</v>
      </c>
      <c r="L1116">
        <v>131.96</v>
      </c>
    </row>
    <row r="1117" spans="1:12" x14ac:dyDescent="0.3">
      <c r="A1117" t="s">
        <v>204</v>
      </c>
      <c r="B1117" s="1">
        <v>44648</v>
      </c>
      <c r="C1117" t="s">
        <v>162</v>
      </c>
      <c r="D1117" t="s">
        <v>48</v>
      </c>
      <c r="E1117" t="s">
        <v>30</v>
      </c>
      <c r="F1117" t="s">
        <v>31</v>
      </c>
      <c r="G1117" t="s">
        <v>32</v>
      </c>
      <c r="H1117" t="s">
        <v>49</v>
      </c>
      <c r="I1117" t="s">
        <v>34</v>
      </c>
      <c r="J1117">
        <v>479</v>
      </c>
      <c r="K1117">
        <v>1</v>
      </c>
      <c r="L1117">
        <v>70.44</v>
      </c>
    </row>
    <row r="1118" spans="1:12" x14ac:dyDescent="0.3">
      <c r="A1118" t="s">
        <v>205</v>
      </c>
      <c r="B1118" s="1">
        <v>45126</v>
      </c>
      <c r="C1118" t="s">
        <v>71</v>
      </c>
      <c r="D1118" t="s">
        <v>48</v>
      </c>
      <c r="E1118" t="s">
        <v>30</v>
      </c>
      <c r="F1118" t="s">
        <v>40</v>
      </c>
      <c r="G1118" t="s">
        <v>25</v>
      </c>
      <c r="H1118" t="s">
        <v>26</v>
      </c>
      <c r="I1118" t="s">
        <v>59</v>
      </c>
      <c r="J1118">
        <v>177</v>
      </c>
      <c r="K1118">
        <v>4</v>
      </c>
      <c r="L1118">
        <v>62.93</v>
      </c>
    </row>
    <row r="1119" spans="1:12" x14ac:dyDescent="0.3">
      <c r="A1119" t="s">
        <v>206</v>
      </c>
      <c r="B1119" s="1">
        <v>44576</v>
      </c>
      <c r="C1119" t="s">
        <v>21</v>
      </c>
      <c r="D1119" t="s">
        <v>14</v>
      </c>
      <c r="E1119" t="s">
        <v>15</v>
      </c>
      <c r="F1119" t="s">
        <v>24</v>
      </c>
      <c r="G1119" t="s">
        <v>45</v>
      </c>
      <c r="H1119" t="s">
        <v>18</v>
      </c>
      <c r="I1119" t="s">
        <v>34</v>
      </c>
      <c r="J1119">
        <v>557</v>
      </c>
      <c r="K1119">
        <v>3</v>
      </c>
      <c r="L1119">
        <v>99.38</v>
      </c>
    </row>
    <row r="1120" spans="1:12" x14ac:dyDescent="0.3">
      <c r="A1120" t="s">
        <v>207</v>
      </c>
      <c r="B1120" s="1">
        <v>44811</v>
      </c>
      <c r="C1120" t="s">
        <v>107</v>
      </c>
      <c r="D1120" t="s">
        <v>14</v>
      </c>
      <c r="E1120" t="s">
        <v>15</v>
      </c>
      <c r="F1120" t="s">
        <v>40</v>
      </c>
      <c r="G1120" t="s">
        <v>45</v>
      </c>
      <c r="H1120" t="s">
        <v>18</v>
      </c>
      <c r="I1120" t="s">
        <v>19</v>
      </c>
      <c r="J1120">
        <v>617</v>
      </c>
      <c r="K1120">
        <v>4</v>
      </c>
      <c r="L1120">
        <v>214.91</v>
      </c>
    </row>
    <row r="1121" spans="1:12" x14ac:dyDescent="0.3">
      <c r="A1121" t="s">
        <v>208</v>
      </c>
      <c r="B1121" s="1">
        <v>45093</v>
      </c>
      <c r="C1121" t="s">
        <v>119</v>
      </c>
      <c r="D1121" t="s">
        <v>22</v>
      </c>
      <c r="E1121" t="s">
        <v>23</v>
      </c>
      <c r="F1121" t="s">
        <v>24</v>
      </c>
      <c r="G1121" t="s">
        <v>25</v>
      </c>
      <c r="H1121" t="s">
        <v>33</v>
      </c>
      <c r="I1121" t="s">
        <v>19</v>
      </c>
      <c r="J1121">
        <v>326</v>
      </c>
      <c r="K1121">
        <v>1</v>
      </c>
      <c r="L1121">
        <v>18.37</v>
      </c>
    </row>
    <row r="1122" spans="1:12" x14ac:dyDescent="0.3">
      <c r="A1122" t="s">
        <v>209</v>
      </c>
      <c r="B1122" s="1">
        <v>45236</v>
      </c>
      <c r="C1122" t="s">
        <v>104</v>
      </c>
      <c r="D1122" t="s">
        <v>29</v>
      </c>
      <c r="E1122" t="s">
        <v>30</v>
      </c>
      <c r="F1122" t="s">
        <v>24</v>
      </c>
      <c r="G1122" t="s">
        <v>45</v>
      </c>
      <c r="H1122" t="s">
        <v>26</v>
      </c>
      <c r="I1122" t="s">
        <v>59</v>
      </c>
      <c r="J1122">
        <v>1013</v>
      </c>
      <c r="K1122">
        <v>2</v>
      </c>
      <c r="L1122">
        <v>65.239999999999995</v>
      </c>
    </row>
    <row r="1123" spans="1:12" x14ac:dyDescent="0.3">
      <c r="A1123" t="s">
        <v>210</v>
      </c>
      <c r="B1123" s="1">
        <v>45045</v>
      </c>
      <c r="C1123" t="s">
        <v>94</v>
      </c>
      <c r="D1123" t="s">
        <v>43</v>
      </c>
      <c r="E1123" t="s">
        <v>30</v>
      </c>
      <c r="F1123" t="s">
        <v>16</v>
      </c>
      <c r="G1123" t="s">
        <v>17</v>
      </c>
      <c r="H1123" t="s">
        <v>18</v>
      </c>
      <c r="I1123" t="s">
        <v>59</v>
      </c>
      <c r="J1123">
        <v>609</v>
      </c>
      <c r="K1123">
        <v>1</v>
      </c>
      <c r="L1123">
        <v>66.27</v>
      </c>
    </row>
    <row r="1124" spans="1:12" x14ac:dyDescent="0.3">
      <c r="A1124" t="s">
        <v>211</v>
      </c>
      <c r="B1124" s="1">
        <v>44986</v>
      </c>
      <c r="C1124" t="s">
        <v>13</v>
      </c>
      <c r="D1124" t="s">
        <v>22</v>
      </c>
      <c r="E1124" t="s">
        <v>23</v>
      </c>
      <c r="F1124" t="s">
        <v>40</v>
      </c>
      <c r="G1124" t="s">
        <v>25</v>
      </c>
      <c r="H1124" t="s">
        <v>26</v>
      </c>
      <c r="I1124" t="s">
        <v>19</v>
      </c>
      <c r="J1124">
        <v>522</v>
      </c>
      <c r="K1124">
        <v>1</v>
      </c>
      <c r="L1124">
        <v>75.010000000000005</v>
      </c>
    </row>
    <row r="1125" spans="1:12" x14ac:dyDescent="0.3">
      <c r="A1125" t="s">
        <v>212</v>
      </c>
      <c r="B1125" s="1">
        <v>44875</v>
      </c>
      <c r="C1125" t="s">
        <v>94</v>
      </c>
      <c r="D1125" t="s">
        <v>43</v>
      </c>
      <c r="E1125" t="s">
        <v>30</v>
      </c>
      <c r="F1125" t="s">
        <v>31</v>
      </c>
      <c r="G1125" t="s">
        <v>45</v>
      </c>
      <c r="H1125" t="s">
        <v>18</v>
      </c>
      <c r="I1125" t="s">
        <v>34</v>
      </c>
      <c r="J1125">
        <v>180</v>
      </c>
      <c r="K1125">
        <v>1</v>
      </c>
      <c r="L1125">
        <v>1.5</v>
      </c>
    </row>
    <row r="1126" spans="1:12" x14ac:dyDescent="0.3">
      <c r="A1126" t="s">
        <v>213</v>
      </c>
      <c r="B1126" s="1">
        <v>45242</v>
      </c>
      <c r="C1126" t="s">
        <v>58</v>
      </c>
      <c r="D1126" t="s">
        <v>43</v>
      </c>
      <c r="E1126" t="s">
        <v>30</v>
      </c>
      <c r="F1126" t="s">
        <v>44</v>
      </c>
      <c r="G1126" t="s">
        <v>37</v>
      </c>
      <c r="H1126" t="s">
        <v>33</v>
      </c>
      <c r="I1126" t="s">
        <v>59</v>
      </c>
      <c r="J1126">
        <v>1171</v>
      </c>
      <c r="K1126">
        <v>3</v>
      </c>
      <c r="L1126">
        <v>17.809999999999999</v>
      </c>
    </row>
    <row r="1127" spans="1:12" x14ac:dyDescent="0.3">
      <c r="A1127" t="s">
        <v>214</v>
      </c>
      <c r="B1127" s="1">
        <v>45205</v>
      </c>
      <c r="C1127" t="s">
        <v>94</v>
      </c>
      <c r="D1127" t="s">
        <v>29</v>
      </c>
      <c r="E1127" t="s">
        <v>30</v>
      </c>
      <c r="F1127" t="s">
        <v>31</v>
      </c>
      <c r="G1127" t="s">
        <v>25</v>
      </c>
      <c r="H1127" t="s">
        <v>49</v>
      </c>
      <c r="I1127" t="s">
        <v>34</v>
      </c>
      <c r="J1127">
        <v>68</v>
      </c>
      <c r="K1127">
        <v>4</v>
      </c>
      <c r="L1127">
        <v>26.62</v>
      </c>
    </row>
    <row r="1128" spans="1:12" x14ac:dyDescent="0.3">
      <c r="A1128" t="s">
        <v>215</v>
      </c>
      <c r="B1128" s="1">
        <v>44973</v>
      </c>
      <c r="C1128" t="s">
        <v>89</v>
      </c>
      <c r="D1128" t="s">
        <v>29</v>
      </c>
      <c r="E1128" t="s">
        <v>30</v>
      </c>
      <c r="F1128" t="s">
        <v>24</v>
      </c>
      <c r="G1128" t="s">
        <v>32</v>
      </c>
      <c r="H1128" t="s">
        <v>26</v>
      </c>
      <c r="I1128" t="s">
        <v>34</v>
      </c>
      <c r="J1128">
        <v>972</v>
      </c>
      <c r="K1128">
        <v>4</v>
      </c>
      <c r="L1128">
        <v>424.88</v>
      </c>
    </row>
    <row r="1129" spans="1:12" x14ac:dyDescent="0.3">
      <c r="A1129" t="s">
        <v>216</v>
      </c>
      <c r="B1129" s="1">
        <v>44872</v>
      </c>
      <c r="C1129" t="s">
        <v>100</v>
      </c>
      <c r="D1129" t="s">
        <v>90</v>
      </c>
      <c r="E1129" t="s">
        <v>23</v>
      </c>
      <c r="F1129" t="s">
        <v>31</v>
      </c>
      <c r="G1129" t="s">
        <v>37</v>
      </c>
      <c r="H1129" t="s">
        <v>18</v>
      </c>
      <c r="I1129" t="s">
        <v>19</v>
      </c>
      <c r="J1129">
        <v>1323</v>
      </c>
      <c r="K1129">
        <v>5</v>
      </c>
      <c r="L1129">
        <v>898.6</v>
      </c>
    </row>
    <row r="1130" spans="1:12" x14ac:dyDescent="0.3">
      <c r="A1130" t="s">
        <v>217</v>
      </c>
      <c r="B1130" s="1">
        <v>45125</v>
      </c>
      <c r="C1130" t="s">
        <v>69</v>
      </c>
      <c r="D1130" t="s">
        <v>78</v>
      </c>
      <c r="E1130" t="s">
        <v>15</v>
      </c>
      <c r="F1130" t="s">
        <v>16</v>
      </c>
      <c r="G1130" t="s">
        <v>25</v>
      </c>
      <c r="H1130" t="s">
        <v>18</v>
      </c>
      <c r="I1130" t="s">
        <v>59</v>
      </c>
      <c r="J1130">
        <v>467</v>
      </c>
      <c r="K1130">
        <v>1</v>
      </c>
      <c r="L1130">
        <v>12.06</v>
      </c>
    </row>
    <row r="1131" spans="1:12" x14ac:dyDescent="0.3">
      <c r="A1131" t="s">
        <v>218</v>
      </c>
      <c r="B1131" s="1">
        <v>44793</v>
      </c>
      <c r="C1131" t="s">
        <v>219</v>
      </c>
      <c r="D1131" t="s">
        <v>78</v>
      </c>
      <c r="E1131" t="s">
        <v>15</v>
      </c>
      <c r="F1131" t="s">
        <v>16</v>
      </c>
      <c r="G1131" t="s">
        <v>45</v>
      </c>
      <c r="H1131" t="s">
        <v>33</v>
      </c>
      <c r="I1131" t="s">
        <v>19</v>
      </c>
      <c r="J1131">
        <v>95</v>
      </c>
      <c r="K1131">
        <v>4</v>
      </c>
      <c r="L1131">
        <v>9.6999999999999993</v>
      </c>
    </row>
    <row r="1132" spans="1:12" x14ac:dyDescent="0.3">
      <c r="A1132" t="s">
        <v>220</v>
      </c>
      <c r="B1132" s="1">
        <v>45252</v>
      </c>
      <c r="C1132" t="s">
        <v>64</v>
      </c>
      <c r="D1132" t="s">
        <v>62</v>
      </c>
      <c r="E1132" t="s">
        <v>15</v>
      </c>
      <c r="F1132" t="s">
        <v>24</v>
      </c>
      <c r="G1132" t="s">
        <v>17</v>
      </c>
      <c r="H1132" t="s">
        <v>33</v>
      </c>
      <c r="I1132" t="s">
        <v>19</v>
      </c>
      <c r="J1132">
        <v>808</v>
      </c>
      <c r="K1132">
        <v>4</v>
      </c>
      <c r="L1132">
        <v>308.98</v>
      </c>
    </row>
    <row r="1133" spans="1:12" x14ac:dyDescent="0.3">
      <c r="A1133" t="s">
        <v>221</v>
      </c>
      <c r="B1133" s="1">
        <v>44896</v>
      </c>
      <c r="C1133" t="s">
        <v>28</v>
      </c>
      <c r="D1133" t="s">
        <v>52</v>
      </c>
      <c r="E1133" t="s">
        <v>30</v>
      </c>
      <c r="F1133" t="s">
        <v>44</v>
      </c>
      <c r="G1133" t="s">
        <v>32</v>
      </c>
      <c r="H1133" t="s">
        <v>18</v>
      </c>
      <c r="I1133" t="s">
        <v>34</v>
      </c>
      <c r="J1133">
        <v>189</v>
      </c>
      <c r="K1133">
        <v>5</v>
      </c>
      <c r="L1133">
        <v>42.72</v>
      </c>
    </row>
    <row r="1134" spans="1:12" x14ac:dyDescent="0.3">
      <c r="A1134" t="s">
        <v>222</v>
      </c>
      <c r="B1134" s="1">
        <v>44865</v>
      </c>
      <c r="C1134" t="s">
        <v>154</v>
      </c>
      <c r="D1134" t="s">
        <v>43</v>
      </c>
      <c r="E1134" t="s">
        <v>30</v>
      </c>
      <c r="F1134" t="s">
        <v>40</v>
      </c>
      <c r="G1134" t="s">
        <v>37</v>
      </c>
      <c r="H1134" t="s">
        <v>26</v>
      </c>
      <c r="I1134" t="s">
        <v>34</v>
      </c>
      <c r="J1134">
        <v>1453</v>
      </c>
      <c r="K1134">
        <v>1</v>
      </c>
      <c r="L1134">
        <v>106.23</v>
      </c>
    </row>
    <row r="1135" spans="1:12" x14ac:dyDescent="0.3">
      <c r="A1135" t="s">
        <v>223</v>
      </c>
      <c r="B1135" s="1">
        <v>44985</v>
      </c>
      <c r="C1135" t="s">
        <v>172</v>
      </c>
      <c r="D1135" t="s">
        <v>22</v>
      </c>
      <c r="E1135" t="s">
        <v>23</v>
      </c>
      <c r="F1135" t="s">
        <v>16</v>
      </c>
      <c r="G1135" t="s">
        <v>45</v>
      </c>
      <c r="H1135" t="s">
        <v>18</v>
      </c>
      <c r="I1135" t="s">
        <v>19</v>
      </c>
      <c r="J1135">
        <v>1041</v>
      </c>
      <c r="K1135">
        <v>1</v>
      </c>
      <c r="L1135">
        <v>137.27000000000001</v>
      </c>
    </row>
    <row r="1136" spans="1:12" x14ac:dyDescent="0.3">
      <c r="A1136" t="s">
        <v>224</v>
      </c>
      <c r="B1136" s="1">
        <v>44612</v>
      </c>
      <c r="C1136" t="s">
        <v>55</v>
      </c>
      <c r="D1136" t="s">
        <v>78</v>
      </c>
      <c r="E1136" t="s">
        <v>15</v>
      </c>
      <c r="F1136" t="s">
        <v>31</v>
      </c>
      <c r="G1136" t="s">
        <v>32</v>
      </c>
      <c r="H1136" t="s">
        <v>49</v>
      </c>
      <c r="I1136" t="s">
        <v>19</v>
      </c>
      <c r="J1136">
        <v>1073</v>
      </c>
      <c r="K1136">
        <v>4</v>
      </c>
      <c r="L1136">
        <v>541.16999999999996</v>
      </c>
    </row>
    <row r="1137" spans="1:12" x14ac:dyDescent="0.3">
      <c r="A1137" t="s">
        <v>225</v>
      </c>
      <c r="B1137" s="1">
        <v>44762</v>
      </c>
      <c r="C1137" t="s">
        <v>71</v>
      </c>
      <c r="D1137" t="s">
        <v>22</v>
      </c>
      <c r="E1137" t="s">
        <v>23</v>
      </c>
      <c r="F1137" t="s">
        <v>40</v>
      </c>
      <c r="G1137" t="s">
        <v>45</v>
      </c>
      <c r="H1137" t="s">
        <v>26</v>
      </c>
      <c r="I1137" t="s">
        <v>19</v>
      </c>
      <c r="J1137">
        <v>1215</v>
      </c>
      <c r="K1137">
        <v>3</v>
      </c>
      <c r="L1137">
        <v>127.94</v>
      </c>
    </row>
    <row r="1138" spans="1:12" x14ac:dyDescent="0.3">
      <c r="A1138" t="s">
        <v>226</v>
      </c>
      <c r="B1138" s="1">
        <v>44993</v>
      </c>
      <c r="C1138" t="s">
        <v>113</v>
      </c>
      <c r="D1138" t="s">
        <v>78</v>
      </c>
      <c r="E1138" t="s">
        <v>15</v>
      </c>
      <c r="F1138" t="s">
        <v>24</v>
      </c>
      <c r="G1138" t="s">
        <v>17</v>
      </c>
      <c r="H1138" t="s">
        <v>26</v>
      </c>
      <c r="I1138" t="s">
        <v>59</v>
      </c>
      <c r="J1138">
        <v>595</v>
      </c>
      <c r="K1138">
        <v>4</v>
      </c>
      <c r="L1138">
        <v>275.75</v>
      </c>
    </row>
    <row r="1139" spans="1:12" x14ac:dyDescent="0.3">
      <c r="A1139" t="s">
        <v>227</v>
      </c>
      <c r="B1139" s="1">
        <v>44686</v>
      </c>
      <c r="C1139" t="s">
        <v>36</v>
      </c>
      <c r="D1139" t="s">
        <v>56</v>
      </c>
      <c r="E1139" t="s">
        <v>30</v>
      </c>
      <c r="F1139" t="s">
        <v>31</v>
      </c>
      <c r="G1139" t="s">
        <v>17</v>
      </c>
      <c r="H1139" t="s">
        <v>49</v>
      </c>
      <c r="I1139" t="s">
        <v>59</v>
      </c>
      <c r="J1139">
        <v>286</v>
      </c>
      <c r="K1139">
        <v>5</v>
      </c>
      <c r="L1139">
        <v>105.61</v>
      </c>
    </row>
    <row r="1140" spans="1:12" x14ac:dyDescent="0.3">
      <c r="A1140" t="s">
        <v>228</v>
      </c>
      <c r="B1140" s="1">
        <v>44723</v>
      </c>
      <c r="C1140" t="s">
        <v>73</v>
      </c>
      <c r="D1140" t="s">
        <v>56</v>
      </c>
      <c r="E1140" t="s">
        <v>30</v>
      </c>
      <c r="F1140" t="s">
        <v>40</v>
      </c>
      <c r="G1140" t="s">
        <v>17</v>
      </c>
      <c r="H1140" t="s">
        <v>26</v>
      </c>
      <c r="I1140" t="s">
        <v>34</v>
      </c>
      <c r="J1140">
        <v>514</v>
      </c>
      <c r="K1140">
        <v>3</v>
      </c>
      <c r="L1140">
        <v>79.180000000000007</v>
      </c>
    </row>
    <row r="1141" spans="1:12" x14ac:dyDescent="0.3">
      <c r="A1141" t="s">
        <v>229</v>
      </c>
      <c r="B1141" s="1">
        <v>44870</v>
      </c>
      <c r="C1141" t="s">
        <v>165</v>
      </c>
      <c r="D1141" t="s">
        <v>29</v>
      </c>
      <c r="E1141" t="s">
        <v>30</v>
      </c>
      <c r="F1141" t="s">
        <v>44</v>
      </c>
      <c r="G1141" t="s">
        <v>45</v>
      </c>
      <c r="H1141" t="s">
        <v>33</v>
      </c>
      <c r="I1141" t="s">
        <v>19</v>
      </c>
      <c r="J1141">
        <v>1497</v>
      </c>
      <c r="K1141">
        <v>2</v>
      </c>
      <c r="L1141">
        <v>23.56</v>
      </c>
    </row>
    <row r="1142" spans="1:12" x14ac:dyDescent="0.3">
      <c r="A1142" t="s">
        <v>230</v>
      </c>
      <c r="B1142" s="1">
        <v>45146</v>
      </c>
      <c r="C1142" t="s">
        <v>231</v>
      </c>
      <c r="D1142" t="s">
        <v>48</v>
      </c>
      <c r="E1142" t="s">
        <v>30</v>
      </c>
      <c r="F1142" t="s">
        <v>24</v>
      </c>
      <c r="G1142" t="s">
        <v>37</v>
      </c>
      <c r="H1142" t="s">
        <v>33</v>
      </c>
      <c r="I1142" t="s">
        <v>19</v>
      </c>
      <c r="J1142">
        <v>1197</v>
      </c>
      <c r="K1142">
        <v>4</v>
      </c>
      <c r="L1142">
        <v>512.29999999999995</v>
      </c>
    </row>
    <row r="1143" spans="1:12" x14ac:dyDescent="0.3">
      <c r="A1143" t="s">
        <v>232</v>
      </c>
      <c r="B1143" s="1">
        <v>44942</v>
      </c>
      <c r="C1143" t="s">
        <v>28</v>
      </c>
      <c r="D1143" t="s">
        <v>22</v>
      </c>
      <c r="E1143" t="s">
        <v>23</v>
      </c>
      <c r="F1143" t="s">
        <v>44</v>
      </c>
      <c r="G1143" t="s">
        <v>17</v>
      </c>
      <c r="H1143" t="s">
        <v>33</v>
      </c>
      <c r="I1143" t="s">
        <v>59</v>
      </c>
      <c r="J1143">
        <v>366</v>
      </c>
      <c r="K1143">
        <v>5</v>
      </c>
      <c r="L1143">
        <v>210.36</v>
      </c>
    </row>
    <row r="1144" spans="1:12" x14ac:dyDescent="0.3">
      <c r="A1144" t="s">
        <v>233</v>
      </c>
      <c r="B1144" s="1">
        <v>45211</v>
      </c>
      <c r="C1144" t="s">
        <v>154</v>
      </c>
      <c r="D1144" t="s">
        <v>48</v>
      </c>
      <c r="E1144" t="s">
        <v>30</v>
      </c>
      <c r="F1144" t="s">
        <v>44</v>
      </c>
      <c r="G1144" t="s">
        <v>17</v>
      </c>
      <c r="H1144" t="s">
        <v>26</v>
      </c>
      <c r="I1144" t="s">
        <v>19</v>
      </c>
      <c r="J1144">
        <v>508</v>
      </c>
      <c r="K1144">
        <v>2</v>
      </c>
      <c r="L1144">
        <v>19.09</v>
      </c>
    </row>
    <row r="1145" spans="1:12" x14ac:dyDescent="0.3">
      <c r="A1145" t="s">
        <v>234</v>
      </c>
      <c r="B1145" s="1">
        <v>44770</v>
      </c>
      <c r="C1145" t="s">
        <v>117</v>
      </c>
      <c r="D1145" t="s">
        <v>78</v>
      </c>
      <c r="E1145" t="s">
        <v>15</v>
      </c>
      <c r="F1145" t="s">
        <v>16</v>
      </c>
      <c r="G1145" t="s">
        <v>37</v>
      </c>
      <c r="H1145" t="s">
        <v>49</v>
      </c>
      <c r="I1145" t="s">
        <v>34</v>
      </c>
      <c r="J1145">
        <v>959</v>
      </c>
      <c r="K1145">
        <v>4</v>
      </c>
      <c r="L1145">
        <v>27.13</v>
      </c>
    </row>
    <row r="1146" spans="1:12" x14ac:dyDescent="0.3">
      <c r="A1146" t="s">
        <v>235</v>
      </c>
      <c r="B1146" s="1">
        <v>44773</v>
      </c>
      <c r="C1146" t="s">
        <v>36</v>
      </c>
      <c r="D1146" t="s">
        <v>62</v>
      </c>
      <c r="E1146" t="s">
        <v>15</v>
      </c>
      <c r="F1146" t="s">
        <v>16</v>
      </c>
      <c r="G1146" t="s">
        <v>32</v>
      </c>
      <c r="H1146" t="s">
        <v>18</v>
      </c>
      <c r="I1146" t="s">
        <v>34</v>
      </c>
      <c r="J1146">
        <v>352</v>
      </c>
      <c r="K1146">
        <v>2</v>
      </c>
      <c r="L1146">
        <v>12.91</v>
      </c>
    </row>
    <row r="1147" spans="1:12" x14ac:dyDescent="0.3">
      <c r="A1147" t="s">
        <v>236</v>
      </c>
      <c r="B1147" s="1">
        <v>45255</v>
      </c>
      <c r="C1147" t="s">
        <v>82</v>
      </c>
      <c r="D1147" t="s">
        <v>22</v>
      </c>
      <c r="E1147" t="s">
        <v>23</v>
      </c>
      <c r="F1147" t="s">
        <v>31</v>
      </c>
      <c r="G1147" t="s">
        <v>45</v>
      </c>
      <c r="H1147" t="s">
        <v>49</v>
      </c>
      <c r="I1147" t="s">
        <v>19</v>
      </c>
      <c r="J1147">
        <v>806</v>
      </c>
      <c r="K1147">
        <v>5</v>
      </c>
      <c r="L1147">
        <v>292.55</v>
      </c>
    </row>
    <row r="1148" spans="1:12" x14ac:dyDescent="0.3">
      <c r="A1148" t="s">
        <v>237</v>
      </c>
      <c r="B1148" s="1">
        <v>44602</v>
      </c>
      <c r="C1148" t="s">
        <v>219</v>
      </c>
      <c r="D1148" t="s">
        <v>29</v>
      </c>
      <c r="E1148" t="s">
        <v>30</v>
      </c>
      <c r="F1148" t="s">
        <v>40</v>
      </c>
      <c r="G1148" t="s">
        <v>37</v>
      </c>
      <c r="H1148" t="s">
        <v>33</v>
      </c>
      <c r="I1148" t="s">
        <v>19</v>
      </c>
      <c r="J1148">
        <v>649</v>
      </c>
      <c r="K1148">
        <v>3</v>
      </c>
      <c r="L1148">
        <v>135.97</v>
      </c>
    </row>
    <row r="1149" spans="1:12" x14ac:dyDescent="0.3">
      <c r="A1149" t="s">
        <v>238</v>
      </c>
      <c r="B1149" s="1">
        <v>44924</v>
      </c>
      <c r="C1149" t="s">
        <v>96</v>
      </c>
      <c r="D1149" t="s">
        <v>43</v>
      </c>
      <c r="E1149" t="s">
        <v>30</v>
      </c>
      <c r="F1149" t="s">
        <v>31</v>
      </c>
      <c r="G1149" t="s">
        <v>32</v>
      </c>
      <c r="H1149" t="s">
        <v>26</v>
      </c>
      <c r="I1149" t="s">
        <v>19</v>
      </c>
      <c r="J1149">
        <v>788</v>
      </c>
      <c r="K1149">
        <v>2</v>
      </c>
      <c r="L1149">
        <v>43.01</v>
      </c>
    </row>
    <row r="1150" spans="1:12" x14ac:dyDescent="0.3">
      <c r="A1150" t="s">
        <v>239</v>
      </c>
      <c r="B1150" s="1">
        <v>44996</v>
      </c>
      <c r="C1150" t="s">
        <v>73</v>
      </c>
      <c r="D1150" t="s">
        <v>62</v>
      </c>
      <c r="E1150" t="s">
        <v>15</v>
      </c>
      <c r="F1150" t="s">
        <v>24</v>
      </c>
      <c r="G1150" t="s">
        <v>17</v>
      </c>
      <c r="H1150" t="s">
        <v>18</v>
      </c>
      <c r="I1150" t="s">
        <v>59</v>
      </c>
      <c r="J1150">
        <v>254</v>
      </c>
      <c r="K1150">
        <v>1</v>
      </c>
      <c r="L1150">
        <v>35.04</v>
      </c>
    </row>
    <row r="1151" spans="1:12" x14ac:dyDescent="0.3">
      <c r="A1151" t="s">
        <v>240</v>
      </c>
      <c r="B1151" s="1">
        <v>44658</v>
      </c>
      <c r="C1151" t="s">
        <v>135</v>
      </c>
      <c r="D1151" t="s">
        <v>56</v>
      </c>
      <c r="E1151" t="s">
        <v>30</v>
      </c>
      <c r="F1151" t="s">
        <v>31</v>
      </c>
      <c r="G1151" t="s">
        <v>32</v>
      </c>
      <c r="H1151" t="s">
        <v>26</v>
      </c>
      <c r="I1151" t="s">
        <v>19</v>
      </c>
      <c r="J1151">
        <v>718</v>
      </c>
      <c r="K1151">
        <v>4</v>
      </c>
      <c r="L1151">
        <v>51.05</v>
      </c>
    </row>
    <row r="1152" spans="1:12" x14ac:dyDescent="0.3">
      <c r="A1152" t="s">
        <v>241</v>
      </c>
      <c r="B1152" s="1">
        <v>45156</v>
      </c>
      <c r="C1152" t="s">
        <v>113</v>
      </c>
      <c r="D1152" t="s">
        <v>43</v>
      </c>
      <c r="E1152" t="s">
        <v>30</v>
      </c>
      <c r="F1152" t="s">
        <v>24</v>
      </c>
      <c r="G1152" t="s">
        <v>45</v>
      </c>
      <c r="H1152" t="s">
        <v>18</v>
      </c>
      <c r="I1152" t="s">
        <v>59</v>
      </c>
      <c r="J1152">
        <v>1036</v>
      </c>
      <c r="K1152">
        <v>5</v>
      </c>
      <c r="L1152">
        <v>79.099999999999994</v>
      </c>
    </row>
    <row r="1153" spans="1:12" x14ac:dyDescent="0.3">
      <c r="A1153" t="s">
        <v>242</v>
      </c>
      <c r="B1153" s="1">
        <v>44898</v>
      </c>
      <c r="C1153" t="s">
        <v>142</v>
      </c>
      <c r="D1153" t="s">
        <v>56</v>
      </c>
      <c r="E1153" t="s">
        <v>30</v>
      </c>
      <c r="F1153" t="s">
        <v>40</v>
      </c>
      <c r="G1153" t="s">
        <v>45</v>
      </c>
      <c r="H1153" t="s">
        <v>26</v>
      </c>
      <c r="I1153" t="s">
        <v>59</v>
      </c>
      <c r="J1153">
        <v>345</v>
      </c>
      <c r="K1153">
        <v>2</v>
      </c>
      <c r="L1153">
        <v>39.92</v>
      </c>
    </row>
    <row r="1154" spans="1:12" x14ac:dyDescent="0.3">
      <c r="A1154" t="s">
        <v>243</v>
      </c>
      <c r="B1154" s="1">
        <v>44718</v>
      </c>
      <c r="C1154" t="s">
        <v>162</v>
      </c>
      <c r="D1154" t="s">
        <v>29</v>
      </c>
      <c r="E1154" t="s">
        <v>30</v>
      </c>
      <c r="F1154" t="s">
        <v>24</v>
      </c>
      <c r="G1154" t="s">
        <v>32</v>
      </c>
      <c r="H1154" t="s">
        <v>18</v>
      </c>
      <c r="I1154" t="s">
        <v>19</v>
      </c>
      <c r="J1154">
        <v>1462</v>
      </c>
      <c r="K1154">
        <v>1</v>
      </c>
      <c r="L1154">
        <v>68.41</v>
      </c>
    </row>
    <row r="1155" spans="1:12" x14ac:dyDescent="0.3">
      <c r="A1155" t="s">
        <v>244</v>
      </c>
      <c r="B1155" s="1">
        <v>44864</v>
      </c>
      <c r="C1155" t="s">
        <v>51</v>
      </c>
      <c r="D1155" t="s">
        <v>22</v>
      </c>
      <c r="E1155" t="s">
        <v>23</v>
      </c>
      <c r="F1155" t="s">
        <v>16</v>
      </c>
      <c r="G1155" t="s">
        <v>32</v>
      </c>
      <c r="H1155" t="s">
        <v>33</v>
      </c>
      <c r="I1155" t="s">
        <v>19</v>
      </c>
      <c r="J1155">
        <v>226</v>
      </c>
      <c r="K1155">
        <v>2</v>
      </c>
      <c r="L1155">
        <v>46.02</v>
      </c>
    </row>
    <row r="1156" spans="1:12" x14ac:dyDescent="0.3">
      <c r="A1156" t="s">
        <v>245</v>
      </c>
      <c r="B1156" s="1">
        <v>45123</v>
      </c>
      <c r="C1156" t="s">
        <v>82</v>
      </c>
      <c r="D1156" t="s">
        <v>48</v>
      </c>
      <c r="E1156" t="s">
        <v>30</v>
      </c>
      <c r="F1156" t="s">
        <v>44</v>
      </c>
      <c r="G1156" t="s">
        <v>37</v>
      </c>
      <c r="H1156" t="s">
        <v>33</v>
      </c>
      <c r="I1156" t="s">
        <v>59</v>
      </c>
      <c r="J1156">
        <v>866</v>
      </c>
      <c r="K1156">
        <v>1</v>
      </c>
      <c r="L1156">
        <v>93.52</v>
      </c>
    </row>
    <row r="1157" spans="1:12" x14ac:dyDescent="0.3">
      <c r="A1157" t="s">
        <v>246</v>
      </c>
      <c r="B1157" s="1">
        <v>45067</v>
      </c>
      <c r="C1157" t="s">
        <v>98</v>
      </c>
      <c r="D1157" t="s">
        <v>29</v>
      </c>
      <c r="E1157" t="s">
        <v>30</v>
      </c>
      <c r="F1157" t="s">
        <v>31</v>
      </c>
      <c r="G1157" t="s">
        <v>32</v>
      </c>
      <c r="H1157" t="s">
        <v>18</v>
      </c>
      <c r="I1157" t="s">
        <v>34</v>
      </c>
      <c r="J1157">
        <v>435</v>
      </c>
      <c r="K1157">
        <v>3</v>
      </c>
      <c r="L1157">
        <v>145.49</v>
      </c>
    </row>
    <row r="1158" spans="1:12" x14ac:dyDescent="0.3">
      <c r="A1158" t="s">
        <v>247</v>
      </c>
      <c r="B1158" s="1">
        <v>44601</v>
      </c>
      <c r="C1158" t="s">
        <v>111</v>
      </c>
      <c r="D1158" t="s">
        <v>56</v>
      </c>
      <c r="E1158" t="s">
        <v>30</v>
      </c>
      <c r="F1158" t="s">
        <v>40</v>
      </c>
      <c r="G1158" t="s">
        <v>17</v>
      </c>
      <c r="H1158" t="s">
        <v>49</v>
      </c>
      <c r="I1158" t="s">
        <v>34</v>
      </c>
      <c r="J1158">
        <v>822</v>
      </c>
      <c r="K1158">
        <v>4</v>
      </c>
      <c r="L1158">
        <v>239.43</v>
      </c>
    </row>
    <row r="1159" spans="1:12" x14ac:dyDescent="0.3">
      <c r="A1159" t="s">
        <v>248</v>
      </c>
      <c r="B1159" s="1">
        <v>45017</v>
      </c>
      <c r="C1159" t="s">
        <v>249</v>
      </c>
      <c r="D1159" t="s">
        <v>14</v>
      </c>
      <c r="E1159" t="s">
        <v>15</v>
      </c>
      <c r="F1159" t="s">
        <v>16</v>
      </c>
      <c r="G1159" t="s">
        <v>32</v>
      </c>
      <c r="H1159" t="s">
        <v>18</v>
      </c>
      <c r="I1159" t="s">
        <v>59</v>
      </c>
      <c r="J1159">
        <v>638</v>
      </c>
      <c r="K1159">
        <v>3</v>
      </c>
      <c r="L1159">
        <v>285.19</v>
      </c>
    </row>
    <row r="1160" spans="1:12" x14ac:dyDescent="0.3">
      <c r="A1160" t="s">
        <v>250</v>
      </c>
      <c r="B1160" s="1">
        <v>44621</v>
      </c>
      <c r="C1160" t="s">
        <v>71</v>
      </c>
      <c r="D1160" t="s">
        <v>52</v>
      </c>
      <c r="E1160" t="s">
        <v>30</v>
      </c>
      <c r="F1160" t="s">
        <v>40</v>
      </c>
      <c r="G1160" t="s">
        <v>45</v>
      </c>
      <c r="H1160" t="s">
        <v>18</v>
      </c>
      <c r="I1160" t="s">
        <v>34</v>
      </c>
      <c r="J1160">
        <v>1223</v>
      </c>
      <c r="K1160">
        <v>5</v>
      </c>
      <c r="L1160">
        <v>830.65</v>
      </c>
    </row>
    <row r="1161" spans="1:12" x14ac:dyDescent="0.3">
      <c r="A1161" t="s">
        <v>251</v>
      </c>
      <c r="B1161" s="1">
        <v>44746</v>
      </c>
      <c r="C1161" t="s">
        <v>36</v>
      </c>
      <c r="D1161" t="s">
        <v>22</v>
      </c>
      <c r="E1161" t="s">
        <v>23</v>
      </c>
      <c r="F1161" t="s">
        <v>24</v>
      </c>
      <c r="G1161" t="s">
        <v>45</v>
      </c>
      <c r="H1161" t="s">
        <v>18</v>
      </c>
      <c r="I1161" t="s">
        <v>34</v>
      </c>
      <c r="J1161">
        <v>1230</v>
      </c>
      <c r="K1161">
        <v>5</v>
      </c>
      <c r="L1161">
        <v>257.20999999999998</v>
      </c>
    </row>
    <row r="1162" spans="1:12" x14ac:dyDescent="0.3">
      <c r="A1162" t="s">
        <v>252</v>
      </c>
      <c r="B1162" s="1">
        <v>44839</v>
      </c>
      <c r="C1162" t="s">
        <v>39</v>
      </c>
      <c r="D1162" t="s">
        <v>52</v>
      </c>
      <c r="E1162" t="s">
        <v>30</v>
      </c>
      <c r="F1162" t="s">
        <v>44</v>
      </c>
      <c r="G1162" t="s">
        <v>17</v>
      </c>
      <c r="H1162" t="s">
        <v>33</v>
      </c>
      <c r="I1162" t="s">
        <v>34</v>
      </c>
      <c r="J1162">
        <v>491</v>
      </c>
      <c r="K1162">
        <v>2</v>
      </c>
      <c r="L1162">
        <v>44.6</v>
      </c>
    </row>
    <row r="1163" spans="1:12" x14ac:dyDescent="0.3">
      <c r="A1163" t="s">
        <v>253</v>
      </c>
      <c r="B1163" s="1">
        <v>45178</v>
      </c>
      <c r="C1163" t="s">
        <v>39</v>
      </c>
      <c r="D1163" t="s">
        <v>43</v>
      </c>
      <c r="E1163" t="s">
        <v>30</v>
      </c>
      <c r="F1163" t="s">
        <v>16</v>
      </c>
      <c r="G1163" t="s">
        <v>25</v>
      </c>
      <c r="H1163" t="s">
        <v>26</v>
      </c>
      <c r="I1163" t="s">
        <v>34</v>
      </c>
      <c r="J1163">
        <v>408</v>
      </c>
      <c r="K1163">
        <v>5</v>
      </c>
      <c r="L1163">
        <v>288.92</v>
      </c>
    </row>
    <row r="1164" spans="1:12" x14ac:dyDescent="0.3">
      <c r="A1164" t="s">
        <v>254</v>
      </c>
      <c r="B1164" s="1">
        <v>44851</v>
      </c>
      <c r="C1164" t="s">
        <v>89</v>
      </c>
      <c r="D1164" t="s">
        <v>90</v>
      </c>
      <c r="E1164" t="s">
        <v>23</v>
      </c>
      <c r="F1164" t="s">
        <v>40</v>
      </c>
      <c r="G1164" t="s">
        <v>25</v>
      </c>
      <c r="H1164" t="s">
        <v>33</v>
      </c>
      <c r="I1164" t="s">
        <v>19</v>
      </c>
      <c r="J1164">
        <v>40</v>
      </c>
      <c r="K1164">
        <v>2</v>
      </c>
      <c r="L1164">
        <v>11.52</v>
      </c>
    </row>
    <row r="1165" spans="1:12" x14ac:dyDescent="0.3">
      <c r="A1165" t="s">
        <v>255</v>
      </c>
      <c r="B1165" s="1">
        <v>44658</v>
      </c>
      <c r="C1165" t="s">
        <v>89</v>
      </c>
      <c r="D1165" t="s">
        <v>52</v>
      </c>
      <c r="E1165" t="s">
        <v>30</v>
      </c>
      <c r="F1165" t="s">
        <v>24</v>
      </c>
      <c r="G1165" t="s">
        <v>17</v>
      </c>
      <c r="H1165" t="s">
        <v>26</v>
      </c>
      <c r="I1165" t="s">
        <v>19</v>
      </c>
      <c r="J1165">
        <v>345</v>
      </c>
      <c r="K1165">
        <v>2</v>
      </c>
      <c r="L1165">
        <v>26.93</v>
      </c>
    </row>
    <row r="1166" spans="1:12" x14ac:dyDescent="0.3">
      <c r="A1166" t="s">
        <v>256</v>
      </c>
      <c r="B1166" s="1">
        <v>44957</v>
      </c>
      <c r="C1166" t="s">
        <v>159</v>
      </c>
      <c r="D1166" t="s">
        <v>22</v>
      </c>
      <c r="E1166" t="s">
        <v>23</v>
      </c>
      <c r="F1166" t="s">
        <v>44</v>
      </c>
      <c r="G1166" t="s">
        <v>37</v>
      </c>
      <c r="H1166" t="s">
        <v>18</v>
      </c>
      <c r="I1166" t="s">
        <v>19</v>
      </c>
      <c r="J1166">
        <v>743</v>
      </c>
      <c r="K1166">
        <v>3</v>
      </c>
      <c r="L1166">
        <v>149.88</v>
      </c>
    </row>
    <row r="1167" spans="1:12" x14ac:dyDescent="0.3">
      <c r="A1167" t="s">
        <v>257</v>
      </c>
      <c r="B1167" s="1">
        <v>45125</v>
      </c>
      <c r="C1167" t="s">
        <v>98</v>
      </c>
      <c r="D1167" t="s">
        <v>56</v>
      </c>
      <c r="E1167" t="s">
        <v>30</v>
      </c>
      <c r="F1167" t="s">
        <v>16</v>
      </c>
      <c r="G1167" t="s">
        <v>25</v>
      </c>
      <c r="H1167" t="s">
        <v>18</v>
      </c>
      <c r="I1167" t="s">
        <v>34</v>
      </c>
      <c r="J1167">
        <v>326</v>
      </c>
      <c r="K1167">
        <v>4</v>
      </c>
      <c r="L1167">
        <v>114.22</v>
      </c>
    </row>
    <row r="1168" spans="1:12" x14ac:dyDescent="0.3">
      <c r="A1168" t="s">
        <v>258</v>
      </c>
      <c r="B1168" s="1">
        <v>45190</v>
      </c>
      <c r="C1168" t="s">
        <v>82</v>
      </c>
      <c r="D1168" t="s">
        <v>56</v>
      </c>
      <c r="E1168" t="s">
        <v>30</v>
      </c>
      <c r="F1168" t="s">
        <v>40</v>
      </c>
      <c r="G1168" t="s">
        <v>25</v>
      </c>
      <c r="H1168" t="s">
        <v>18</v>
      </c>
      <c r="I1168" t="s">
        <v>34</v>
      </c>
      <c r="J1168">
        <v>1298</v>
      </c>
      <c r="K1168">
        <v>4</v>
      </c>
      <c r="L1168">
        <v>471.86</v>
      </c>
    </row>
    <row r="1169" spans="1:12" x14ac:dyDescent="0.3">
      <c r="A1169" t="s">
        <v>259</v>
      </c>
      <c r="B1169" s="1">
        <v>45101</v>
      </c>
      <c r="C1169" t="s">
        <v>191</v>
      </c>
      <c r="D1169" t="s">
        <v>52</v>
      </c>
      <c r="E1169" t="s">
        <v>30</v>
      </c>
      <c r="F1169" t="s">
        <v>16</v>
      </c>
      <c r="G1169" t="s">
        <v>45</v>
      </c>
      <c r="H1169" t="s">
        <v>49</v>
      </c>
      <c r="I1169" t="s">
        <v>59</v>
      </c>
      <c r="J1169">
        <v>562</v>
      </c>
      <c r="K1169">
        <v>2</v>
      </c>
      <c r="L1169">
        <v>150.65</v>
      </c>
    </row>
    <row r="1170" spans="1:12" x14ac:dyDescent="0.3">
      <c r="A1170" t="s">
        <v>260</v>
      </c>
      <c r="B1170" s="1">
        <v>44848</v>
      </c>
      <c r="C1170" t="s">
        <v>42</v>
      </c>
      <c r="D1170" t="s">
        <v>14</v>
      </c>
      <c r="E1170" t="s">
        <v>15</v>
      </c>
      <c r="F1170" t="s">
        <v>16</v>
      </c>
      <c r="G1170" t="s">
        <v>17</v>
      </c>
      <c r="H1170" t="s">
        <v>33</v>
      </c>
      <c r="I1170" t="s">
        <v>59</v>
      </c>
      <c r="J1170">
        <v>487</v>
      </c>
      <c r="K1170">
        <v>3</v>
      </c>
      <c r="L1170">
        <v>5.47</v>
      </c>
    </row>
    <row r="1171" spans="1:12" x14ac:dyDescent="0.3">
      <c r="A1171" t="s">
        <v>261</v>
      </c>
      <c r="B1171" s="1">
        <v>44891</v>
      </c>
      <c r="C1171" t="s">
        <v>191</v>
      </c>
      <c r="D1171" t="s">
        <v>22</v>
      </c>
      <c r="E1171" t="s">
        <v>23</v>
      </c>
      <c r="F1171" t="s">
        <v>31</v>
      </c>
      <c r="G1171" t="s">
        <v>32</v>
      </c>
      <c r="H1171" t="s">
        <v>26</v>
      </c>
      <c r="I1171" t="s">
        <v>19</v>
      </c>
      <c r="J1171">
        <v>929</v>
      </c>
      <c r="K1171">
        <v>2</v>
      </c>
      <c r="L1171">
        <v>51.2</v>
      </c>
    </row>
    <row r="1172" spans="1:12" x14ac:dyDescent="0.3">
      <c r="A1172" t="s">
        <v>262</v>
      </c>
      <c r="B1172" s="1">
        <v>45204</v>
      </c>
      <c r="C1172" t="s">
        <v>82</v>
      </c>
      <c r="D1172" t="s">
        <v>43</v>
      </c>
      <c r="E1172" t="s">
        <v>30</v>
      </c>
      <c r="F1172" t="s">
        <v>24</v>
      </c>
      <c r="G1172" t="s">
        <v>25</v>
      </c>
      <c r="H1172" t="s">
        <v>33</v>
      </c>
      <c r="I1172" t="s">
        <v>19</v>
      </c>
      <c r="J1172">
        <v>538</v>
      </c>
      <c r="K1172">
        <v>4</v>
      </c>
      <c r="L1172">
        <v>56.2</v>
      </c>
    </row>
    <row r="1173" spans="1:12" x14ac:dyDescent="0.3">
      <c r="A1173" t="s">
        <v>263</v>
      </c>
      <c r="B1173" s="1">
        <v>45138</v>
      </c>
      <c r="C1173" t="s">
        <v>102</v>
      </c>
      <c r="D1173" t="s">
        <v>14</v>
      </c>
      <c r="E1173" t="s">
        <v>15</v>
      </c>
      <c r="F1173" t="s">
        <v>40</v>
      </c>
      <c r="G1173" t="s">
        <v>32</v>
      </c>
      <c r="H1173" t="s">
        <v>26</v>
      </c>
      <c r="I1173" t="s">
        <v>19</v>
      </c>
      <c r="J1173">
        <v>998</v>
      </c>
      <c r="K1173">
        <v>2</v>
      </c>
      <c r="L1173">
        <v>58.3</v>
      </c>
    </row>
    <row r="1174" spans="1:12" x14ac:dyDescent="0.3">
      <c r="A1174" t="s">
        <v>264</v>
      </c>
      <c r="B1174" s="1">
        <v>44744</v>
      </c>
      <c r="C1174" t="s">
        <v>39</v>
      </c>
      <c r="D1174" t="s">
        <v>48</v>
      </c>
      <c r="E1174" t="s">
        <v>30</v>
      </c>
      <c r="F1174" t="s">
        <v>40</v>
      </c>
      <c r="G1174" t="s">
        <v>37</v>
      </c>
      <c r="H1174" t="s">
        <v>49</v>
      </c>
      <c r="I1174" t="s">
        <v>19</v>
      </c>
      <c r="J1174">
        <v>628</v>
      </c>
      <c r="K1174">
        <v>1</v>
      </c>
      <c r="L1174">
        <v>76.86</v>
      </c>
    </row>
    <row r="1175" spans="1:12" x14ac:dyDescent="0.3">
      <c r="A1175" t="s">
        <v>265</v>
      </c>
      <c r="B1175" s="1">
        <v>45093</v>
      </c>
      <c r="C1175" t="s">
        <v>104</v>
      </c>
      <c r="D1175" t="s">
        <v>22</v>
      </c>
      <c r="E1175" t="s">
        <v>23</v>
      </c>
      <c r="F1175" t="s">
        <v>16</v>
      </c>
      <c r="G1175" t="s">
        <v>45</v>
      </c>
      <c r="H1175" t="s">
        <v>49</v>
      </c>
      <c r="I1175" t="s">
        <v>59</v>
      </c>
      <c r="J1175">
        <v>67</v>
      </c>
      <c r="K1175">
        <v>3</v>
      </c>
      <c r="L1175">
        <v>26.77</v>
      </c>
    </row>
    <row r="1176" spans="1:12" x14ac:dyDescent="0.3">
      <c r="A1176" t="s">
        <v>266</v>
      </c>
      <c r="B1176" s="1">
        <v>45246</v>
      </c>
      <c r="C1176" t="s">
        <v>69</v>
      </c>
      <c r="D1176" t="s">
        <v>14</v>
      </c>
      <c r="E1176" t="s">
        <v>15</v>
      </c>
      <c r="F1176" t="s">
        <v>44</v>
      </c>
      <c r="G1176" t="s">
        <v>32</v>
      </c>
      <c r="H1176" t="s">
        <v>49</v>
      </c>
      <c r="I1176" t="s">
        <v>34</v>
      </c>
      <c r="J1176">
        <v>40</v>
      </c>
      <c r="K1176">
        <v>2</v>
      </c>
      <c r="L1176">
        <v>1.63</v>
      </c>
    </row>
    <row r="1177" spans="1:12" x14ac:dyDescent="0.3">
      <c r="A1177" t="s">
        <v>267</v>
      </c>
      <c r="B1177" s="1">
        <v>44871</v>
      </c>
      <c r="C1177" t="s">
        <v>77</v>
      </c>
      <c r="D1177" t="s">
        <v>52</v>
      </c>
      <c r="E1177" t="s">
        <v>30</v>
      </c>
      <c r="F1177" t="s">
        <v>44</v>
      </c>
      <c r="G1177" t="s">
        <v>32</v>
      </c>
      <c r="H1177" t="s">
        <v>49</v>
      </c>
      <c r="I1177" t="s">
        <v>19</v>
      </c>
      <c r="J1177">
        <v>1379</v>
      </c>
      <c r="K1177">
        <v>2</v>
      </c>
      <c r="L1177">
        <v>407.92</v>
      </c>
    </row>
    <row r="1178" spans="1:12" x14ac:dyDescent="0.3">
      <c r="A1178" t="s">
        <v>268</v>
      </c>
      <c r="B1178" s="1">
        <v>44895</v>
      </c>
      <c r="C1178" t="s">
        <v>180</v>
      </c>
      <c r="D1178" t="s">
        <v>14</v>
      </c>
      <c r="E1178" t="s">
        <v>15</v>
      </c>
      <c r="F1178" t="s">
        <v>44</v>
      </c>
      <c r="G1178" t="s">
        <v>25</v>
      </c>
      <c r="H1178" t="s">
        <v>49</v>
      </c>
      <c r="I1178" t="s">
        <v>19</v>
      </c>
      <c r="J1178">
        <v>507</v>
      </c>
      <c r="K1178">
        <v>5</v>
      </c>
      <c r="L1178">
        <v>145.94</v>
      </c>
    </row>
    <row r="1179" spans="1:12" x14ac:dyDescent="0.3">
      <c r="A1179" t="s">
        <v>269</v>
      </c>
      <c r="B1179" s="1">
        <v>45080</v>
      </c>
      <c r="C1179" t="s">
        <v>39</v>
      </c>
      <c r="D1179" t="s">
        <v>43</v>
      </c>
      <c r="E1179" t="s">
        <v>30</v>
      </c>
      <c r="F1179" t="s">
        <v>24</v>
      </c>
      <c r="G1179" t="s">
        <v>45</v>
      </c>
      <c r="H1179" t="s">
        <v>26</v>
      </c>
      <c r="I1179" t="s">
        <v>19</v>
      </c>
      <c r="J1179">
        <v>744</v>
      </c>
      <c r="K1179">
        <v>4</v>
      </c>
      <c r="L1179">
        <v>128.6</v>
      </c>
    </row>
    <row r="1180" spans="1:12" x14ac:dyDescent="0.3">
      <c r="A1180" t="s">
        <v>270</v>
      </c>
      <c r="B1180" s="1">
        <v>44733</v>
      </c>
      <c r="C1180" t="s">
        <v>148</v>
      </c>
      <c r="D1180" t="s">
        <v>52</v>
      </c>
      <c r="E1180" t="s">
        <v>30</v>
      </c>
      <c r="F1180" t="s">
        <v>40</v>
      </c>
      <c r="G1180" t="s">
        <v>25</v>
      </c>
      <c r="H1180" t="s">
        <v>26</v>
      </c>
      <c r="I1180" t="s">
        <v>19</v>
      </c>
      <c r="J1180">
        <v>69</v>
      </c>
      <c r="K1180">
        <v>3</v>
      </c>
      <c r="L1180">
        <v>29.32</v>
      </c>
    </row>
    <row r="1181" spans="1:12" x14ac:dyDescent="0.3">
      <c r="A1181" t="s">
        <v>271</v>
      </c>
      <c r="B1181" s="1">
        <v>44705</v>
      </c>
      <c r="C1181" t="s">
        <v>180</v>
      </c>
      <c r="D1181" t="s">
        <v>78</v>
      </c>
      <c r="E1181" t="s">
        <v>15</v>
      </c>
      <c r="F1181" t="s">
        <v>31</v>
      </c>
      <c r="G1181" t="s">
        <v>32</v>
      </c>
      <c r="H1181" t="s">
        <v>26</v>
      </c>
      <c r="I1181" t="s">
        <v>34</v>
      </c>
      <c r="J1181">
        <v>914</v>
      </c>
      <c r="K1181">
        <v>2</v>
      </c>
      <c r="L1181">
        <v>2.56</v>
      </c>
    </row>
    <row r="1182" spans="1:12" x14ac:dyDescent="0.3">
      <c r="A1182" t="s">
        <v>272</v>
      </c>
      <c r="B1182" s="1">
        <v>44815</v>
      </c>
      <c r="C1182" t="s">
        <v>231</v>
      </c>
      <c r="D1182" t="s">
        <v>29</v>
      </c>
      <c r="E1182" t="s">
        <v>30</v>
      </c>
      <c r="F1182" t="s">
        <v>31</v>
      </c>
      <c r="G1182" t="s">
        <v>45</v>
      </c>
      <c r="H1182" t="s">
        <v>33</v>
      </c>
      <c r="I1182" t="s">
        <v>34</v>
      </c>
      <c r="J1182">
        <v>906</v>
      </c>
      <c r="K1182">
        <v>1</v>
      </c>
      <c r="L1182">
        <v>35.44</v>
      </c>
    </row>
    <row r="1183" spans="1:12" x14ac:dyDescent="0.3">
      <c r="A1183" t="s">
        <v>273</v>
      </c>
      <c r="B1183" s="1">
        <v>44873</v>
      </c>
      <c r="C1183" t="s">
        <v>148</v>
      </c>
      <c r="D1183" t="s">
        <v>22</v>
      </c>
      <c r="E1183" t="s">
        <v>23</v>
      </c>
      <c r="F1183" t="s">
        <v>40</v>
      </c>
      <c r="G1183" t="s">
        <v>25</v>
      </c>
      <c r="H1183" t="s">
        <v>26</v>
      </c>
      <c r="I1183" t="s">
        <v>19</v>
      </c>
      <c r="J1183">
        <v>1154</v>
      </c>
      <c r="K1183">
        <v>2</v>
      </c>
      <c r="L1183">
        <v>262.42</v>
      </c>
    </row>
    <row r="1184" spans="1:12" x14ac:dyDescent="0.3">
      <c r="A1184" t="s">
        <v>274</v>
      </c>
      <c r="B1184" s="1">
        <v>44869</v>
      </c>
      <c r="C1184" t="s">
        <v>42</v>
      </c>
      <c r="D1184" t="s">
        <v>90</v>
      </c>
      <c r="E1184" t="s">
        <v>23</v>
      </c>
      <c r="F1184" t="s">
        <v>40</v>
      </c>
      <c r="G1184" t="s">
        <v>32</v>
      </c>
      <c r="H1184" t="s">
        <v>49</v>
      </c>
      <c r="I1184" t="s">
        <v>19</v>
      </c>
      <c r="J1184">
        <v>175</v>
      </c>
      <c r="K1184">
        <v>4</v>
      </c>
      <c r="L1184">
        <v>24.64</v>
      </c>
    </row>
    <row r="1185" spans="1:12" x14ac:dyDescent="0.3">
      <c r="A1185" t="s">
        <v>275</v>
      </c>
      <c r="B1185" s="1">
        <v>44704</v>
      </c>
      <c r="C1185" t="s">
        <v>122</v>
      </c>
      <c r="D1185" t="s">
        <v>22</v>
      </c>
      <c r="E1185" t="s">
        <v>23</v>
      </c>
      <c r="F1185" t="s">
        <v>31</v>
      </c>
      <c r="G1185" t="s">
        <v>32</v>
      </c>
      <c r="H1185" t="s">
        <v>33</v>
      </c>
      <c r="I1185" t="s">
        <v>34</v>
      </c>
      <c r="J1185">
        <v>122</v>
      </c>
      <c r="K1185">
        <v>5</v>
      </c>
      <c r="L1185">
        <v>71.08</v>
      </c>
    </row>
    <row r="1186" spans="1:12" x14ac:dyDescent="0.3">
      <c r="A1186" t="s">
        <v>276</v>
      </c>
      <c r="B1186" s="1">
        <v>44914</v>
      </c>
      <c r="C1186" t="s">
        <v>100</v>
      </c>
      <c r="D1186" t="s">
        <v>22</v>
      </c>
      <c r="E1186" t="s">
        <v>23</v>
      </c>
      <c r="F1186" t="s">
        <v>40</v>
      </c>
      <c r="G1186" t="s">
        <v>45</v>
      </c>
      <c r="H1186" t="s">
        <v>33</v>
      </c>
      <c r="I1186" t="s">
        <v>34</v>
      </c>
      <c r="J1186">
        <v>121</v>
      </c>
      <c r="K1186">
        <v>2</v>
      </c>
      <c r="L1186">
        <v>1.1100000000000001</v>
      </c>
    </row>
    <row r="1187" spans="1:12" x14ac:dyDescent="0.3">
      <c r="A1187" t="s">
        <v>277</v>
      </c>
      <c r="B1187" s="1">
        <v>44666</v>
      </c>
      <c r="C1187" t="s">
        <v>172</v>
      </c>
      <c r="D1187" t="s">
        <v>22</v>
      </c>
      <c r="E1187" t="s">
        <v>23</v>
      </c>
      <c r="F1187" t="s">
        <v>16</v>
      </c>
      <c r="G1187" t="s">
        <v>17</v>
      </c>
      <c r="H1187" t="s">
        <v>26</v>
      </c>
      <c r="I1187" t="s">
        <v>34</v>
      </c>
      <c r="J1187">
        <v>1096</v>
      </c>
      <c r="K1187">
        <v>2</v>
      </c>
      <c r="L1187">
        <v>43.58</v>
      </c>
    </row>
    <row r="1188" spans="1:12" x14ac:dyDescent="0.3">
      <c r="A1188" t="s">
        <v>278</v>
      </c>
      <c r="B1188" s="1">
        <v>44588</v>
      </c>
      <c r="C1188" t="s">
        <v>219</v>
      </c>
      <c r="D1188" t="s">
        <v>43</v>
      </c>
      <c r="E1188" t="s">
        <v>30</v>
      </c>
      <c r="F1188" t="s">
        <v>40</v>
      </c>
      <c r="G1188" t="s">
        <v>25</v>
      </c>
      <c r="H1188" t="s">
        <v>33</v>
      </c>
      <c r="I1188" t="s">
        <v>19</v>
      </c>
      <c r="J1188">
        <v>503</v>
      </c>
      <c r="K1188">
        <v>2</v>
      </c>
      <c r="L1188">
        <v>38.090000000000003</v>
      </c>
    </row>
    <row r="1189" spans="1:12" x14ac:dyDescent="0.3">
      <c r="A1189" t="s">
        <v>279</v>
      </c>
      <c r="B1189" s="1">
        <v>44998</v>
      </c>
      <c r="C1189" t="s">
        <v>129</v>
      </c>
      <c r="D1189" t="s">
        <v>29</v>
      </c>
      <c r="E1189" t="s">
        <v>30</v>
      </c>
      <c r="F1189" t="s">
        <v>16</v>
      </c>
      <c r="G1189" t="s">
        <v>45</v>
      </c>
      <c r="H1189" t="s">
        <v>49</v>
      </c>
      <c r="I1189" t="s">
        <v>19</v>
      </c>
      <c r="J1189">
        <v>1185</v>
      </c>
      <c r="K1189">
        <v>2</v>
      </c>
      <c r="L1189">
        <v>218.41</v>
      </c>
    </row>
    <row r="1190" spans="1:12" x14ac:dyDescent="0.3">
      <c r="A1190" t="s">
        <v>280</v>
      </c>
      <c r="B1190" s="1">
        <v>44792</v>
      </c>
      <c r="C1190" t="s">
        <v>191</v>
      </c>
      <c r="D1190" t="s">
        <v>78</v>
      </c>
      <c r="E1190" t="s">
        <v>15</v>
      </c>
      <c r="F1190" t="s">
        <v>44</v>
      </c>
      <c r="G1190" t="s">
        <v>45</v>
      </c>
      <c r="H1190" t="s">
        <v>33</v>
      </c>
      <c r="I1190" t="s">
        <v>34</v>
      </c>
      <c r="J1190">
        <v>995</v>
      </c>
      <c r="K1190">
        <v>2</v>
      </c>
      <c r="L1190">
        <v>227.73</v>
      </c>
    </row>
    <row r="1191" spans="1:12" x14ac:dyDescent="0.3">
      <c r="A1191" t="s">
        <v>281</v>
      </c>
      <c r="B1191" s="1">
        <v>44679</v>
      </c>
      <c r="C1191" t="s">
        <v>36</v>
      </c>
      <c r="D1191" t="s">
        <v>22</v>
      </c>
      <c r="E1191" t="s">
        <v>23</v>
      </c>
      <c r="F1191" t="s">
        <v>44</v>
      </c>
      <c r="G1191" t="s">
        <v>32</v>
      </c>
      <c r="H1191" t="s">
        <v>18</v>
      </c>
      <c r="I1191" t="s">
        <v>59</v>
      </c>
      <c r="J1191">
        <v>343</v>
      </c>
      <c r="K1191">
        <v>1</v>
      </c>
      <c r="L1191">
        <v>36.33</v>
      </c>
    </row>
    <row r="1192" spans="1:12" x14ac:dyDescent="0.3">
      <c r="A1192" t="s">
        <v>282</v>
      </c>
      <c r="B1192" s="1">
        <v>45131</v>
      </c>
      <c r="C1192" t="s">
        <v>96</v>
      </c>
      <c r="D1192" t="s">
        <v>90</v>
      </c>
      <c r="E1192" t="s">
        <v>23</v>
      </c>
      <c r="F1192" t="s">
        <v>40</v>
      </c>
      <c r="G1192" t="s">
        <v>32</v>
      </c>
      <c r="H1192" t="s">
        <v>33</v>
      </c>
      <c r="I1192" t="s">
        <v>19</v>
      </c>
      <c r="J1192">
        <v>1221</v>
      </c>
      <c r="K1192">
        <v>3</v>
      </c>
      <c r="L1192">
        <v>462.75</v>
      </c>
    </row>
    <row r="1193" spans="1:12" x14ac:dyDescent="0.3">
      <c r="A1193" t="s">
        <v>283</v>
      </c>
      <c r="B1193" s="1">
        <v>45086</v>
      </c>
      <c r="C1193" t="s">
        <v>231</v>
      </c>
      <c r="D1193" t="s">
        <v>56</v>
      </c>
      <c r="E1193" t="s">
        <v>30</v>
      </c>
      <c r="F1193" t="s">
        <v>16</v>
      </c>
      <c r="G1193" t="s">
        <v>25</v>
      </c>
      <c r="H1193" t="s">
        <v>26</v>
      </c>
      <c r="I1193" t="s">
        <v>59</v>
      </c>
      <c r="J1193">
        <v>1491</v>
      </c>
      <c r="K1193">
        <v>2</v>
      </c>
      <c r="L1193">
        <v>190.69</v>
      </c>
    </row>
    <row r="1194" spans="1:12" x14ac:dyDescent="0.3">
      <c r="A1194" t="s">
        <v>284</v>
      </c>
      <c r="B1194" s="1">
        <v>44639</v>
      </c>
      <c r="C1194" t="s">
        <v>107</v>
      </c>
      <c r="D1194" t="s">
        <v>48</v>
      </c>
      <c r="E1194" t="s">
        <v>30</v>
      </c>
      <c r="F1194" t="s">
        <v>24</v>
      </c>
      <c r="G1194" t="s">
        <v>17</v>
      </c>
      <c r="H1194" t="s">
        <v>26</v>
      </c>
      <c r="I1194" t="s">
        <v>34</v>
      </c>
      <c r="J1194">
        <v>978</v>
      </c>
      <c r="K1194">
        <v>2</v>
      </c>
      <c r="L1194">
        <v>67</v>
      </c>
    </row>
    <row r="1195" spans="1:12" x14ac:dyDescent="0.3">
      <c r="A1195" t="s">
        <v>285</v>
      </c>
      <c r="B1195" s="1">
        <v>45271</v>
      </c>
      <c r="C1195" t="s">
        <v>165</v>
      </c>
      <c r="D1195" t="s">
        <v>62</v>
      </c>
      <c r="E1195" t="s">
        <v>15</v>
      </c>
      <c r="F1195" t="s">
        <v>44</v>
      </c>
      <c r="G1195" t="s">
        <v>37</v>
      </c>
      <c r="H1195" t="s">
        <v>26</v>
      </c>
      <c r="I1195" t="s">
        <v>34</v>
      </c>
      <c r="J1195">
        <v>1034</v>
      </c>
      <c r="K1195">
        <v>4</v>
      </c>
      <c r="L1195">
        <v>589.20000000000005</v>
      </c>
    </row>
    <row r="1196" spans="1:12" x14ac:dyDescent="0.3">
      <c r="A1196" t="s">
        <v>286</v>
      </c>
      <c r="B1196" s="1">
        <v>44997</v>
      </c>
      <c r="C1196" t="s">
        <v>122</v>
      </c>
      <c r="D1196" t="s">
        <v>29</v>
      </c>
      <c r="E1196" t="s">
        <v>30</v>
      </c>
      <c r="F1196" t="s">
        <v>16</v>
      </c>
      <c r="G1196" t="s">
        <v>25</v>
      </c>
      <c r="H1196" t="s">
        <v>18</v>
      </c>
      <c r="I1196" t="s">
        <v>34</v>
      </c>
      <c r="J1196">
        <v>730</v>
      </c>
      <c r="K1196">
        <v>1</v>
      </c>
      <c r="L1196">
        <v>58.38</v>
      </c>
    </row>
    <row r="1197" spans="1:12" x14ac:dyDescent="0.3">
      <c r="A1197" t="s">
        <v>287</v>
      </c>
      <c r="B1197" s="1">
        <v>45064</v>
      </c>
      <c r="C1197" t="s">
        <v>55</v>
      </c>
      <c r="D1197" t="s">
        <v>52</v>
      </c>
      <c r="E1197" t="s">
        <v>30</v>
      </c>
      <c r="F1197" t="s">
        <v>31</v>
      </c>
      <c r="G1197" t="s">
        <v>45</v>
      </c>
      <c r="H1197" t="s">
        <v>18</v>
      </c>
      <c r="I1197" t="s">
        <v>19</v>
      </c>
      <c r="J1197">
        <v>759</v>
      </c>
      <c r="K1197">
        <v>3</v>
      </c>
      <c r="L1197">
        <v>222.78</v>
      </c>
    </row>
    <row r="1198" spans="1:12" x14ac:dyDescent="0.3">
      <c r="A1198" t="s">
        <v>288</v>
      </c>
      <c r="B1198" s="1">
        <v>45261</v>
      </c>
      <c r="C1198" t="s">
        <v>113</v>
      </c>
      <c r="D1198" t="s">
        <v>43</v>
      </c>
      <c r="E1198" t="s">
        <v>30</v>
      </c>
      <c r="F1198" t="s">
        <v>24</v>
      </c>
      <c r="G1198" t="s">
        <v>37</v>
      </c>
      <c r="H1198" t="s">
        <v>49</v>
      </c>
      <c r="I1198" t="s">
        <v>59</v>
      </c>
      <c r="J1198">
        <v>412</v>
      </c>
      <c r="K1198">
        <v>4</v>
      </c>
      <c r="L1198">
        <v>158.66999999999999</v>
      </c>
    </row>
    <row r="1199" spans="1:12" x14ac:dyDescent="0.3">
      <c r="A1199" t="s">
        <v>289</v>
      </c>
      <c r="B1199" s="1">
        <v>45168</v>
      </c>
      <c r="C1199" t="s">
        <v>142</v>
      </c>
      <c r="D1199" t="s">
        <v>14</v>
      </c>
      <c r="E1199" t="s">
        <v>15</v>
      </c>
      <c r="F1199" t="s">
        <v>40</v>
      </c>
      <c r="G1199" t="s">
        <v>17</v>
      </c>
      <c r="H1199" t="s">
        <v>26</v>
      </c>
      <c r="I1199" t="s">
        <v>59</v>
      </c>
      <c r="J1199">
        <v>1309</v>
      </c>
      <c r="K1199">
        <v>2</v>
      </c>
      <c r="L1199">
        <v>57.03</v>
      </c>
    </row>
    <row r="1200" spans="1:12" x14ac:dyDescent="0.3">
      <c r="A1200" t="s">
        <v>290</v>
      </c>
      <c r="B1200" s="1">
        <v>44759</v>
      </c>
      <c r="C1200" t="s">
        <v>42</v>
      </c>
      <c r="D1200" t="s">
        <v>90</v>
      </c>
      <c r="E1200" t="s">
        <v>23</v>
      </c>
      <c r="F1200" t="s">
        <v>24</v>
      </c>
      <c r="G1200" t="s">
        <v>37</v>
      </c>
      <c r="H1200" t="s">
        <v>26</v>
      </c>
      <c r="I1200" t="s">
        <v>19</v>
      </c>
      <c r="J1200">
        <v>435</v>
      </c>
      <c r="K1200">
        <v>1</v>
      </c>
      <c r="L1200">
        <v>36.15</v>
      </c>
    </row>
    <row r="1201" spans="1:12" x14ac:dyDescent="0.3">
      <c r="A1201" t="s">
        <v>291</v>
      </c>
      <c r="B1201" s="1">
        <v>44673</v>
      </c>
      <c r="C1201" t="s">
        <v>47</v>
      </c>
      <c r="D1201" t="s">
        <v>90</v>
      </c>
      <c r="E1201" t="s">
        <v>23</v>
      </c>
      <c r="F1201" t="s">
        <v>44</v>
      </c>
      <c r="G1201" t="s">
        <v>32</v>
      </c>
      <c r="H1201" t="s">
        <v>18</v>
      </c>
      <c r="I1201" t="s">
        <v>19</v>
      </c>
      <c r="J1201">
        <v>406</v>
      </c>
      <c r="K1201">
        <v>4</v>
      </c>
      <c r="L1201">
        <v>35.19</v>
      </c>
    </row>
    <row r="1202" spans="1:12" x14ac:dyDescent="0.3">
      <c r="A1202" t="s">
        <v>292</v>
      </c>
      <c r="B1202" s="1">
        <v>44896</v>
      </c>
      <c r="C1202" t="s">
        <v>172</v>
      </c>
      <c r="D1202" t="s">
        <v>90</v>
      </c>
      <c r="E1202" t="s">
        <v>23</v>
      </c>
      <c r="F1202" t="s">
        <v>24</v>
      </c>
      <c r="G1202" t="s">
        <v>32</v>
      </c>
      <c r="H1202" t="s">
        <v>26</v>
      </c>
      <c r="I1202" t="s">
        <v>59</v>
      </c>
      <c r="J1202">
        <v>1458</v>
      </c>
      <c r="K1202">
        <v>3</v>
      </c>
      <c r="L1202">
        <v>273.31</v>
      </c>
    </row>
    <row r="1203" spans="1:12" x14ac:dyDescent="0.3">
      <c r="A1203" t="s">
        <v>293</v>
      </c>
      <c r="B1203" s="1">
        <v>45010</v>
      </c>
      <c r="C1203" t="s">
        <v>122</v>
      </c>
      <c r="D1203" t="s">
        <v>48</v>
      </c>
      <c r="E1203" t="s">
        <v>30</v>
      </c>
      <c r="F1203" t="s">
        <v>24</v>
      </c>
      <c r="G1203" t="s">
        <v>25</v>
      </c>
      <c r="H1203" t="s">
        <v>33</v>
      </c>
      <c r="I1203" t="s">
        <v>19</v>
      </c>
      <c r="J1203">
        <v>620</v>
      </c>
      <c r="K1203">
        <v>3</v>
      </c>
      <c r="L1203">
        <v>102.96</v>
      </c>
    </row>
    <row r="1204" spans="1:12" x14ac:dyDescent="0.3">
      <c r="A1204" t="s">
        <v>294</v>
      </c>
      <c r="B1204" s="1">
        <v>44916</v>
      </c>
      <c r="C1204" t="s">
        <v>39</v>
      </c>
      <c r="D1204" t="s">
        <v>48</v>
      </c>
      <c r="E1204" t="s">
        <v>30</v>
      </c>
      <c r="F1204" t="s">
        <v>24</v>
      </c>
      <c r="G1204" t="s">
        <v>45</v>
      </c>
      <c r="H1204" t="s">
        <v>26</v>
      </c>
      <c r="I1204" t="s">
        <v>34</v>
      </c>
      <c r="J1204">
        <v>1190</v>
      </c>
      <c r="K1204">
        <v>3</v>
      </c>
      <c r="L1204">
        <v>202.23</v>
      </c>
    </row>
    <row r="1205" spans="1:12" x14ac:dyDescent="0.3">
      <c r="A1205" t="s">
        <v>295</v>
      </c>
      <c r="B1205" s="1">
        <v>45097</v>
      </c>
      <c r="C1205" t="s">
        <v>98</v>
      </c>
      <c r="D1205" t="s">
        <v>29</v>
      </c>
      <c r="E1205" t="s">
        <v>30</v>
      </c>
      <c r="F1205" t="s">
        <v>44</v>
      </c>
      <c r="G1205" t="s">
        <v>37</v>
      </c>
      <c r="H1205" t="s">
        <v>49</v>
      </c>
      <c r="I1205" t="s">
        <v>19</v>
      </c>
      <c r="J1205">
        <v>952</v>
      </c>
      <c r="K1205">
        <v>2</v>
      </c>
      <c r="L1205">
        <v>182.12</v>
      </c>
    </row>
    <row r="1206" spans="1:12" x14ac:dyDescent="0.3">
      <c r="A1206" t="s">
        <v>296</v>
      </c>
      <c r="B1206" s="1">
        <v>44934</v>
      </c>
      <c r="C1206" t="s">
        <v>231</v>
      </c>
      <c r="D1206" t="s">
        <v>52</v>
      </c>
      <c r="E1206" t="s">
        <v>30</v>
      </c>
      <c r="F1206" t="s">
        <v>16</v>
      </c>
      <c r="G1206" t="s">
        <v>45</v>
      </c>
      <c r="H1206" t="s">
        <v>49</v>
      </c>
      <c r="I1206" t="s">
        <v>19</v>
      </c>
      <c r="J1206">
        <v>1295</v>
      </c>
      <c r="K1206">
        <v>4</v>
      </c>
      <c r="L1206">
        <v>89.71</v>
      </c>
    </row>
    <row r="1207" spans="1:12" x14ac:dyDescent="0.3">
      <c r="A1207" t="s">
        <v>297</v>
      </c>
      <c r="B1207" s="1">
        <v>45219</v>
      </c>
      <c r="C1207" t="s">
        <v>77</v>
      </c>
      <c r="D1207" t="s">
        <v>29</v>
      </c>
      <c r="E1207" t="s">
        <v>30</v>
      </c>
      <c r="F1207" t="s">
        <v>31</v>
      </c>
      <c r="G1207" t="s">
        <v>32</v>
      </c>
      <c r="H1207" t="s">
        <v>26</v>
      </c>
      <c r="I1207" t="s">
        <v>59</v>
      </c>
      <c r="J1207">
        <v>935</v>
      </c>
      <c r="K1207">
        <v>5</v>
      </c>
      <c r="L1207">
        <v>464.41</v>
      </c>
    </row>
    <row r="1208" spans="1:12" x14ac:dyDescent="0.3">
      <c r="A1208" t="s">
        <v>298</v>
      </c>
      <c r="B1208" s="1">
        <v>44724</v>
      </c>
      <c r="C1208" t="s">
        <v>191</v>
      </c>
      <c r="D1208" t="s">
        <v>22</v>
      </c>
      <c r="E1208" t="s">
        <v>23</v>
      </c>
      <c r="F1208" t="s">
        <v>16</v>
      </c>
      <c r="G1208" t="s">
        <v>32</v>
      </c>
      <c r="H1208" t="s">
        <v>33</v>
      </c>
      <c r="I1208" t="s">
        <v>59</v>
      </c>
      <c r="J1208">
        <v>277</v>
      </c>
      <c r="K1208">
        <v>5</v>
      </c>
      <c r="L1208">
        <v>22.78</v>
      </c>
    </row>
    <row r="1209" spans="1:12" x14ac:dyDescent="0.3">
      <c r="A1209" t="s">
        <v>299</v>
      </c>
      <c r="B1209" s="1">
        <v>44744</v>
      </c>
      <c r="C1209" t="s">
        <v>71</v>
      </c>
      <c r="D1209" t="s">
        <v>90</v>
      </c>
      <c r="E1209" t="s">
        <v>23</v>
      </c>
      <c r="F1209" t="s">
        <v>16</v>
      </c>
      <c r="G1209" t="s">
        <v>25</v>
      </c>
      <c r="H1209" t="s">
        <v>18</v>
      </c>
      <c r="I1209" t="s">
        <v>19</v>
      </c>
      <c r="J1209">
        <v>336</v>
      </c>
      <c r="K1209">
        <v>2</v>
      </c>
      <c r="L1209">
        <v>64.39</v>
      </c>
    </row>
    <row r="1210" spans="1:12" x14ac:dyDescent="0.3">
      <c r="A1210" t="s">
        <v>300</v>
      </c>
      <c r="B1210" s="1">
        <v>44692</v>
      </c>
      <c r="C1210" t="s">
        <v>42</v>
      </c>
      <c r="D1210" t="s">
        <v>56</v>
      </c>
      <c r="E1210" t="s">
        <v>30</v>
      </c>
      <c r="F1210" t="s">
        <v>24</v>
      </c>
      <c r="G1210" t="s">
        <v>17</v>
      </c>
      <c r="H1210" t="s">
        <v>18</v>
      </c>
      <c r="I1210" t="s">
        <v>19</v>
      </c>
      <c r="J1210">
        <v>538</v>
      </c>
      <c r="K1210">
        <v>4</v>
      </c>
      <c r="L1210">
        <v>222.41</v>
      </c>
    </row>
    <row r="1211" spans="1:12" x14ac:dyDescent="0.3">
      <c r="A1211" t="s">
        <v>301</v>
      </c>
      <c r="B1211" s="1">
        <v>45235</v>
      </c>
      <c r="C1211" t="s">
        <v>113</v>
      </c>
      <c r="D1211" t="s">
        <v>90</v>
      </c>
      <c r="E1211" t="s">
        <v>23</v>
      </c>
      <c r="F1211" t="s">
        <v>16</v>
      </c>
      <c r="G1211" t="s">
        <v>17</v>
      </c>
      <c r="H1211" t="s">
        <v>49</v>
      </c>
      <c r="I1211" t="s">
        <v>19</v>
      </c>
      <c r="J1211">
        <v>1354</v>
      </c>
      <c r="K1211">
        <v>5</v>
      </c>
      <c r="L1211">
        <v>728.94</v>
      </c>
    </row>
    <row r="1212" spans="1:12" x14ac:dyDescent="0.3">
      <c r="A1212" t="s">
        <v>302</v>
      </c>
      <c r="B1212" s="1">
        <v>44642</v>
      </c>
      <c r="C1212" t="s">
        <v>39</v>
      </c>
      <c r="D1212" t="s">
        <v>43</v>
      </c>
      <c r="E1212" t="s">
        <v>30</v>
      </c>
      <c r="F1212" t="s">
        <v>44</v>
      </c>
      <c r="G1212" t="s">
        <v>32</v>
      </c>
      <c r="H1212" t="s">
        <v>49</v>
      </c>
      <c r="I1212" t="s">
        <v>59</v>
      </c>
      <c r="J1212">
        <v>1468</v>
      </c>
      <c r="K1212">
        <v>4</v>
      </c>
      <c r="L1212">
        <v>795.89</v>
      </c>
    </row>
    <row r="1213" spans="1:12" x14ac:dyDescent="0.3">
      <c r="A1213" t="s">
        <v>303</v>
      </c>
      <c r="B1213" s="1">
        <v>45194</v>
      </c>
      <c r="C1213" t="s">
        <v>180</v>
      </c>
      <c r="D1213" t="s">
        <v>56</v>
      </c>
      <c r="E1213" t="s">
        <v>30</v>
      </c>
      <c r="F1213" t="s">
        <v>44</v>
      </c>
      <c r="G1213" t="s">
        <v>32</v>
      </c>
      <c r="H1213" t="s">
        <v>26</v>
      </c>
      <c r="I1213" t="s">
        <v>34</v>
      </c>
      <c r="J1213">
        <v>994</v>
      </c>
      <c r="K1213">
        <v>1</v>
      </c>
      <c r="L1213">
        <v>85.36</v>
      </c>
    </row>
    <row r="1214" spans="1:12" x14ac:dyDescent="0.3">
      <c r="A1214" t="s">
        <v>304</v>
      </c>
      <c r="B1214" s="1">
        <v>45179</v>
      </c>
      <c r="C1214" t="s">
        <v>113</v>
      </c>
      <c r="D1214" t="s">
        <v>52</v>
      </c>
      <c r="E1214" t="s">
        <v>30</v>
      </c>
      <c r="F1214" t="s">
        <v>40</v>
      </c>
      <c r="G1214" t="s">
        <v>25</v>
      </c>
      <c r="H1214" t="s">
        <v>18</v>
      </c>
      <c r="I1214" t="s">
        <v>19</v>
      </c>
      <c r="J1214">
        <v>692</v>
      </c>
      <c r="K1214">
        <v>3</v>
      </c>
      <c r="L1214">
        <v>107.82</v>
      </c>
    </row>
    <row r="1215" spans="1:12" x14ac:dyDescent="0.3">
      <c r="A1215" t="s">
        <v>305</v>
      </c>
      <c r="B1215" s="1">
        <v>44794</v>
      </c>
      <c r="C1215" t="s">
        <v>129</v>
      </c>
      <c r="D1215" t="s">
        <v>29</v>
      </c>
      <c r="E1215" t="s">
        <v>30</v>
      </c>
      <c r="F1215" t="s">
        <v>44</v>
      </c>
      <c r="G1215" t="s">
        <v>37</v>
      </c>
      <c r="H1215" t="s">
        <v>33</v>
      </c>
      <c r="I1215" t="s">
        <v>34</v>
      </c>
      <c r="J1215">
        <v>1373</v>
      </c>
      <c r="K1215">
        <v>5</v>
      </c>
      <c r="L1215">
        <v>665.66</v>
      </c>
    </row>
    <row r="1216" spans="1:12" x14ac:dyDescent="0.3">
      <c r="A1216" t="s">
        <v>306</v>
      </c>
      <c r="B1216" s="1">
        <v>44797</v>
      </c>
      <c r="C1216" t="s">
        <v>191</v>
      </c>
      <c r="D1216" t="s">
        <v>52</v>
      </c>
      <c r="E1216" t="s">
        <v>30</v>
      </c>
      <c r="F1216" t="s">
        <v>16</v>
      </c>
      <c r="G1216" t="s">
        <v>32</v>
      </c>
      <c r="H1216" t="s">
        <v>33</v>
      </c>
      <c r="I1216" t="s">
        <v>59</v>
      </c>
      <c r="J1216">
        <v>812</v>
      </c>
      <c r="K1216">
        <v>2</v>
      </c>
      <c r="L1216">
        <v>242.66</v>
      </c>
    </row>
    <row r="1217" spans="1:12" x14ac:dyDescent="0.3">
      <c r="A1217" t="s">
        <v>307</v>
      </c>
      <c r="B1217" s="1">
        <v>45193</v>
      </c>
      <c r="C1217" t="s">
        <v>100</v>
      </c>
      <c r="D1217" t="s">
        <v>78</v>
      </c>
      <c r="E1217" t="s">
        <v>15</v>
      </c>
      <c r="F1217" t="s">
        <v>40</v>
      </c>
      <c r="G1217" t="s">
        <v>37</v>
      </c>
      <c r="H1217" t="s">
        <v>26</v>
      </c>
      <c r="I1217" t="s">
        <v>19</v>
      </c>
      <c r="J1217">
        <v>1296</v>
      </c>
      <c r="K1217">
        <v>3</v>
      </c>
      <c r="L1217">
        <v>131.68</v>
      </c>
    </row>
    <row r="1218" spans="1:12" x14ac:dyDescent="0.3">
      <c r="A1218" t="s">
        <v>308</v>
      </c>
      <c r="B1218" s="1">
        <v>44846</v>
      </c>
      <c r="C1218" t="s">
        <v>117</v>
      </c>
      <c r="D1218" t="s">
        <v>29</v>
      </c>
      <c r="E1218" t="s">
        <v>30</v>
      </c>
      <c r="F1218" t="s">
        <v>31</v>
      </c>
      <c r="G1218" t="s">
        <v>25</v>
      </c>
      <c r="H1218" t="s">
        <v>18</v>
      </c>
      <c r="I1218" t="s">
        <v>59</v>
      </c>
      <c r="J1218">
        <v>528</v>
      </c>
      <c r="K1218">
        <v>2</v>
      </c>
      <c r="L1218">
        <v>78.430000000000007</v>
      </c>
    </row>
    <row r="1219" spans="1:12" x14ac:dyDescent="0.3">
      <c r="A1219" t="s">
        <v>309</v>
      </c>
      <c r="B1219" s="1">
        <v>45107</v>
      </c>
      <c r="C1219" t="s">
        <v>107</v>
      </c>
      <c r="D1219" t="s">
        <v>52</v>
      </c>
      <c r="E1219" t="s">
        <v>30</v>
      </c>
      <c r="F1219" t="s">
        <v>31</v>
      </c>
      <c r="G1219" t="s">
        <v>17</v>
      </c>
      <c r="H1219" t="s">
        <v>18</v>
      </c>
      <c r="I1219" t="s">
        <v>59</v>
      </c>
      <c r="J1219">
        <v>426</v>
      </c>
      <c r="K1219">
        <v>1</v>
      </c>
      <c r="L1219">
        <v>53.82</v>
      </c>
    </row>
    <row r="1220" spans="1:12" x14ac:dyDescent="0.3">
      <c r="A1220" t="s">
        <v>310</v>
      </c>
      <c r="B1220" s="1">
        <v>45123</v>
      </c>
      <c r="C1220" t="s">
        <v>64</v>
      </c>
      <c r="D1220" t="s">
        <v>14</v>
      </c>
      <c r="E1220" t="s">
        <v>15</v>
      </c>
      <c r="F1220" t="s">
        <v>40</v>
      </c>
      <c r="G1220" t="s">
        <v>37</v>
      </c>
      <c r="H1220" t="s">
        <v>33</v>
      </c>
      <c r="I1220" t="s">
        <v>34</v>
      </c>
      <c r="J1220">
        <v>513</v>
      </c>
      <c r="K1220">
        <v>1</v>
      </c>
      <c r="L1220">
        <v>2.98</v>
      </c>
    </row>
    <row r="1221" spans="1:12" x14ac:dyDescent="0.3">
      <c r="A1221" t="s">
        <v>311</v>
      </c>
      <c r="B1221" s="1">
        <v>44896</v>
      </c>
      <c r="C1221" t="s">
        <v>47</v>
      </c>
      <c r="D1221" t="s">
        <v>56</v>
      </c>
      <c r="E1221" t="s">
        <v>30</v>
      </c>
      <c r="F1221" t="s">
        <v>16</v>
      </c>
      <c r="G1221" t="s">
        <v>17</v>
      </c>
      <c r="H1221" t="s">
        <v>18</v>
      </c>
      <c r="I1221" t="s">
        <v>59</v>
      </c>
      <c r="J1221">
        <v>495</v>
      </c>
      <c r="K1221">
        <v>2</v>
      </c>
      <c r="L1221">
        <v>136.80000000000001</v>
      </c>
    </row>
    <row r="1222" spans="1:12" x14ac:dyDescent="0.3">
      <c r="A1222" t="s">
        <v>312</v>
      </c>
      <c r="B1222" s="1">
        <v>45006</v>
      </c>
      <c r="C1222" t="s">
        <v>36</v>
      </c>
      <c r="D1222" t="s">
        <v>78</v>
      </c>
      <c r="E1222" t="s">
        <v>15</v>
      </c>
      <c r="F1222" t="s">
        <v>31</v>
      </c>
      <c r="G1222" t="s">
        <v>25</v>
      </c>
      <c r="H1222" t="s">
        <v>49</v>
      </c>
      <c r="I1222" t="s">
        <v>34</v>
      </c>
      <c r="J1222">
        <v>570</v>
      </c>
      <c r="K1222">
        <v>5</v>
      </c>
      <c r="L1222">
        <v>125.52</v>
      </c>
    </row>
    <row r="1223" spans="1:12" x14ac:dyDescent="0.3">
      <c r="A1223" t="s">
        <v>313</v>
      </c>
      <c r="B1223" s="1">
        <v>45071</v>
      </c>
      <c r="C1223" t="s">
        <v>172</v>
      </c>
      <c r="D1223" t="s">
        <v>29</v>
      </c>
      <c r="E1223" t="s">
        <v>30</v>
      </c>
      <c r="F1223" t="s">
        <v>16</v>
      </c>
      <c r="G1223" t="s">
        <v>37</v>
      </c>
      <c r="H1223" t="s">
        <v>49</v>
      </c>
      <c r="I1223" t="s">
        <v>19</v>
      </c>
      <c r="J1223">
        <v>576</v>
      </c>
      <c r="K1223">
        <v>4</v>
      </c>
      <c r="L1223">
        <v>331.23</v>
      </c>
    </row>
    <row r="1224" spans="1:12" x14ac:dyDescent="0.3">
      <c r="A1224" t="s">
        <v>314</v>
      </c>
      <c r="B1224" s="1">
        <v>45142</v>
      </c>
      <c r="C1224" t="s">
        <v>64</v>
      </c>
      <c r="D1224" t="s">
        <v>90</v>
      </c>
      <c r="E1224" t="s">
        <v>23</v>
      </c>
      <c r="F1224" t="s">
        <v>44</v>
      </c>
      <c r="G1224" t="s">
        <v>32</v>
      </c>
      <c r="H1224" t="s">
        <v>33</v>
      </c>
      <c r="I1224" t="s">
        <v>19</v>
      </c>
      <c r="J1224">
        <v>210</v>
      </c>
      <c r="K1224">
        <v>2</v>
      </c>
      <c r="L1224">
        <v>31.55</v>
      </c>
    </row>
    <row r="1225" spans="1:12" x14ac:dyDescent="0.3">
      <c r="A1225" t="s">
        <v>315</v>
      </c>
      <c r="B1225" s="1">
        <v>45116</v>
      </c>
      <c r="C1225" t="s">
        <v>69</v>
      </c>
      <c r="D1225" t="s">
        <v>78</v>
      </c>
      <c r="E1225" t="s">
        <v>15</v>
      </c>
      <c r="F1225" t="s">
        <v>16</v>
      </c>
      <c r="G1225" t="s">
        <v>37</v>
      </c>
      <c r="H1225" t="s">
        <v>18</v>
      </c>
      <c r="I1225" t="s">
        <v>19</v>
      </c>
      <c r="J1225">
        <v>1122</v>
      </c>
      <c r="K1225">
        <v>5</v>
      </c>
      <c r="L1225">
        <v>585.9</v>
      </c>
    </row>
    <row r="1226" spans="1:12" x14ac:dyDescent="0.3">
      <c r="A1226" t="s">
        <v>316</v>
      </c>
      <c r="B1226" s="1">
        <v>44936</v>
      </c>
      <c r="C1226" t="s">
        <v>42</v>
      </c>
      <c r="D1226" t="s">
        <v>22</v>
      </c>
      <c r="E1226" t="s">
        <v>23</v>
      </c>
      <c r="F1226" t="s">
        <v>44</v>
      </c>
      <c r="G1226" t="s">
        <v>32</v>
      </c>
      <c r="H1226" t="s">
        <v>18</v>
      </c>
      <c r="I1226" t="s">
        <v>34</v>
      </c>
      <c r="J1226">
        <v>96</v>
      </c>
      <c r="K1226">
        <v>5</v>
      </c>
      <c r="L1226">
        <v>7.18</v>
      </c>
    </row>
    <row r="1227" spans="1:12" x14ac:dyDescent="0.3">
      <c r="A1227" t="s">
        <v>317</v>
      </c>
      <c r="B1227" s="1">
        <v>45233</v>
      </c>
      <c r="C1227" t="s">
        <v>154</v>
      </c>
      <c r="D1227" t="s">
        <v>29</v>
      </c>
      <c r="E1227" t="s">
        <v>30</v>
      </c>
      <c r="F1227" t="s">
        <v>31</v>
      </c>
      <c r="G1227" t="s">
        <v>25</v>
      </c>
      <c r="H1227" t="s">
        <v>49</v>
      </c>
      <c r="I1227" t="s">
        <v>34</v>
      </c>
      <c r="J1227">
        <v>319</v>
      </c>
      <c r="K1227">
        <v>3</v>
      </c>
      <c r="L1227">
        <v>69.91</v>
      </c>
    </row>
    <row r="1228" spans="1:12" x14ac:dyDescent="0.3">
      <c r="A1228" t="s">
        <v>318</v>
      </c>
      <c r="B1228" s="1">
        <v>44899</v>
      </c>
      <c r="C1228" t="s">
        <v>140</v>
      </c>
      <c r="D1228" t="s">
        <v>22</v>
      </c>
      <c r="E1228" t="s">
        <v>23</v>
      </c>
      <c r="F1228" t="s">
        <v>24</v>
      </c>
      <c r="G1228" t="s">
        <v>25</v>
      </c>
      <c r="H1228" t="s">
        <v>49</v>
      </c>
      <c r="I1228" t="s">
        <v>34</v>
      </c>
      <c r="J1228">
        <v>1274</v>
      </c>
      <c r="K1228">
        <v>5</v>
      </c>
      <c r="L1228">
        <v>484.26</v>
      </c>
    </row>
    <row r="1229" spans="1:12" x14ac:dyDescent="0.3">
      <c r="A1229" t="s">
        <v>319</v>
      </c>
      <c r="B1229" s="1">
        <v>45266</v>
      </c>
      <c r="C1229" t="s">
        <v>66</v>
      </c>
      <c r="D1229" t="s">
        <v>29</v>
      </c>
      <c r="E1229" t="s">
        <v>30</v>
      </c>
      <c r="F1229" t="s">
        <v>44</v>
      </c>
      <c r="G1229" t="s">
        <v>37</v>
      </c>
      <c r="H1229" t="s">
        <v>18</v>
      </c>
      <c r="I1229" t="s">
        <v>19</v>
      </c>
      <c r="J1229">
        <v>1457</v>
      </c>
      <c r="K1229">
        <v>4</v>
      </c>
      <c r="L1229">
        <v>819.08</v>
      </c>
    </row>
    <row r="1230" spans="1:12" x14ac:dyDescent="0.3">
      <c r="A1230" t="s">
        <v>320</v>
      </c>
      <c r="B1230" s="1">
        <v>44648</v>
      </c>
      <c r="C1230" t="s">
        <v>140</v>
      </c>
      <c r="D1230" t="s">
        <v>48</v>
      </c>
      <c r="E1230" t="s">
        <v>30</v>
      </c>
      <c r="F1230" t="s">
        <v>24</v>
      </c>
      <c r="G1230" t="s">
        <v>45</v>
      </c>
      <c r="H1230" t="s">
        <v>26</v>
      </c>
      <c r="I1230" t="s">
        <v>59</v>
      </c>
      <c r="J1230">
        <v>1075</v>
      </c>
      <c r="K1230">
        <v>2</v>
      </c>
      <c r="L1230">
        <v>275.69</v>
      </c>
    </row>
    <row r="1231" spans="1:12" x14ac:dyDescent="0.3">
      <c r="A1231" t="s">
        <v>321</v>
      </c>
      <c r="B1231" s="1">
        <v>45176</v>
      </c>
      <c r="C1231" t="s">
        <v>119</v>
      </c>
      <c r="D1231" t="s">
        <v>22</v>
      </c>
      <c r="E1231" t="s">
        <v>23</v>
      </c>
      <c r="F1231" t="s">
        <v>24</v>
      </c>
      <c r="G1231" t="s">
        <v>25</v>
      </c>
      <c r="H1231" t="s">
        <v>26</v>
      </c>
      <c r="I1231" t="s">
        <v>19</v>
      </c>
      <c r="J1231">
        <v>1283</v>
      </c>
      <c r="K1231">
        <v>1</v>
      </c>
      <c r="L1231">
        <v>25.84</v>
      </c>
    </row>
    <row r="1232" spans="1:12" x14ac:dyDescent="0.3">
      <c r="A1232" t="s">
        <v>322</v>
      </c>
      <c r="B1232" s="1">
        <v>44606</v>
      </c>
      <c r="C1232" t="s">
        <v>159</v>
      </c>
      <c r="D1232" t="s">
        <v>62</v>
      </c>
      <c r="E1232" t="s">
        <v>15</v>
      </c>
      <c r="F1232" t="s">
        <v>44</v>
      </c>
      <c r="G1232" t="s">
        <v>17</v>
      </c>
      <c r="H1232" t="s">
        <v>26</v>
      </c>
      <c r="I1232" t="s">
        <v>59</v>
      </c>
      <c r="J1232">
        <v>467</v>
      </c>
      <c r="K1232">
        <v>5</v>
      </c>
      <c r="L1232">
        <v>81.92</v>
      </c>
    </row>
    <row r="1233" spans="1:12" x14ac:dyDescent="0.3">
      <c r="A1233" t="s">
        <v>323</v>
      </c>
      <c r="B1233" s="1">
        <v>45012</v>
      </c>
      <c r="C1233" t="s">
        <v>85</v>
      </c>
      <c r="D1233" t="s">
        <v>29</v>
      </c>
      <c r="E1233" t="s">
        <v>30</v>
      </c>
      <c r="F1233" t="s">
        <v>16</v>
      </c>
      <c r="G1233" t="s">
        <v>37</v>
      </c>
      <c r="H1233" t="s">
        <v>33</v>
      </c>
      <c r="I1233" t="s">
        <v>19</v>
      </c>
      <c r="J1233">
        <v>1439</v>
      </c>
      <c r="K1233">
        <v>1</v>
      </c>
      <c r="L1233">
        <v>59.84</v>
      </c>
    </row>
    <row r="1234" spans="1:12" x14ac:dyDescent="0.3">
      <c r="A1234" t="s">
        <v>324</v>
      </c>
      <c r="B1234" s="1">
        <v>45116</v>
      </c>
      <c r="C1234" t="s">
        <v>119</v>
      </c>
      <c r="D1234" t="s">
        <v>62</v>
      </c>
      <c r="E1234" t="s">
        <v>15</v>
      </c>
      <c r="F1234" t="s">
        <v>40</v>
      </c>
      <c r="G1234" t="s">
        <v>45</v>
      </c>
      <c r="H1234" t="s">
        <v>49</v>
      </c>
      <c r="I1234" t="s">
        <v>59</v>
      </c>
      <c r="J1234">
        <v>953</v>
      </c>
      <c r="K1234">
        <v>2</v>
      </c>
      <c r="L1234">
        <v>244.14</v>
      </c>
    </row>
    <row r="1235" spans="1:12" x14ac:dyDescent="0.3">
      <c r="A1235" t="s">
        <v>325</v>
      </c>
      <c r="B1235" s="1">
        <v>44945</v>
      </c>
      <c r="C1235" t="s">
        <v>104</v>
      </c>
      <c r="D1235" t="s">
        <v>62</v>
      </c>
      <c r="E1235" t="s">
        <v>15</v>
      </c>
      <c r="F1235" t="s">
        <v>31</v>
      </c>
      <c r="G1235" t="s">
        <v>17</v>
      </c>
      <c r="H1235" t="s">
        <v>33</v>
      </c>
      <c r="I1235" t="s">
        <v>34</v>
      </c>
      <c r="J1235">
        <v>1079</v>
      </c>
      <c r="K1235">
        <v>1</v>
      </c>
      <c r="L1235">
        <v>133.83000000000001</v>
      </c>
    </row>
    <row r="1236" spans="1:12" x14ac:dyDescent="0.3">
      <c r="A1236" t="s">
        <v>326</v>
      </c>
      <c r="B1236" s="1">
        <v>44963</v>
      </c>
      <c r="C1236" t="s">
        <v>135</v>
      </c>
      <c r="D1236" t="s">
        <v>78</v>
      </c>
      <c r="E1236" t="s">
        <v>15</v>
      </c>
      <c r="F1236" t="s">
        <v>24</v>
      </c>
      <c r="G1236" t="s">
        <v>45</v>
      </c>
      <c r="H1236" t="s">
        <v>33</v>
      </c>
      <c r="I1236" t="s">
        <v>19</v>
      </c>
      <c r="J1236">
        <v>237</v>
      </c>
      <c r="K1236">
        <v>1</v>
      </c>
      <c r="L1236">
        <v>35.47</v>
      </c>
    </row>
    <row r="1237" spans="1:12" x14ac:dyDescent="0.3">
      <c r="A1237" t="s">
        <v>327</v>
      </c>
      <c r="B1237" s="1">
        <v>44664</v>
      </c>
      <c r="C1237" t="s">
        <v>159</v>
      </c>
      <c r="D1237" t="s">
        <v>90</v>
      </c>
      <c r="E1237" t="s">
        <v>23</v>
      </c>
      <c r="F1237" t="s">
        <v>16</v>
      </c>
      <c r="G1237" t="s">
        <v>37</v>
      </c>
      <c r="H1237" t="s">
        <v>33</v>
      </c>
      <c r="I1237" t="s">
        <v>19</v>
      </c>
      <c r="J1237">
        <v>649</v>
      </c>
      <c r="K1237">
        <v>5</v>
      </c>
      <c r="L1237">
        <v>135.88999999999999</v>
      </c>
    </row>
    <row r="1238" spans="1:12" x14ac:dyDescent="0.3">
      <c r="A1238" t="s">
        <v>328</v>
      </c>
      <c r="B1238" s="1">
        <v>44567</v>
      </c>
      <c r="C1238" t="s">
        <v>102</v>
      </c>
      <c r="D1238" t="s">
        <v>90</v>
      </c>
      <c r="E1238" t="s">
        <v>23</v>
      </c>
      <c r="F1238" t="s">
        <v>31</v>
      </c>
      <c r="G1238" t="s">
        <v>32</v>
      </c>
      <c r="H1238" t="s">
        <v>26</v>
      </c>
      <c r="I1238" t="s">
        <v>34</v>
      </c>
      <c r="J1238">
        <v>348</v>
      </c>
      <c r="K1238">
        <v>5</v>
      </c>
      <c r="L1238">
        <v>173.93</v>
      </c>
    </row>
    <row r="1239" spans="1:12" x14ac:dyDescent="0.3">
      <c r="A1239" t="s">
        <v>329</v>
      </c>
      <c r="B1239" s="1">
        <v>44709</v>
      </c>
      <c r="C1239" t="s">
        <v>119</v>
      </c>
      <c r="D1239" t="s">
        <v>52</v>
      </c>
      <c r="E1239" t="s">
        <v>30</v>
      </c>
      <c r="F1239" t="s">
        <v>24</v>
      </c>
      <c r="G1239" t="s">
        <v>25</v>
      </c>
      <c r="H1239" t="s">
        <v>49</v>
      </c>
      <c r="I1239" t="s">
        <v>59</v>
      </c>
      <c r="J1239">
        <v>1271</v>
      </c>
      <c r="K1239">
        <v>2</v>
      </c>
      <c r="L1239">
        <v>362.07</v>
      </c>
    </row>
    <row r="1240" spans="1:12" x14ac:dyDescent="0.3">
      <c r="A1240" t="s">
        <v>330</v>
      </c>
      <c r="B1240" s="1">
        <v>44888</v>
      </c>
      <c r="C1240" t="s">
        <v>219</v>
      </c>
      <c r="D1240" t="s">
        <v>52</v>
      </c>
      <c r="E1240" t="s">
        <v>30</v>
      </c>
      <c r="F1240" t="s">
        <v>44</v>
      </c>
      <c r="G1240" t="s">
        <v>37</v>
      </c>
      <c r="H1240" t="s">
        <v>49</v>
      </c>
      <c r="I1240" t="s">
        <v>34</v>
      </c>
      <c r="J1240">
        <v>361</v>
      </c>
      <c r="K1240">
        <v>2</v>
      </c>
      <c r="L1240">
        <v>84.03</v>
      </c>
    </row>
    <row r="1241" spans="1:12" x14ac:dyDescent="0.3">
      <c r="A1241" t="s">
        <v>331</v>
      </c>
      <c r="B1241" s="1">
        <v>45057</v>
      </c>
      <c r="C1241" t="s">
        <v>122</v>
      </c>
      <c r="D1241" t="s">
        <v>22</v>
      </c>
      <c r="E1241" t="s">
        <v>23</v>
      </c>
      <c r="F1241" t="s">
        <v>44</v>
      </c>
      <c r="G1241" t="s">
        <v>37</v>
      </c>
      <c r="H1241" t="s">
        <v>33</v>
      </c>
      <c r="I1241" t="s">
        <v>34</v>
      </c>
      <c r="J1241">
        <v>98</v>
      </c>
      <c r="K1241">
        <v>5</v>
      </c>
      <c r="L1241">
        <v>37.31</v>
      </c>
    </row>
    <row r="1242" spans="1:12" x14ac:dyDescent="0.3">
      <c r="A1242" t="s">
        <v>332</v>
      </c>
      <c r="B1242" s="1">
        <v>45269</v>
      </c>
      <c r="C1242" t="s">
        <v>117</v>
      </c>
      <c r="D1242" t="s">
        <v>22</v>
      </c>
      <c r="E1242" t="s">
        <v>23</v>
      </c>
      <c r="F1242" t="s">
        <v>16</v>
      </c>
      <c r="G1242" t="s">
        <v>32</v>
      </c>
      <c r="H1242" t="s">
        <v>26</v>
      </c>
      <c r="I1242" t="s">
        <v>19</v>
      </c>
      <c r="J1242">
        <v>920</v>
      </c>
      <c r="K1242">
        <v>3</v>
      </c>
      <c r="L1242">
        <v>13.66</v>
      </c>
    </row>
    <row r="1243" spans="1:12" x14ac:dyDescent="0.3">
      <c r="A1243" t="s">
        <v>333</v>
      </c>
      <c r="B1243" s="1">
        <v>44973</v>
      </c>
      <c r="C1243" t="s">
        <v>89</v>
      </c>
      <c r="D1243" t="s">
        <v>62</v>
      </c>
      <c r="E1243" t="s">
        <v>15</v>
      </c>
      <c r="F1243" t="s">
        <v>40</v>
      </c>
      <c r="G1243" t="s">
        <v>25</v>
      </c>
      <c r="H1243" t="s">
        <v>18</v>
      </c>
      <c r="I1243" t="s">
        <v>19</v>
      </c>
      <c r="J1243">
        <v>406</v>
      </c>
      <c r="K1243">
        <v>3</v>
      </c>
      <c r="L1243">
        <v>125.15</v>
      </c>
    </row>
    <row r="1244" spans="1:12" x14ac:dyDescent="0.3">
      <c r="A1244" t="s">
        <v>334</v>
      </c>
      <c r="B1244" s="1">
        <v>45051</v>
      </c>
      <c r="C1244" t="s">
        <v>142</v>
      </c>
      <c r="D1244" t="s">
        <v>48</v>
      </c>
      <c r="E1244" t="s">
        <v>30</v>
      </c>
      <c r="F1244" t="s">
        <v>31</v>
      </c>
      <c r="G1244" t="s">
        <v>37</v>
      </c>
      <c r="H1244" t="s">
        <v>33</v>
      </c>
      <c r="I1244" t="s">
        <v>34</v>
      </c>
      <c r="J1244">
        <v>351</v>
      </c>
      <c r="K1244">
        <v>4</v>
      </c>
      <c r="L1244">
        <v>114.5</v>
      </c>
    </row>
    <row r="1245" spans="1:12" x14ac:dyDescent="0.3">
      <c r="A1245" t="s">
        <v>335</v>
      </c>
      <c r="B1245" s="1">
        <v>45286</v>
      </c>
      <c r="C1245" t="s">
        <v>148</v>
      </c>
      <c r="D1245" t="s">
        <v>56</v>
      </c>
      <c r="E1245" t="s">
        <v>30</v>
      </c>
      <c r="F1245" t="s">
        <v>31</v>
      </c>
      <c r="G1245" t="s">
        <v>45</v>
      </c>
      <c r="H1245" t="s">
        <v>49</v>
      </c>
      <c r="I1245" t="s">
        <v>19</v>
      </c>
      <c r="J1245">
        <v>670</v>
      </c>
      <c r="K1245">
        <v>4</v>
      </c>
      <c r="L1245">
        <v>348.06</v>
      </c>
    </row>
    <row r="1246" spans="1:12" x14ac:dyDescent="0.3">
      <c r="A1246" t="s">
        <v>336</v>
      </c>
      <c r="B1246" s="1">
        <v>45244</v>
      </c>
      <c r="C1246" t="s">
        <v>172</v>
      </c>
      <c r="D1246" t="s">
        <v>14</v>
      </c>
      <c r="E1246" t="s">
        <v>15</v>
      </c>
      <c r="F1246" t="s">
        <v>24</v>
      </c>
      <c r="G1246" t="s">
        <v>17</v>
      </c>
      <c r="H1246" t="s">
        <v>18</v>
      </c>
      <c r="I1246" t="s">
        <v>34</v>
      </c>
      <c r="J1246">
        <v>252</v>
      </c>
      <c r="K1246">
        <v>3</v>
      </c>
      <c r="L1246">
        <v>79.33</v>
      </c>
    </row>
    <row r="1247" spans="1:12" x14ac:dyDescent="0.3">
      <c r="A1247" t="s">
        <v>337</v>
      </c>
      <c r="B1247" s="1">
        <v>44847</v>
      </c>
      <c r="C1247" t="s">
        <v>219</v>
      </c>
      <c r="D1247" t="s">
        <v>29</v>
      </c>
      <c r="E1247" t="s">
        <v>30</v>
      </c>
      <c r="F1247" t="s">
        <v>40</v>
      </c>
      <c r="G1247" t="s">
        <v>17</v>
      </c>
      <c r="H1247" t="s">
        <v>26</v>
      </c>
      <c r="I1247" t="s">
        <v>59</v>
      </c>
      <c r="J1247">
        <v>798</v>
      </c>
      <c r="K1247">
        <v>4</v>
      </c>
      <c r="L1247">
        <v>210.91</v>
      </c>
    </row>
    <row r="1248" spans="1:12" x14ac:dyDescent="0.3">
      <c r="A1248" t="s">
        <v>338</v>
      </c>
      <c r="B1248" s="1">
        <v>44936</v>
      </c>
      <c r="C1248" t="s">
        <v>100</v>
      </c>
      <c r="D1248" t="s">
        <v>52</v>
      </c>
      <c r="E1248" t="s">
        <v>30</v>
      </c>
      <c r="F1248" t="s">
        <v>16</v>
      </c>
      <c r="G1248" t="s">
        <v>45</v>
      </c>
      <c r="H1248" t="s">
        <v>18</v>
      </c>
      <c r="I1248" t="s">
        <v>19</v>
      </c>
      <c r="J1248">
        <v>868</v>
      </c>
      <c r="K1248">
        <v>1</v>
      </c>
      <c r="L1248">
        <v>120.48</v>
      </c>
    </row>
    <row r="1249" spans="1:12" x14ac:dyDescent="0.3">
      <c r="A1249" t="s">
        <v>339</v>
      </c>
      <c r="B1249" s="1">
        <v>44877</v>
      </c>
      <c r="C1249" t="s">
        <v>73</v>
      </c>
      <c r="D1249" t="s">
        <v>43</v>
      </c>
      <c r="E1249" t="s">
        <v>30</v>
      </c>
      <c r="F1249" t="s">
        <v>24</v>
      </c>
      <c r="G1249" t="s">
        <v>45</v>
      </c>
      <c r="H1249" t="s">
        <v>18</v>
      </c>
      <c r="I1249" t="s">
        <v>19</v>
      </c>
      <c r="J1249">
        <v>788</v>
      </c>
      <c r="K1249">
        <v>3</v>
      </c>
      <c r="L1249">
        <v>31.24</v>
      </c>
    </row>
    <row r="1250" spans="1:12" x14ac:dyDescent="0.3">
      <c r="A1250" t="s">
        <v>340</v>
      </c>
      <c r="B1250" s="1">
        <v>45075</v>
      </c>
      <c r="C1250" t="s">
        <v>85</v>
      </c>
      <c r="D1250" t="s">
        <v>62</v>
      </c>
      <c r="E1250" t="s">
        <v>15</v>
      </c>
      <c r="F1250" t="s">
        <v>16</v>
      </c>
      <c r="G1250" t="s">
        <v>45</v>
      </c>
      <c r="H1250" t="s">
        <v>33</v>
      </c>
      <c r="I1250" t="s">
        <v>34</v>
      </c>
      <c r="J1250">
        <v>372</v>
      </c>
      <c r="K1250">
        <v>5</v>
      </c>
      <c r="L1250">
        <v>73.209999999999994</v>
      </c>
    </row>
    <row r="1251" spans="1:12" x14ac:dyDescent="0.3">
      <c r="A1251" t="s">
        <v>341</v>
      </c>
      <c r="B1251" s="1">
        <v>45189</v>
      </c>
      <c r="C1251" t="s">
        <v>58</v>
      </c>
      <c r="D1251" t="s">
        <v>56</v>
      </c>
      <c r="E1251" t="s">
        <v>30</v>
      </c>
      <c r="F1251" t="s">
        <v>24</v>
      </c>
      <c r="G1251" t="s">
        <v>37</v>
      </c>
      <c r="H1251" t="s">
        <v>26</v>
      </c>
      <c r="I1251" t="s">
        <v>34</v>
      </c>
      <c r="J1251">
        <v>497</v>
      </c>
      <c r="K1251">
        <v>1</v>
      </c>
      <c r="L1251">
        <v>57.86</v>
      </c>
    </row>
    <row r="1252" spans="1:12" x14ac:dyDescent="0.3">
      <c r="A1252" t="s">
        <v>342</v>
      </c>
      <c r="B1252" s="1">
        <v>44915</v>
      </c>
      <c r="C1252" t="s">
        <v>148</v>
      </c>
      <c r="D1252" t="s">
        <v>48</v>
      </c>
      <c r="E1252" t="s">
        <v>30</v>
      </c>
      <c r="F1252" t="s">
        <v>31</v>
      </c>
      <c r="G1252" t="s">
        <v>37</v>
      </c>
      <c r="H1252" t="s">
        <v>49</v>
      </c>
      <c r="I1252" t="s">
        <v>59</v>
      </c>
      <c r="J1252">
        <v>1184</v>
      </c>
      <c r="K1252">
        <v>3</v>
      </c>
      <c r="L1252">
        <v>187.72</v>
      </c>
    </row>
    <row r="1253" spans="1:12" x14ac:dyDescent="0.3">
      <c r="A1253" t="s">
        <v>343</v>
      </c>
      <c r="B1253" s="1">
        <v>44841</v>
      </c>
      <c r="C1253" t="s">
        <v>36</v>
      </c>
      <c r="D1253" t="s">
        <v>56</v>
      </c>
      <c r="E1253" t="s">
        <v>30</v>
      </c>
      <c r="F1253" t="s">
        <v>16</v>
      </c>
      <c r="G1253" t="s">
        <v>32</v>
      </c>
      <c r="H1253" t="s">
        <v>18</v>
      </c>
      <c r="I1253" t="s">
        <v>59</v>
      </c>
      <c r="J1253">
        <v>140</v>
      </c>
      <c r="K1253">
        <v>2</v>
      </c>
      <c r="L1253">
        <v>36.17</v>
      </c>
    </row>
    <row r="1254" spans="1:12" x14ac:dyDescent="0.3">
      <c r="A1254" t="s">
        <v>344</v>
      </c>
      <c r="B1254" s="1">
        <v>45194</v>
      </c>
      <c r="C1254" t="s">
        <v>21</v>
      </c>
      <c r="D1254" t="s">
        <v>90</v>
      </c>
      <c r="E1254" t="s">
        <v>23</v>
      </c>
      <c r="F1254" t="s">
        <v>24</v>
      </c>
      <c r="G1254" t="s">
        <v>45</v>
      </c>
      <c r="H1254" t="s">
        <v>18</v>
      </c>
      <c r="I1254" t="s">
        <v>19</v>
      </c>
      <c r="J1254">
        <v>1268</v>
      </c>
      <c r="K1254">
        <v>1</v>
      </c>
      <c r="L1254">
        <v>50.06</v>
      </c>
    </row>
    <row r="1255" spans="1:12" x14ac:dyDescent="0.3">
      <c r="A1255" t="s">
        <v>345</v>
      </c>
      <c r="B1255" s="1">
        <v>45127</v>
      </c>
      <c r="C1255" t="s">
        <v>82</v>
      </c>
      <c r="D1255" t="s">
        <v>29</v>
      </c>
      <c r="E1255" t="s">
        <v>30</v>
      </c>
      <c r="F1255" t="s">
        <v>16</v>
      </c>
      <c r="G1255" t="s">
        <v>17</v>
      </c>
      <c r="H1255" t="s">
        <v>33</v>
      </c>
      <c r="I1255" t="s">
        <v>19</v>
      </c>
      <c r="J1255">
        <v>242</v>
      </c>
      <c r="K1255">
        <v>5</v>
      </c>
      <c r="L1255">
        <v>105.41</v>
      </c>
    </row>
    <row r="1256" spans="1:12" x14ac:dyDescent="0.3">
      <c r="A1256" t="s">
        <v>346</v>
      </c>
      <c r="B1256" s="1">
        <v>44897</v>
      </c>
      <c r="C1256" t="s">
        <v>159</v>
      </c>
      <c r="D1256" t="s">
        <v>48</v>
      </c>
      <c r="E1256" t="s">
        <v>30</v>
      </c>
      <c r="F1256" t="s">
        <v>24</v>
      </c>
      <c r="G1256" t="s">
        <v>17</v>
      </c>
      <c r="H1256" t="s">
        <v>18</v>
      </c>
      <c r="I1256" t="s">
        <v>34</v>
      </c>
      <c r="J1256">
        <v>357</v>
      </c>
      <c r="K1256">
        <v>5</v>
      </c>
      <c r="L1256">
        <v>136.68</v>
      </c>
    </row>
    <row r="1257" spans="1:12" x14ac:dyDescent="0.3">
      <c r="A1257" t="s">
        <v>347</v>
      </c>
      <c r="B1257" s="1">
        <v>45081</v>
      </c>
      <c r="C1257" t="s">
        <v>21</v>
      </c>
      <c r="D1257" t="s">
        <v>43</v>
      </c>
      <c r="E1257" t="s">
        <v>30</v>
      </c>
      <c r="F1257" t="s">
        <v>31</v>
      </c>
      <c r="G1257" t="s">
        <v>45</v>
      </c>
      <c r="H1257" t="s">
        <v>18</v>
      </c>
      <c r="I1257" t="s">
        <v>59</v>
      </c>
      <c r="J1257">
        <v>964</v>
      </c>
      <c r="K1257">
        <v>2</v>
      </c>
      <c r="L1257">
        <v>143.13999999999999</v>
      </c>
    </row>
    <row r="1258" spans="1:12" x14ac:dyDescent="0.3">
      <c r="A1258" t="s">
        <v>348</v>
      </c>
      <c r="B1258" s="1">
        <v>44603</v>
      </c>
      <c r="C1258" t="s">
        <v>165</v>
      </c>
      <c r="D1258" t="s">
        <v>43</v>
      </c>
      <c r="E1258" t="s">
        <v>30</v>
      </c>
      <c r="F1258" t="s">
        <v>31</v>
      </c>
      <c r="G1258" t="s">
        <v>37</v>
      </c>
      <c r="H1258" t="s">
        <v>18</v>
      </c>
      <c r="I1258" t="s">
        <v>59</v>
      </c>
      <c r="J1258">
        <v>250</v>
      </c>
      <c r="K1258">
        <v>4</v>
      </c>
      <c r="L1258">
        <v>45.44</v>
      </c>
    </row>
    <row r="1259" spans="1:12" x14ac:dyDescent="0.3">
      <c r="A1259" t="s">
        <v>349</v>
      </c>
      <c r="B1259" s="1">
        <v>45278</v>
      </c>
      <c r="C1259" t="s">
        <v>13</v>
      </c>
      <c r="D1259" t="s">
        <v>56</v>
      </c>
      <c r="E1259" t="s">
        <v>30</v>
      </c>
      <c r="F1259" t="s">
        <v>40</v>
      </c>
      <c r="G1259" t="s">
        <v>17</v>
      </c>
      <c r="H1259" t="s">
        <v>26</v>
      </c>
      <c r="I1259" t="s">
        <v>34</v>
      </c>
      <c r="J1259">
        <v>1101</v>
      </c>
      <c r="K1259">
        <v>4</v>
      </c>
      <c r="L1259">
        <v>251.33</v>
      </c>
    </row>
    <row r="1260" spans="1:12" x14ac:dyDescent="0.3">
      <c r="A1260" t="s">
        <v>350</v>
      </c>
      <c r="B1260" s="1">
        <v>44897</v>
      </c>
      <c r="C1260" t="s">
        <v>117</v>
      </c>
      <c r="D1260" t="s">
        <v>14</v>
      </c>
      <c r="E1260" t="s">
        <v>15</v>
      </c>
      <c r="F1260" t="s">
        <v>16</v>
      </c>
      <c r="G1260" t="s">
        <v>25</v>
      </c>
      <c r="H1260" t="s">
        <v>26</v>
      </c>
      <c r="I1260" t="s">
        <v>19</v>
      </c>
      <c r="J1260">
        <v>1420</v>
      </c>
      <c r="K1260">
        <v>1</v>
      </c>
      <c r="L1260">
        <v>180.81</v>
      </c>
    </row>
    <row r="1261" spans="1:12" x14ac:dyDescent="0.3">
      <c r="A1261" t="s">
        <v>351</v>
      </c>
      <c r="B1261" s="1">
        <v>45112</v>
      </c>
      <c r="C1261" t="s">
        <v>140</v>
      </c>
      <c r="D1261" t="s">
        <v>62</v>
      </c>
      <c r="E1261" t="s">
        <v>15</v>
      </c>
      <c r="F1261" t="s">
        <v>24</v>
      </c>
      <c r="G1261" t="s">
        <v>37</v>
      </c>
      <c r="H1261" t="s">
        <v>49</v>
      </c>
      <c r="I1261" t="s">
        <v>34</v>
      </c>
      <c r="J1261">
        <v>1238</v>
      </c>
      <c r="K1261">
        <v>2</v>
      </c>
      <c r="L1261">
        <v>255.18</v>
      </c>
    </row>
    <row r="1262" spans="1:12" x14ac:dyDescent="0.3">
      <c r="A1262" t="s">
        <v>352</v>
      </c>
      <c r="B1262" s="1">
        <v>45235</v>
      </c>
      <c r="C1262" t="s">
        <v>249</v>
      </c>
      <c r="D1262" t="s">
        <v>43</v>
      </c>
      <c r="E1262" t="s">
        <v>30</v>
      </c>
      <c r="F1262" t="s">
        <v>16</v>
      </c>
      <c r="G1262" t="s">
        <v>32</v>
      </c>
      <c r="H1262" t="s">
        <v>49</v>
      </c>
      <c r="I1262" t="s">
        <v>59</v>
      </c>
      <c r="J1262">
        <v>1248</v>
      </c>
      <c r="K1262">
        <v>1</v>
      </c>
      <c r="L1262">
        <v>58.97</v>
      </c>
    </row>
    <row r="1263" spans="1:12" x14ac:dyDescent="0.3">
      <c r="A1263" t="s">
        <v>353</v>
      </c>
      <c r="B1263" s="1">
        <v>45170</v>
      </c>
      <c r="C1263" t="s">
        <v>28</v>
      </c>
      <c r="D1263" t="s">
        <v>22</v>
      </c>
      <c r="E1263" t="s">
        <v>23</v>
      </c>
      <c r="F1263" t="s">
        <v>31</v>
      </c>
      <c r="G1263" t="s">
        <v>32</v>
      </c>
      <c r="H1263" t="s">
        <v>33</v>
      </c>
      <c r="I1263" t="s">
        <v>19</v>
      </c>
      <c r="J1263">
        <v>939</v>
      </c>
      <c r="K1263">
        <v>1</v>
      </c>
      <c r="L1263">
        <v>45.58</v>
      </c>
    </row>
    <row r="1264" spans="1:12" x14ac:dyDescent="0.3">
      <c r="A1264" t="s">
        <v>354</v>
      </c>
      <c r="B1264" s="1">
        <v>45060</v>
      </c>
      <c r="C1264" t="s">
        <v>77</v>
      </c>
      <c r="D1264" t="s">
        <v>52</v>
      </c>
      <c r="E1264" t="s">
        <v>30</v>
      </c>
      <c r="F1264" t="s">
        <v>31</v>
      </c>
      <c r="G1264" t="s">
        <v>37</v>
      </c>
      <c r="H1264" t="s">
        <v>18</v>
      </c>
      <c r="I1264" t="s">
        <v>34</v>
      </c>
      <c r="J1264">
        <v>989</v>
      </c>
      <c r="K1264">
        <v>5</v>
      </c>
      <c r="L1264">
        <v>146.59</v>
      </c>
    </row>
    <row r="1265" spans="1:12" x14ac:dyDescent="0.3">
      <c r="A1265" t="s">
        <v>355</v>
      </c>
      <c r="B1265" s="1">
        <v>45068</v>
      </c>
      <c r="C1265" t="s">
        <v>159</v>
      </c>
      <c r="D1265" t="s">
        <v>90</v>
      </c>
      <c r="E1265" t="s">
        <v>23</v>
      </c>
      <c r="F1265" t="s">
        <v>44</v>
      </c>
      <c r="G1265" t="s">
        <v>17</v>
      </c>
      <c r="H1265" t="s">
        <v>18</v>
      </c>
      <c r="I1265" t="s">
        <v>59</v>
      </c>
      <c r="J1265">
        <v>1441</v>
      </c>
      <c r="K1265">
        <v>1</v>
      </c>
      <c r="L1265">
        <v>64.66</v>
      </c>
    </row>
    <row r="1266" spans="1:12" x14ac:dyDescent="0.3">
      <c r="A1266" t="s">
        <v>356</v>
      </c>
      <c r="B1266" s="1">
        <v>45287</v>
      </c>
      <c r="C1266" t="s">
        <v>100</v>
      </c>
      <c r="D1266" t="s">
        <v>22</v>
      </c>
      <c r="E1266" t="s">
        <v>23</v>
      </c>
      <c r="F1266" t="s">
        <v>40</v>
      </c>
      <c r="G1266" t="s">
        <v>32</v>
      </c>
      <c r="H1266" t="s">
        <v>26</v>
      </c>
      <c r="I1266" t="s">
        <v>59</v>
      </c>
      <c r="J1266">
        <v>738</v>
      </c>
      <c r="K1266">
        <v>5</v>
      </c>
      <c r="L1266">
        <v>135.69999999999999</v>
      </c>
    </row>
    <row r="1267" spans="1:12" x14ac:dyDescent="0.3">
      <c r="A1267" t="s">
        <v>357</v>
      </c>
      <c r="B1267" s="1">
        <v>45072</v>
      </c>
      <c r="C1267" t="s">
        <v>85</v>
      </c>
      <c r="D1267" t="s">
        <v>90</v>
      </c>
      <c r="E1267" t="s">
        <v>23</v>
      </c>
      <c r="F1267" t="s">
        <v>44</v>
      </c>
      <c r="G1267" t="s">
        <v>25</v>
      </c>
      <c r="H1267" t="s">
        <v>49</v>
      </c>
      <c r="I1267" t="s">
        <v>59</v>
      </c>
      <c r="J1267">
        <v>384</v>
      </c>
      <c r="K1267">
        <v>5</v>
      </c>
      <c r="L1267">
        <v>154.38</v>
      </c>
    </row>
    <row r="1268" spans="1:12" x14ac:dyDescent="0.3">
      <c r="A1268" t="s">
        <v>358</v>
      </c>
      <c r="B1268" s="1">
        <v>45059</v>
      </c>
      <c r="C1268" t="s">
        <v>39</v>
      </c>
      <c r="D1268" t="s">
        <v>90</v>
      </c>
      <c r="E1268" t="s">
        <v>23</v>
      </c>
      <c r="F1268" t="s">
        <v>24</v>
      </c>
      <c r="G1268" t="s">
        <v>45</v>
      </c>
      <c r="H1268" t="s">
        <v>33</v>
      </c>
      <c r="I1268" t="s">
        <v>34</v>
      </c>
      <c r="J1268">
        <v>391</v>
      </c>
      <c r="K1268">
        <v>1</v>
      </c>
      <c r="L1268">
        <v>19.8</v>
      </c>
    </row>
    <row r="1269" spans="1:12" x14ac:dyDescent="0.3">
      <c r="A1269" t="s">
        <v>359</v>
      </c>
      <c r="B1269" s="1">
        <v>44981</v>
      </c>
      <c r="C1269" t="s">
        <v>58</v>
      </c>
      <c r="D1269" t="s">
        <v>43</v>
      </c>
      <c r="E1269" t="s">
        <v>30</v>
      </c>
      <c r="F1269" t="s">
        <v>31</v>
      </c>
      <c r="G1269" t="s">
        <v>37</v>
      </c>
      <c r="H1269" t="s">
        <v>18</v>
      </c>
      <c r="I1269" t="s">
        <v>19</v>
      </c>
      <c r="J1269">
        <v>842</v>
      </c>
      <c r="K1269">
        <v>1</v>
      </c>
      <c r="L1269">
        <v>10.38</v>
      </c>
    </row>
    <row r="1270" spans="1:12" x14ac:dyDescent="0.3">
      <c r="A1270" t="s">
        <v>360</v>
      </c>
      <c r="B1270" s="1">
        <v>44831</v>
      </c>
      <c r="C1270" t="s">
        <v>249</v>
      </c>
      <c r="D1270" t="s">
        <v>48</v>
      </c>
      <c r="E1270" t="s">
        <v>30</v>
      </c>
      <c r="F1270" t="s">
        <v>44</v>
      </c>
      <c r="G1270" t="s">
        <v>32</v>
      </c>
      <c r="H1270" t="s">
        <v>33</v>
      </c>
      <c r="I1270" t="s">
        <v>34</v>
      </c>
      <c r="J1270">
        <v>1498</v>
      </c>
      <c r="K1270">
        <v>3</v>
      </c>
      <c r="L1270">
        <v>516.91999999999996</v>
      </c>
    </row>
    <row r="1271" spans="1:12" x14ac:dyDescent="0.3">
      <c r="A1271" t="s">
        <v>361</v>
      </c>
      <c r="B1271" s="1">
        <v>44990</v>
      </c>
      <c r="C1271" t="s">
        <v>28</v>
      </c>
      <c r="D1271" t="s">
        <v>52</v>
      </c>
      <c r="E1271" t="s">
        <v>30</v>
      </c>
      <c r="F1271" t="s">
        <v>31</v>
      </c>
      <c r="G1271" t="s">
        <v>37</v>
      </c>
      <c r="H1271" t="s">
        <v>26</v>
      </c>
      <c r="I1271" t="s">
        <v>34</v>
      </c>
      <c r="J1271">
        <v>1427</v>
      </c>
      <c r="K1271">
        <v>2</v>
      </c>
      <c r="L1271">
        <v>294.52</v>
      </c>
    </row>
    <row r="1272" spans="1:12" x14ac:dyDescent="0.3">
      <c r="A1272" t="s">
        <v>362</v>
      </c>
      <c r="B1272" s="1">
        <v>44784</v>
      </c>
      <c r="C1272" t="s">
        <v>104</v>
      </c>
      <c r="D1272" t="s">
        <v>62</v>
      </c>
      <c r="E1272" t="s">
        <v>15</v>
      </c>
      <c r="F1272" t="s">
        <v>44</v>
      </c>
      <c r="G1272" t="s">
        <v>25</v>
      </c>
      <c r="H1272" t="s">
        <v>26</v>
      </c>
      <c r="I1272" t="s">
        <v>59</v>
      </c>
      <c r="J1272">
        <v>1093</v>
      </c>
      <c r="K1272">
        <v>5</v>
      </c>
      <c r="L1272">
        <v>354.47</v>
      </c>
    </row>
    <row r="1273" spans="1:12" x14ac:dyDescent="0.3">
      <c r="A1273" t="s">
        <v>363</v>
      </c>
      <c r="B1273" s="1">
        <v>45132</v>
      </c>
      <c r="C1273" t="s">
        <v>107</v>
      </c>
      <c r="D1273" t="s">
        <v>78</v>
      </c>
      <c r="E1273" t="s">
        <v>15</v>
      </c>
      <c r="F1273" t="s">
        <v>24</v>
      </c>
      <c r="G1273" t="s">
        <v>45</v>
      </c>
      <c r="H1273" t="s">
        <v>18</v>
      </c>
      <c r="I1273" t="s">
        <v>34</v>
      </c>
      <c r="J1273">
        <v>1330</v>
      </c>
      <c r="K1273">
        <v>2</v>
      </c>
      <c r="L1273">
        <v>287.17</v>
      </c>
    </row>
    <row r="1274" spans="1:12" x14ac:dyDescent="0.3">
      <c r="A1274" t="s">
        <v>364</v>
      </c>
      <c r="B1274" s="1">
        <v>44734</v>
      </c>
      <c r="C1274" t="s">
        <v>113</v>
      </c>
      <c r="D1274" t="s">
        <v>14</v>
      </c>
      <c r="E1274" t="s">
        <v>15</v>
      </c>
      <c r="F1274" t="s">
        <v>40</v>
      </c>
      <c r="G1274" t="s">
        <v>32</v>
      </c>
      <c r="H1274" t="s">
        <v>49</v>
      </c>
      <c r="I1274" t="s">
        <v>34</v>
      </c>
      <c r="J1274">
        <v>792</v>
      </c>
      <c r="K1274">
        <v>3</v>
      </c>
      <c r="L1274">
        <v>84.6</v>
      </c>
    </row>
    <row r="1275" spans="1:12" x14ac:dyDescent="0.3">
      <c r="A1275" t="s">
        <v>365</v>
      </c>
      <c r="B1275" s="1">
        <v>44752</v>
      </c>
      <c r="C1275" t="s">
        <v>82</v>
      </c>
      <c r="D1275" t="s">
        <v>43</v>
      </c>
      <c r="E1275" t="s">
        <v>30</v>
      </c>
      <c r="F1275" t="s">
        <v>24</v>
      </c>
      <c r="G1275" t="s">
        <v>32</v>
      </c>
      <c r="H1275" t="s">
        <v>18</v>
      </c>
      <c r="I1275" t="s">
        <v>34</v>
      </c>
      <c r="J1275">
        <v>303</v>
      </c>
      <c r="K1275">
        <v>2</v>
      </c>
      <c r="L1275">
        <v>86.29</v>
      </c>
    </row>
    <row r="1276" spans="1:12" x14ac:dyDescent="0.3">
      <c r="A1276" t="s">
        <v>366</v>
      </c>
      <c r="B1276" s="1">
        <v>45061</v>
      </c>
      <c r="C1276" t="s">
        <v>39</v>
      </c>
      <c r="D1276" t="s">
        <v>56</v>
      </c>
      <c r="E1276" t="s">
        <v>30</v>
      </c>
      <c r="F1276" t="s">
        <v>24</v>
      </c>
      <c r="G1276" t="s">
        <v>25</v>
      </c>
      <c r="H1276" t="s">
        <v>18</v>
      </c>
      <c r="I1276" t="s">
        <v>34</v>
      </c>
      <c r="J1276">
        <v>512</v>
      </c>
      <c r="K1276">
        <v>2</v>
      </c>
      <c r="L1276">
        <v>91.31</v>
      </c>
    </row>
    <row r="1277" spans="1:12" x14ac:dyDescent="0.3">
      <c r="A1277" t="s">
        <v>367</v>
      </c>
      <c r="B1277" s="1">
        <v>45280</v>
      </c>
      <c r="C1277" t="s">
        <v>51</v>
      </c>
      <c r="D1277" t="s">
        <v>90</v>
      </c>
      <c r="E1277" t="s">
        <v>23</v>
      </c>
      <c r="F1277" t="s">
        <v>16</v>
      </c>
      <c r="G1277" t="s">
        <v>25</v>
      </c>
      <c r="H1277" t="s">
        <v>49</v>
      </c>
      <c r="I1277" t="s">
        <v>34</v>
      </c>
      <c r="J1277">
        <v>304</v>
      </c>
      <c r="K1277">
        <v>5</v>
      </c>
      <c r="L1277">
        <v>212.33</v>
      </c>
    </row>
    <row r="1278" spans="1:12" x14ac:dyDescent="0.3">
      <c r="A1278" t="s">
        <v>368</v>
      </c>
      <c r="B1278" s="1">
        <v>44932</v>
      </c>
      <c r="C1278" t="s">
        <v>28</v>
      </c>
      <c r="D1278" t="s">
        <v>78</v>
      </c>
      <c r="E1278" t="s">
        <v>15</v>
      </c>
      <c r="F1278" t="s">
        <v>40</v>
      </c>
      <c r="G1278" t="s">
        <v>17</v>
      </c>
      <c r="H1278" t="s">
        <v>49</v>
      </c>
      <c r="I1278" t="s">
        <v>19</v>
      </c>
      <c r="J1278">
        <v>669</v>
      </c>
      <c r="K1278">
        <v>2</v>
      </c>
      <c r="L1278">
        <v>113.62</v>
      </c>
    </row>
    <row r="1279" spans="1:12" x14ac:dyDescent="0.3">
      <c r="A1279" t="s">
        <v>369</v>
      </c>
      <c r="B1279" s="1">
        <v>44870</v>
      </c>
      <c r="C1279" t="s">
        <v>82</v>
      </c>
      <c r="D1279" t="s">
        <v>90</v>
      </c>
      <c r="E1279" t="s">
        <v>23</v>
      </c>
      <c r="F1279" t="s">
        <v>24</v>
      </c>
      <c r="G1279" t="s">
        <v>17</v>
      </c>
      <c r="H1279" t="s">
        <v>18</v>
      </c>
      <c r="I1279" t="s">
        <v>34</v>
      </c>
      <c r="J1279">
        <v>855</v>
      </c>
      <c r="K1279">
        <v>3</v>
      </c>
      <c r="L1279">
        <v>317.77</v>
      </c>
    </row>
    <row r="1280" spans="1:12" x14ac:dyDescent="0.3">
      <c r="A1280" t="s">
        <v>370</v>
      </c>
      <c r="B1280" s="1">
        <v>44741</v>
      </c>
      <c r="C1280" t="s">
        <v>140</v>
      </c>
      <c r="D1280" t="s">
        <v>22</v>
      </c>
      <c r="E1280" t="s">
        <v>23</v>
      </c>
      <c r="F1280" t="s">
        <v>40</v>
      </c>
      <c r="G1280" t="s">
        <v>32</v>
      </c>
      <c r="H1280" t="s">
        <v>33</v>
      </c>
      <c r="I1280" t="s">
        <v>34</v>
      </c>
      <c r="J1280">
        <v>1373</v>
      </c>
      <c r="K1280">
        <v>2</v>
      </c>
      <c r="L1280">
        <v>320.77999999999997</v>
      </c>
    </row>
    <row r="1281" spans="1:12" x14ac:dyDescent="0.3">
      <c r="A1281" t="s">
        <v>371</v>
      </c>
      <c r="B1281" s="1">
        <v>45002</v>
      </c>
      <c r="C1281" t="s">
        <v>82</v>
      </c>
      <c r="D1281" t="s">
        <v>90</v>
      </c>
      <c r="E1281" t="s">
        <v>23</v>
      </c>
      <c r="F1281" t="s">
        <v>40</v>
      </c>
      <c r="G1281" t="s">
        <v>32</v>
      </c>
      <c r="H1281" t="s">
        <v>26</v>
      </c>
      <c r="I1281" t="s">
        <v>34</v>
      </c>
      <c r="J1281">
        <v>149</v>
      </c>
      <c r="K1281">
        <v>3</v>
      </c>
      <c r="L1281">
        <v>6.67</v>
      </c>
    </row>
    <row r="1282" spans="1:12" x14ac:dyDescent="0.3">
      <c r="A1282" t="s">
        <v>372</v>
      </c>
      <c r="B1282" s="1">
        <v>44757</v>
      </c>
      <c r="C1282" t="s">
        <v>69</v>
      </c>
      <c r="D1282" t="s">
        <v>56</v>
      </c>
      <c r="E1282" t="s">
        <v>30</v>
      </c>
      <c r="F1282" t="s">
        <v>24</v>
      </c>
      <c r="G1282" t="s">
        <v>32</v>
      </c>
      <c r="H1282" t="s">
        <v>49</v>
      </c>
      <c r="I1282" t="s">
        <v>34</v>
      </c>
      <c r="J1282">
        <v>112</v>
      </c>
      <c r="K1282">
        <v>2</v>
      </c>
      <c r="L1282">
        <v>11.9</v>
      </c>
    </row>
    <row r="1283" spans="1:12" x14ac:dyDescent="0.3">
      <c r="A1283" t="s">
        <v>373</v>
      </c>
      <c r="B1283" s="1">
        <v>44720</v>
      </c>
      <c r="C1283" t="s">
        <v>165</v>
      </c>
      <c r="D1283" t="s">
        <v>14</v>
      </c>
      <c r="E1283" t="s">
        <v>15</v>
      </c>
      <c r="F1283" t="s">
        <v>44</v>
      </c>
      <c r="G1283" t="s">
        <v>25</v>
      </c>
      <c r="H1283" t="s">
        <v>49</v>
      </c>
      <c r="I1283" t="s">
        <v>34</v>
      </c>
      <c r="J1283">
        <v>524</v>
      </c>
      <c r="K1283">
        <v>3</v>
      </c>
      <c r="L1283">
        <v>8.41</v>
      </c>
    </row>
    <row r="1284" spans="1:12" x14ac:dyDescent="0.3">
      <c r="A1284" t="s">
        <v>374</v>
      </c>
      <c r="B1284" s="1">
        <v>45249</v>
      </c>
      <c r="C1284" t="s">
        <v>142</v>
      </c>
      <c r="D1284" t="s">
        <v>78</v>
      </c>
      <c r="E1284" t="s">
        <v>15</v>
      </c>
      <c r="F1284" t="s">
        <v>40</v>
      </c>
      <c r="G1284" t="s">
        <v>25</v>
      </c>
      <c r="H1284" t="s">
        <v>49</v>
      </c>
      <c r="I1284" t="s">
        <v>59</v>
      </c>
      <c r="J1284">
        <v>673</v>
      </c>
      <c r="K1284">
        <v>5</v>
      </c>
      <c r="L1284">
        <v>426.19</v>
      </c>
    </row>
    <row r="1285" spans="1:12" x14ac:dyDescent="0.3">
      <c r="A1285" t="s">
        <v>375</v>
      </c>
      <c r="B1285" s="1">
        <v>44944</v>
      </c>
      <c r="C1285" t="s">
        <v>135</v>
      </c>
      <c r="D1285" t="s">
        <v>90</v>
      </c>
      <c r="E1285" t="s">
        <v>23</v>
      </c>
      <c r="F1285" t="s">
        <v>24</v>
      </c>
      <c r="G1285" t="s">
        <v>45</v>
      </c>
      <c r="H1285" t="s">
        <v>33</v>
      </c>
      <c r="I1285" t="s">
        <v>34</v>
      </c>
      <c r="J1285">
        <v>843</v>
      </c>
      <c r="K1285">
        <v>4</v>
      </c>
      <c r="L1285">
        <v>344.59</v>
      </c>
    </row>
    <row r="1286" spans="1:12" x14ac:dyDescent="0.3">
      <c r="A1286" t="s">
        <v>376</v>
      </c>
      <c r="B1286" s="1">
        <v>44675</v>
      </c>
      <c r="C1286" t="s">
        <v>159</v>
      </c>
      <c r="D1286" t="s">
        <v>78</v>
      </c>
      <c r="E1286" t="s">
        <v>15</v>
      </c>
      <c r="F1286" t="s">
        <v>40</v>
      </c>
      <c r="G1286" t="s">
        <v>32</v>
      </c>
      <c r="H1286" t="s">
        <v>49</v>
      </c>
      <c r="I1286" t="s">
        <v>34</v>
      </c>
      <c r="J1286">
        <v>402</v>
      </c>
      <c r="K1286">
        <v>1</v>
      </c>
      <c r="L1286">
        <v>40.33</v>
      </c>
    </row>
    <row r="1287" spans="1:12" x14ac:dyDescent="0.3">
      <c r="A1287" t="s">
        <v>377</v>
      </c>
      <c r="B1287" s="1">
        <v>44639</v>
      </c>
      <c r="C1287" t="s">
        <v>102</v>
      </c>
      <c r="D1287" t="s">
        <v>78</v>
      </c>
      <c r="E1287" t="s">
        <v>15</v>
      </c>
      <c r="F1287" t="s">
        <v>40</v>
      </c>
      <c r="G1287" t="s">
        <v>45</v>
      </c>
      <c r="H1287" t="s">
        <v>49</v>
      </c>
      <c r="I1287" t="s">
        <v>34</v>
      </c>
      <c r="J1287">
        <v>1369</v>
      </c>
      <c r="K1287">
        <v>4</v>
      </c>
      <c r="L1287">
        <v>10.99</v>
      </c>
    </row>
    <row r="1288" spans="1:12" x14ac:dyDescent="0.3">
      <c r="A1288" t="s">
        <v>378</v>
      </c>
      <c r="B1288" s="1">
        <v>44583</v>
      </c>
      <c r="C1288" t="s">
        <v>47</v>
      </c>
      <c r="D1288" t="s">
        <v>62</v>
      </c>
      <c r="E1288" t="s">
        <v>15</v>
      </c>
      <c r="F1288" t="s">
        <v>16</v>
      </c>
      <c r="G1288" t="s">
        <v>37</v>
      </c>
      <c r="H1288" t="s">
        <v>33</v>
      </c>
      <c r="I1288" t="s">
        <v>59</v>
      </c>
      <c r="J1288">
        <v>97</v>
      </c>
      <c r="K1288">
        <v>1</v>
      </c>
      <c r="L1288">
        <v>12.44</v>
      </c>
    </row>
    <row r="1289" spans="1:12" x14ac:dyDescent="0.3">
      <c r="A1289" t="s">
        <v>379</v>
      </c>
      <c r="B1289" s="1">
        <v>44992</v>
      </c>
      <c r="C1289" t="s">
        <v>111</v>
      </c>
      <c r="D1289" t="s">
        <v>43</v>
      </c>
      <c r="E1289" t="s">
        <v>30</v>
      </c>
      <c r="F1289" t="s">
        <v>16</v>
      </c>
      <c r="G1289" t="s">
        <v>25</v>
      </c>
      <c r="H1289" t="s">
        <v>49</v>
      </c>
      <c r="I1289" t="s">
        <v>59</v>
      </c>
      <c r="J1289">
        <v>1251</v>
      </c>
      <c r="K1289">
        <v>5</v>
      </c>
      <c r="L1289">
        <v>240.61</v>
      </c>
    </row>
    <row r="1290" spans="1:12" x14ac:dyDescent="0.3">
      <c r="A1290" t="s">
        <v>380</v>
      </c>
      <c r="B1290" s="1">
        <v>44775</v>
      </c>
      <c r="C1290" t="s">
        <v>13</v>
      </c>
      <c r="D1290" t="s">
        <v>43</v>
      </c>
      <c r="E1290" t="s">
        <v>30</v>
      </c>
      <c r="F1290" t="s">
        <v>24</v>
      </c>
      <c r="G1290" t="s">
        <v>17</v>
      </c>
      <c r="H1290" t="s">
        <v>49</v>
      </c>
      <c r="I1290" t="s">
        <v>59</v>
      </c>
      <c r="J1290">
        <v>350</v>
      </c>
      <c r="K1290">
        <v>4</v>
      </c>
      <c r="L1290">
        <v>3.35</v>
      </c>
    </row>
    <row r="1291" spans="1:12" x14ac:dyDescent="0.3">
      <c r="A1291" t="s">
        <v>381</v>
      </c>
      <c r="B1291" s="1">
        <v>44972</v>
      </c>
      <c r="C1291" t="s">
        <v>13</v>
      </c>
      <c r="D1291" t="s">
        <v>52</v>
      </c>
      <c r="E1291" t="s">
        <v>30</v>
      </c>
      <c r="F1291" t="s">
        <v>44</v>
      </c>
      <c r="G1291" t="s">
        <v>32</v>
      </c>
      <c r="H1291" t="s">
        <v>26</v>
      </c>
      <c r="I1291" t="s">
        <v>59</v>
      </c>
      <c r="J1291">
        <v>156</v>
      </c>
      <c r="K1291">
        <v>3</v>
      </c>
      <c r="L1291">
        <v>67.930000000000007</v>
      </c>
    </row>
    <row r="1292" spans="1:12" x14ac:dyDescent="0.3">
      <c r="A1292" t="s">
        <v>382</v>
      </c>
      <c r="B1292" s="1">
        <v>44727</v>
      </c>
      <c r="C1292" t="s">
        <v>58</v>
      </c>
      <c r="D1292" t="s">
        <v>48</v>
      </c>
      <c r="E1292" t="s">
        <v>30</v>
      </c>
      <c r="F1292" t="s">
        <v>40</v>
      </c>
      <c r="G1292" t="s">
        <v>17</v>
      </c>
      <c r="H1292" t="s">
        <v>33</v>
      </c>
      <c r="I1292" t="s">
        <v>19</v>
      </c>
      <c r="J1292">
        <v>1153</v>
      </c>
      <c r="K1292">
        <v>2</v>
      </c>
      <c r="L1292">
        <v>170.84</v>
      </c>
    </row>
    <row r="1293" spans="1:12" x14ac:dyDescent="0.3">
      <c r="A1293" t="s">
        <v>383</v>
      </c>
      <c r="B1293" s="1">
        <v>44621</v>
      </c>
      <c r="C1293" t="s">
        <v>13</v>
      </c>
      <c r="D1293" t="s">
        <v>29</v>
      </c>
      <c r="E1293" t="s">
        <v>30</v>
      </c>
      <c r="F1293" t="s">
        <v>16</v>
      </c>
      <c r="G1293" t="s">
        <v>17</v>
      </c>
      <c r="H1293" t="s">
        <v>33</v>
      </c>
      <c r="I1293" t="s">
        <v>34</v>
      </c>
      <c r="J1293">
        <v>916</v>
      </c>
      <c r="K1293">
        <v>2</v>
      </c>
      <c r="L1293">
        <v>86.67</v>
      </c>
    </row>
    <row r="1294" spans="1:12" x14ac:dyDescent="0.3">
      <c r="A1294" t="s">
        <v>384</v>
      </c>
      <c r="B1294" s="1">
        <v>44787</v>
      </c>
      <c r="C1294" t="s">
        <v>66</v>
      </c>
      <c r="D1294" t="s">
        <v>62</v>
      </c>
      <c r="E1294" t="s">
        <v>15</v>
      </c>
      <c r="F1294" t="s">
        <v>31</v>
      </c>
      <c r="G1294" t="s">
        <v>17</v>
      </c>
      <c r="H1294" t="s">
        <v>49</v>
      </c>
      <c r="I1294" t="s">
        <v>34</v>
      </c>
      <c r="J1294">
        <v>963</v>
      </c>
      <c r="K1294">
        <v>1</v>
      </c>
      <c r="L1294">
        <v>67.510000000000005</v>
      </c>
    </row>
    <row r="1295" spans="1:12" x14ac:dyDescent="0.3">
      <c r="A1295" t="s">
        <v>385</v>
      </c>
      <c r="B1295" s="1">
        <v>45054</v>
      </c>
      <c r="C1295" t="s">
        <v>51</v>
      </c>
      <c r="D1295" t="s">
        <v>29</v>
      </c>
      <c r="E1295" t="s">
        <v>30</v>
      </c>
      <c r="F1295" t="s">
        <v>16</v>
      </c>
      <c r="G1295" t="s">
        <v>45</v>
      </c>
      <c r="H1295" t="s">
        <v>33</v>
      </c>
      <c r="I1295" t="s">
        <v>59</v>
      </c>
      <c r="J1295">
        <v>1431</v>
      </c>
      <c r="K1295">
        <v>2</v>
      </c>
      <c r="L1295">
        <v>198.73</v>
      </c>
    </row>
    <row r="1296" spans="1:12" x14ac:dyDescent="0.3">
      <c r="A1296" t="s">
        <v>386</v>
      </c>
      <c r="B1296" s="1">
        <v>45261</v>
      </c>
      <c r="C1296" t="s">
        <v>231</v>
      </c>
      <c r="D1296" t="s">
        <v>43</v>
      </c>
      <c r="E1296" t="s">
        <v>30</v>
      </c>
      <c r="F1296" t="s">
        <v>31</v>
      </c>
      <c r="G1296" t="s">
        <v>32</v>
      </c>
      <c r="H1296" t="s">
        <v>33</v>
      </c>
      <c r="I1296" t="s">
        <v>19</v>
      </c>
      <c r="J1296">
        <v>1300</v>
      </c>
      <c r="K1296">
        <v>5</v>
      </c>
      <c r="L1296">
        <v>531.87</v>
      </c>
    </row>
    <row r="1297" spans="1:12" x14ac:dyDescent="0.3">
      <c r="A1297" t="s">
        <v>387</v>
      </c>
      <c r="B1297" s="1">
        <v>45252</v>
      </c>
      <c r="C1297" t="s">
        <v>87</v>
      </c>
      <c r="D1297" t="s">
        <v>48</v>
      </c>
      <c r="E1297" t="s">
        <v>30</v>
      </c>
      <c r="F1297" t="s">
        <v>24</v>
      </c>
      <c r="G1297" t="s">
        <v>17</v>
      </c>
      <c r="H1297" t="s">
        <v>49</v>
      </c>
      <c r="I1297" t="s">
        <v>59</v>
      </c>
      <c r="J1297">
        <v>770</v>
      </c>
      <c r="K1297">
        <v>4</v>
      </c>
      <c r="L1297">
        <v>425.62</v>
      </c>
    </row>
    <row r="1298" spans="1:12" x14ac:dyDescent="0.3">
      <c r="A1298" t="s">
        <v>388</v>
      </c>
      <c r="B1298" s="1">
        <v>45082</v>
      </c>
      <c r="C1298" t="s">
        <v>13</v>
      </c>
      <c r="D1298" t="s">
        <v>90</v>
      </c>
      <c r="E1298" t="s">
        <v>23</v>
      </c>
      <c r="F1298" t="s">
        <v>24</v>
      </c>
      <c r="G1298" t="s">
        <v>25</v>
      </c>
      <c r="H1298" t="s">
        <v>26</v>
      </c>
      <c r="I1298" t="s">
        <v>19</v>
      </c>
      <c r="J1298">
        <v>1100</v>
      </c>
      <c r="K1298">
        <v>1</v>
      </c>
      <c r="L1298">
        <v>43.62</v>
      </c>
    </row>
    <row r="1299" spans="1:12" x14ac:dyDescent="0.3">
      <c r="A1299" t="s">
        <v>389</v>
      </c>
      <c r="B1299" s="1">
        <v>44675</v>
      </c>
      <c r="C1299" t="s">
        <v>39</v>
      </c>
      <c r="D1299" t="s">
        <v>43</v>
      </c>
      <c r="E1299" t="s">
        <v>30</v>
      </c>
      <c r="F1299" t="s">
        <v>40</v>
      </c>
      <c r="G1299" t="s">
        <v>45</v>
      </c>
      <c r="H1299" t="s">
        <v>26</v>
      </c>
      <c r="I1299" t="s">
        <v>59</v>
      </c>
      <c r="J1299">
        <v>755</v>
      </c>
      <c r="K1299">
        <v>3</v>
      </c>
      <c r="L1299">
        <v>31.46</v>
      </c>
    </row>
    <row r="1300" spans="1:12" x14ac:dyDescent="0.3">
      <c r="A1300" t="s">
        <v>390</v>
      </c>
      <c r="B1300" s="1">
        <v>45214</v>
      </c>
      <c r="C1300" t="s">
        <v>165</v>
      </c>
      <c r="D1300" t="s">
        <v>62</v>
      </c>
      <c r="E1300" t="s">
        <v>15</v>
      </c>
      <c r="F1300" t="s">
        <v>16</v>
      </c>
      <c r="G1300" t="s">
        <v>45</v>
      </c>
      <c r="H1300" t="s">
        <v>49</v>
      </c>
      <c r="I1300" t="s">
        <v>59</v>
      </c>
      <c r="J1300">
        <v>1225</v>
      </c>
      <c r="K1300">
        <v>4</v>
      </c>
      <c r="L1300">
        <v>490.98</v>
      </c>
    </row>
    <row r="1301" spans="1:12" x14ac:dyDescent="0.3">
      <c r="A1301" t="s">
        <v>391</v>
      </c>
      <c r="B1301" s="1">
        <v>45054</v>
      </c>
      <c r="C1301" t="s">
        <v>66</v>
      </c>
      <c r="D1301" t="s">
        <v>78</v>
      </c>
      <c r="E1301" t="s">
        <v>15</v>
      </c>
      <c r="F1301" t="s">
        <v>31</v>
      </c>
      <c r="G1301" t="s">
        <v>37</v>
      </c>
      <c r="H1301" t="s">
        <v>18</v>
      </c>
      <c r="I1301" t="s">
        <v>19</v>
      </c>
      <c r="J1301">
        <v>1232</v>
      </c>
      <c r="K1301">
        <v>3</v>
      </c>
      <c r="L1301">
        <v>224.71</v>
      </c>
    </row>
    <row r="1302" spans="1:12" x14ac:dyDescent="0.3">
      <c r="A1302" t="s">
        <v>392</v>
      </c>
      <c r="B1302" s="1">
        <v>45209</v>
      </c>
      <c r="C1302" t="s">
        <v>162</v>
      </c>
      <c r="D1302" t="s">
        <v>29</v>
      </c>
      <c r="E1302" t="s">
        <v>30</v>
      </c>
      <c r="F1302" t="s">
        <v>16</v>
      </c>
      <c r="G1302" t="s">
        <v>17</v>
      </c>
      <c r="H1302" t="s">
        <v>26</v>
      </c>
      <c r="I1302" t="s">
        <v>59</v>
      </c>
      <c r="J1302">
        <v>382</v>
      </c>
      <c r="K1302">
        <v>5</v>
      </c>
      <c r="L1302">
        <v>62.91</v>
      </c>
    </row>
    <row r="1303" spans="1:12" x14ac:dyDescent="0.3">
      <c r="A1303" t="s">
        <v>393</v>
      </c>
      <c r="B1303" s="1">
        <v>44897</v>
      </c>
      <c r="C1303" t="s">
        <v>61</v>
      </c>
      <c r="D1303" t="s">
        <v>52</v>
      </c>
      <c r="E1303" t="s">
        <v>30</v>
      </c>
      <c r="F1303" t="s">
        <v>31</v>
      </c>
      <c r="G1303" t="s">
        <v>17</v>
      </c>
      <c r="H1303" t="s">
        <v>33</v>
      </c>
      <c r="I1303" t="s">
        <v>34</v>
      </c>
      <c r="J1303">
        <v>437</v>
      </c>
      <c r="K1303">
        <v>3</v>
      </c>
      <c r="L1303">
        <v>102.9</v>
      </c>
    </row>
    <row r="1304" spans="1:12" x14ac:dyDescent="0.3">
      <c r="A1304" t="s">
        <v>394</v>
      </c>
      <c r="B1304" s="1">
        <v>45270</v>
      </c>
      <c r="C1304" t="s">
        <v>122</v>
      </c>
      <c r="D1304" t="s">
        <v>56</v>
      </c>
      <c r="E1304" t="s">
        <v>30</v>
      </c>
      <c r="F1304" t="s">
        <v>16</v>
      </c>
      <c r="G1304" t="s">
        <v>32</v>
      </c>
      <c r="H1304" t="s">
        <v>26</v>
      </c>
      <c r="I1304" t="s">
        <v>34</v>
      </c>
      <c r="J1304">
        <v>860</v>
      </c>
      <c r="K1304">
        <v>5</v>
      </c>
      <c r="L1304">
        <v>231.26</v>
      </c>
    </row>
    <row r="1305" spans="1:12" x14ac:dyDescent="0.3">
      <c r="A1305" t="s">
        <v>395</v>
      </c>
      <c r="B1305" s="1">
        <v>44572</v>
      </c>
      <c r="C1305" t="s">
        <v>98</v>
      </c>
      <c r="D1305" t="s">
        <v>22</v>
      </c>
      <c r="E1305" t="s">
        <v>23</v>
      </c>
      <c r="F1305" t="s">
        <v>24</v>
      </c>
      <c r="G1305" t="s">
        <v>32</v>
      </c>
      <c r="H1305" t="s">
        <v>49</v>
      </c>
      <c r="I1305" t="s">
        <v>59</v>
      </c>
      <c r="J1305">
        <v>1373</v>
      </c>
      <c r="K1305">
        <v>5</v>
      </c>
      <c r="L1305">
        <v>993.39</v>
      </c>
    </row>
    <row r="1306" spans="1:12" x14ac:dyDescent="0.3">
      <c r="A1306" t="s">
        <v>396</v>
      </c>
      <c r="B1306" s="1">
        <v>45050</v>
      </c>
      <c r="C1306" t="s">
        <v>127</v>
      </c>
      <c r="D1306" t="s">
        <v>29</v>
      </c>
      <c r="E1306" t="s">
        <v>30</v>
      </c>
      <c r="F1306" t="s">
        <v>40</v>
      </c>
      <c r="G1306" t="s">
        <v>32</v>
      </c>
      <c r="H1306" t="s">
        <v>18</v>
      </c>
      <c r="I1306" t="s">
        <v>59</v>
      </c>
      <c r="J1306">
        <v>529</v>
      </c>
      <c r="K1306">
        <v>5</v>
      </c>
      <c r="L1306">
        <v>160.03</v>
      </c>
    </row>
    <row r="1307" spans="1:12" x14ac:dyDescent="0.3">
      <c r="A1307" t="s">
        <v>397</v>
      </c>
      <c r="B1307" s="1">
        <v>45068</v>
      </c>
      <c r="C1307" t="s">
        <v>122</v>
      </c>
      <c r="D1307" t="s">
        <v>22</v>
      </c>
      <c r="E1307" t="s">
        <v>23</v>
      </c>
      <c r="F1307" t="s">
        <v>24</v>
      </c>
      <c r="G1307" t="s">
        <v>25</v>
      </c>
      <c r="H1307" t="s">
        <v>33</v>
      </c>
      <c r="I1307" t="s">
        <v>34</v>
      </c>
      <c r="J1307">
        <v>622</v>
      </c>
      <c r="K1307">
        <v>2</v>
      </c>
      <c r="L1307">
        <v>146.94</v>
      </c>
    </row>
    <row r="1308" spans="1:12" x14ac:dyDescent="0.3">
      <c r="A1308" t="s">
        <v>398</v>
      </c>
      <c r="B1308" s="1">
        <v>44585</v>
      </c>
      <c r="C1308" t="s">
        <v>165</v>
      </c>
      <c r="D1308" t="s">
        <v>29</v>
      </c>
      <c r="E1308" t="s">
        <v>30</v>
      </c>
      <c r="F1308" t="s">
        <v>40</v>
      </c>
      <c r="G1308" t="s">
        <v>25</v>
      </c>
      <c r="H1308" t="s">
        <v>26</v>
      </c>
      <c r="I1308" t="s">
        <v>19</v>
      </c>
      <c r="J1308">
        <v>585</v>
      </c>
      <c r="K1308">
        <v>5</v>
      </c>
      <c r="L1308">
        <v>168.4</v>
      </c>
    </row>
    <row r="1309" spans="1:12" x14ac:dyDescent="0.3">
      <c r="A1309" t="s">
        <v>399</v>
      </c>
      <c r="B1309" s="1">
        <v>44586</v>
      </c>
      <c r="C1309" t="s">
        <v>140</v>
      </c>
      <c r="D1309" t="s">
        <v>29</v>
      </c>
      <c r="E1309" t="s">
        <v>30</v>
      </c>
      <c r="F1309" t="s">
        <v>40</v>
      </c>
      <c r="G1309" t="s">
        <v>37</v>
      </c>
      <c r="H1309" t="s">
        <v>18</v>
      </c>
      <c r="I1309" t="s">
        <v>59</v>
      </c>
      <c r="J1309">
        <v>662</v>
      </c>
      <c r="K1309">
        <v>2</v>
      </c>
      <c r="L1309">
        <v>194.58</v>
      </c>
    </row>
    <row r="1310" spans="1:12" x14ac:dyDescent="0.3">
      <c r="A1310" t="s">
        <v>400</v>
      </c>
      <c r="B1310" s="1">
        <v>45237</v>
      </c>
      <c r="C1310" t="s">
        <v>58</v>
      </c>
      <c r="D1310" t="s">
        <v>43</v>
      </c>
      <c r="E1310" t="s">
        <v>30</v>
      </c>
      <c r="F1310" t="s">
        <v>31</v>
      </c>
      <c r="G1310" t="s">
        <v>17</v>
      </c>
      <c r="H1310" t="s">
        <v>33</v>
      </c>
      <c r="I1310" t="s">
        <v>59</v>
      </c>
      <c r="J1310">
        <v>624</v>
      </c>
      <c r="K1310">
        <v>1</v>
      </c>
      <c r="L1310">
        <v>74.84</v>
      </c>
    </row>
    <row r="1311" spans="1:12" x14ac:dyDescent="0.3">
      <c r="A1311" t="s">
        <v>401</v>
      </c>
      <c r="B1311" s="1">
        <v>44611</v>
      </c>
      <c r="C1311" t="s">
        <v>77</v>
      </c>
      <c r="D1311" t="s">
        <v>14</v>
      </c>
      <c r="E1311" t="s">
        <v>15</v>
      </c>
      <c r="F1311" t="s">
        <v>24</v>
      </c>
      <c r="G1311" t="s">
        <v>17</v>
      </c>
      <c r="H1311" t="s">
        <v>18</v>
      </c>
      <c r="I1311" t="s">
        <v>59</v>
      </c>
      <c r="J1311">
        <v>927</v>
      </c>
      <c r="K1311">
        <v>4</v>
      </c>
      <c r="L1311">
        <v>194.1</v>
      </c>
    </row>
    <row r="1312" spans="1:12" x14ac:dyDescent="0.3">
      <c r="A1312" t="s">
        <v>402</v>
      </c>
      <c r="B1312" s="1">
        <v>44661</v>
      </c>
      <c r="C1312" t="s">
        <v>77</v>
      </c>
      <c r="D1312" t="s">
        <v>56</v>
      </c>
      <c r="E1312" t="s">
        <v>30</v>
      </c>
      <c r="F1312" t="s">
        <v>16</v>
      </c>
      <c r="G1312" t="s">
        <v>32</v>
      </c>
      <c r="H1312" t="s">
        <v>49</v>
      </c>
      <c r="I1312" t="s">
        <v>59</v>
      </c>
      <c r="J1312">
        <v>662</v>
      </c>
      <c r="K1312">
        <v>4</v>
      </c>
      <c r="L1312">
        <v>335.11</v>
      </c>
    </row>
    <row r="1313" spans="1:12" x14ac:dyDescent="0.3">
      <c r="A1313" t="s">
        <v>403</v>
      </c>
      <c r="B1313" s="1">
        <v>45045</v>
      </c>
      <c r="C1313" t="s">
        <v>66</v>
      </c>
      <c r="D1313" t="s">
        <v>90</v>
      </c>
      <c r="E1313" t="s">
        <v>23</v>
      </c>
      <c r="F1313" t="s">
        <v>16</v>
      </c>
      <c r="G1313" t="s">
        <v>32</v>
      </c>
      <c r="H1313" t="s">
        <v>18</v>
      </c>
      <c r="I1313" t="s">
        <v>19</v>
      </c>
      <c r="J1313">
        <v>440</v>
      </c>
      <c r="K1313">
        <v>4</v>
      </c>
      <c r="L1313">
        <v>93.71</v>
      </c>
    </row>
    <row r="1314" spans="1:12" x14ac:dyDescent="0.3">
      <c r="A1314" t="s">
        <v>404</v>
      </c>
      <c r="B1314" s="1">
        <v>45234</v>
      </c>
      <c r="C1314" t="s">
        <v>47</v>
      </c>
      <c r="D1314" t="s">
        <v>90</v>
      </c>
      <c r="E1314" t="s">
        <v>23</v>
      </c>
      <c r="F1314" t="s">
        <v>44</v>
      </c>
      <c r="G1314" t="s">
        <v>45</v>
      </c>
      <c r="H1314" t="s">
        <v>49</v>
      </c>
      <c r="I1314" t="s">
        <v>34</v>
      </c>
      <c r="J1314">
        <v>596</v>
      </c>
      <c r="K1314">
        <v>4</v>
      </c>
      <c r="L1314">
        <v>266.24</v>
      </c>
    </row>
    <row r="1315" spans="1:12" x14ac:dyDescent="0.3">
      <c r="A1315" t="s">
        <v>405</v>
      </c>
      <c r="B1315" s="1">
        <v>45034</v>
      </c>
      <c r="C1315" t="s">
        <v>111</v>
      </c>
      <c r="D1315" t="s">
        <v>62</v>
      </c>
      <c r="E1315" t="s">
        <v>15</v>
      </c>
      <c r="F1315" t="s">
        <v>16</v>
      </c>
      <c r="G1315" t="s">
        <v>17</v>
      </c>
      <c r="H1315" t="s">
        <v>26</v>
      </c>
      <c r="I1315" t="s">
        <v>59</v>
      </c>
      <c r="J1315">
        <v>1429</v>
      </c>
      <c r="K1315">
        <v>5</v>
      </c>
      <c r="L1315">
        <v>866.53</v>
      </c>
    </row>
    <row r="1316" spans="1:12" x14ac:dyDescent="0.3">
      <c r="A1316" t="s">
        <v>406</v>
      </c>
      <c r="B1316" s="1">
        <v>44669</v>
      </c>
      <c r="C1316" t="s">
        <v>127</v>
      </c>
      <c r="D1316" t="s">
        <v>90</v>
      </c>
      <c r="E1316" t="s">
        <v>23</v>
      </c>
      <c r="F1316" t="s">
        <v>40</v>
      </c>
      <c r="G1316" t="s">
        <v>17</v>
      </c>
      <c r="H1316" t="s">
        <v>49</v>
      </c>
      <c r="I1316" t="s">
        <v>59</v>
      </c>
      <c r="J1316">
        <v>1169</v>
      </c>
      <c r="K1316">
        <v>4</v>
      </c>
      <c r="L1316">
        <v>696.25</v>
      </c>
    </row>
    <row r="1317" spans="1:12" x14ac:dyDescent="0.3">
      <c r="A1317" t="s">
        <v>407</v>
      </c>
      <c r="B1317" s="1">
        <v>44770</v>
      </c>
      <c r="C1317" t="s">
        <v>180</v>
      </c>
      <c r="D1317" t="s">
        <v>90</v>
      </c>
      <c r="E1317" t="s">
        <v>23</v>
      </c>
      <c r="F1317" t="s">
        <v>24</v>
      </c>
      <c r="G1317" t="s">
        <v>25</v>
      </c>
      <c r="H1317" t="s">
        <v>33</v>
      </c>
      <c r="I1317" t="s">
        <v>19</v>
      </c>
      <c r="J1317">
        <v>503</v>
      </c>
      <c r="K1317">
        <v>1</v>
      </c>
      <c r="L1317">
        <v>62.41</v>
      </c>
    </row>
    <row r="1318" spans="1:12" x14ac:dyDescent="0.3">
      <c r="A1318" t="s">
        <v>408</v>
      </c>
      <c r="B1318" s="1">
        <v>44893</v>
      </c>
      <c r="C1318" t="s">
        <v>36</v>
      </c>
      <c r="D1318" t="s">
        <v>29</v>
      </c>
      <c r="E1318" t="s">
        <v>30</v>
      </c>
      <c r="F1318" t="s">
        <v>31</v>
      </c>
      <c r="G1318" t="s">
        <v>25</v>
      </c>
      <c r="H1318" t="s">
        <v>18</v>
      </c>
      <c r="I1318" t="s">
        <v>59</v>
      </c>
      <c r="J1318">
        <v>904</v>
      </c>
      <c r="K1318">
        <v>4</v>
      </c>
      <c r="L1318">
        <v>301.06</v>
      </c>
    </row>
    <row r="1319" spans="1:12" x14ac:dyDescent="0.3">
      <c r="A1319" t="s">
        <v>409</v>
      </c>
      <c r="B1319" s="1">
        <v>44747</v>
      </c>
      <c r="C1319" t="s">
        <v>113</v>
      </c>
      <c r="D1319" t="s">
        <v>22</v>
      </c>
      <c r="E1319" t="s">
        <v>23</v>
      </c>
      <c r="F1319" t="s">
        <v>16</v>
      </c>
      <c r="G1319" t="s">
        <v>37</v>
      </c>
      <c r="H1319" t="s">
        <v>26</v>
      </c>
      <c r="I1319" t="s">
        <v>19</v>
      </c>
      <c r="J1319">
        <v>618</v>
      </c>
      <c r="K1319">
        <v>5</v>
      </c>
      <c r="L1319">
        <v>398.98</v>
      </c>
    </row>
    <row r="1320" spans="1:12" x14ac:dyDescent="0.3">
      <c r="A1320" t="s">
        <v>410</v>
      </c>
      <c r="B1320" s="1">
        <v>44747</v>
      </c>
      <c r="C1320" t="s">
        <v>129</v>
      </c>
      <c r="D1320" t="s">
        <v>43</v>
      </c>
      <c r="E1320" t="s">
        <v>30</v>
      </c>
      <c r="F1320" t="s">
        <v>16</v>
      </c>
      <c r="G1320" t="s">
        <v>32</v>
      </c>
      <c r="H1320" t="s">
        <v>49</v>
      </c>
      <c r="I1320" t="s">
        <v>59</v>
      </c>
      <c r="J1320">
        <v>88</v>
      </c>
      <c r="K1320">
        <v>4</v>
      </c>
      <c r="L1320">
        <v>22.97</v>
      </c>
    </row>
    <row r="1321" spans="1:12" x14ac:dyDescent="0.3">
      <c r="A1321" t="s">
        <v>411</v>
      </c>
      <c r="B1321" s="1">
        <v>45187</v>
      </c>
      <c r="C1321" t="s">
        <v>51</v>
      </c>
      <c r="D1321" t="s">
        <v>14</v>
      </c>
      <c r="E1321" t="s">
        <v>15</v>
      </c>
      <c r="F1321" t="s">
        <v>44</v>
      </c>
      <c r="G1321" t="s">
        <v>17</v>
      </c>
      <c r="H1321" t="s">
        <v>26</v>
      </c>
      <c r="I1321" t="s">
        <v>34</v>
      </c>
      <c r="J1321">
        <v>842</v>
      </c>
      <c r="K1321">
        <v>3</v>
      </c>
      <c r="L1321">
        <v>188.18</v>
      </c>
    </row>
    <row r="1322" spans="1:12" x14ac:dyDescent="0.3">
      <c r="A1322" t="s">
        <v>412</v>
      </c>
      <c r="B1322" s="1">
        <v>44650</v>
      </c>
      <c r="C1322" t="s">
        <v>159</v>
      </c>
      <c r="D1322" t="s">
        <v>43</v>
      </c>
      <c r="E1322" t="s">
        <v>30</v>
      </c>
      <c r="F1322" t="s">
        <v>16</v>
      </c>
      <c r="G1322" t="s">
        <v>37</v>
      </c>
      <c r="H1322" t="s">
        <v>18</v>
      </c>
      <c r="I1322" t="s">
        <v>59</v>
      </c>
      <c r="J1322">
        <v>929</v>
      </c>
      <c r="K1322">
        <v>3</v>
      </c>
      <c r="L1322">
        <v>83.26</v>
      </c>
    </row>
    <row r="1323" spans="1:12" x14ac:dyDescent="0.3">
      <c r="A1323" t="s">
        <v>413</v>
      </c>
      <c r="B1323" s="1">
        <v>45177</v>
      </c>
      <c r="C1323" t="s">
        <v>117</v>
      </c>
      <c r="D1323" t="s">
        <v>43</v>
      </c>
      <c r="E1323" t="s">
        <v>30</v>
      </c>
      <c r="F1323" t="s">
        <v>24</v>
      </c>
      <c r="G1323" t="s">
        <v>25</v>
      </c>
      <c r="H1323" t="s">
        <v>33</v>
      </c>
      <c r="I1323" t="s">
        <v>59</v>
      </c>
      <c r="J1323">
        <v>901</v>
      </c>
      <c r="K1323">
        <v>4</v>
      </c>
      <c r="L1323">
        <v>540.32000000000005</v>
      </c>
    </row>
    <row r="1324" spans="1:12" x14ac:dyDescent="0.3">
      <c r="A1324" t="s">
        <v>414</v>
      </c>
      <c r="B1324" s="1">
        <v>44775</v>
      </c>
      <c r="C1324" t="s">
        <v>73</v>
      </c>
      <c r="D1324" t="s">
        <v>52</v>
      </c>
      <c r="E1324" t="s">
        <v>30</v>
      </c>
      <c r="F1324" t="s">
        <v>44</v>
      </c>
      <c r="G1324" t="s">
        <v>45</v>
      </c>
      <c r="H1324" t="s">
        <v>18</v>
      </c>
      <c r="I1324" t="s">
        <v>59</v>
      </c>
      <c r="J1324">
        <v>1270</v>
      </c>
      <c r="K1324">
        <v>2</v>
      </c>
      <c r="L1324">
        <v>218.68</v>
      </c>
    </row>
    <row r="1325" spans="1:12" x14ac:dyDescent="0.3">
      <c r="A1325" t="s">
        <v>415</v>
      </c>
      <c r="B1325" s="1">
        <v>45122</v>
      </c>
      <c r="C1325" t="s">
        <v>98</v>
      </c>
      <c r="D1325" t="s">
        <v>29</v>
      </c>
      <c r="E1325" t="s">
        <v>30</v>
      </c>
      <c r="F1325" t="s">
        <v>16</v>
      </c>
      <c r="G1325" t="s">
        <v>25</v>
      </c>
      <c r="H1325" t="s">
        <v>18</v>
      </c>
      <c r="I1325" t="s">
        <v>19</v>
      </c>
      <c r="J1325">
        <v>648</v>
      </c>
      <c r="K1325">
        <v>5</v>
      </c>
      <c r="L1325">
        <v>391.65</v>
      </c>
    </row>
    <row r="1326" spans="1:12" x14ac:dyDescent="0.3">
      <c r="A1326" t="s">
        <v>416</v>
      </c>
      <c r="B1326" s="1">
        <v>45021</v>
      </c>
      <c r="C1326" t="s">
        <v>87</v>
      </c>
      <c r="D1326" t="s">
        <v>43</v>
      </c>
      <c r="E1326" t="s">
        <v>30</v>
      </c>
      <c r="F1326" t="s">
        <v>31</v>
      </c>
      <c r="G1326" t="s">
        <v>45</v>
      </c>
      <c r="H1326" t="s">
        <v>49</v>
      </c>
      <c r="I1326" t="s">
        <v>59</v>
      </c>
      <c r="J1326">
        <v>1161</v>
      </c>
      <c r="K1326">
        <v>5</v>
      </c>
      <c r="L1326">
        <v>111.82</v>
      </c>
    </row>
    <row r="1327" spans="1:12" x14ac:dyDescent="0.3">
      <c r="A1327" t="s">
        <v>417</v>
      </c>
      <c r="B1327" s="1">
        <v>45176</v>
      </c>
      <c r="C1327" t="s">
        <v>87</v>
      </c>
      <c r="D1327" t="s">
        <v>29</v>
      </c>
      <c r="E1327" t="s">
        <v>30</v>
      </c>
      <c r="F1327" t="s">
        <v>16</v>
      </c>
      <c r="G1327" t="s">
        <v>32</v>
      </c>
      <c r="H1327" t="s">
        <v>33</v>
      </c>
      <c r="I1327" t="s">
        <v>59</v>
      </c>
      <c r="J1327">
        <v>231</v>
      </c>
      <c r="K1327">
        <v>4</v>
      </c>
      <c r="L1327">
        <v>6.36</v>
      </c>
    </row>
    <row r="1328" spans="1:12" x14ac:dyDescent="0.3">
      <c r="A1328" t="s">
        <v>418</v>
      </c>
      <c r="B1328" s="1">
        <v>45117</v>
      </c>
      <c r="C1328" t="s">
        <v>13</v>
      </c>
      <c r="D1328" t="s">
        <v>78</v>
      </c>
      <c r="E1328" t="s">
        <v>15</v>
      </c>
      <c r="F1328" t="s">
        <v>24</v>
      </c>
      <c r="G1328" t="s">
        <v>32</v>
      </c>
      <c r="H1328" t="s">
        <v>26</v>
      </c>
      <c r="I1328" t="s">
        <v>19</v>
      </c>
      <c r="J1328">
        <v>225</v>
      </c>
      <c r="K1328">
        <v>5</v>
      </c>
      <c r="L1328">
        <v>31.75</v>
      </c>
    </row>
    <row r="1329" spans="1:12" x14ac:dyDescent="0.3">
      <c r="A1329" t="s">
        <v>419</v>
      </c>
      <c r="B1329" s="1">
        <v>45199</v>
      </c>
      <c r="C1329" t="s">
        <v>69</v>
      </c>
      <c r="D1329" t="s">
        <v>22</v>
      </c>
      <c r="E1329" t="s">
        <v>23</v>
      </c>
      <c r="F1329" t="s">
        <v>31</v>
      </c>
      <c r="G1329" t="s">
        <v>25</v>
      </c>
      <c r="H1329" t="s">
        <v>49</v>
      </c>
      <c r="I1329" t="s">
        <v>59</v>
      </c>
      <c r="J1329">
        <v>178</v>
      </c>
      <c r="K1329">
        <v>4</v>
      </c>
      <c r="L1329">
        <v>30.38</v>
      </c>
    </row>
    <row r="1330" spans="1:12" x14ac:dyDescent="0.3">
      <c r="A1330" t="s">
        <v>420</v>
      </c>
      <c r="B1330" s="1">
        <v>44976</v>
      </c>
      <c r="C1330" t="s">
        <v>42</v>
      </c>
      <c r="D1330" t="s">
        <v>48</v>
      </c>
      <c r="E1330" t="s">
        <v>30</v>
      </c>
      <c r="F1330" t="s">
        <v>24</v>
      </c>
      <c r="G1330" t="s">
        <v>17</v>
      </c>
      <c r="H1330" t="s">
        <v>49</v>
      </c>
      <c r="I1330" t="s">
        <v>59</v>
      </c>
      <c r="J1330">
        <v>1284</v>
      </c>
      <c r="K1330">
        <v>3</v>
      </c>
      <c r="L1330">
        <v>162.62</v>
      </c>
    </row>
    <row r="1331" spans="1:12" x14ac:dyDescent="0.3">
      <c r="A1331" t="s">
        <v>421</v>
      </c>
      <c r="B1331" s="1">
        <v>44889</v>
      </c>
      <c r="C1331" t="s">
        <v>28</v>
      </c>
      <c r="D1331" t="s">
        <v>14</v>
      </c>
      <c r="E1331" t="s">
        <v>15</v>
      </c>
      <c r="F1331" t="s">
        <v>31</v>
      </c>
      <c r="G1331" t="s">
        <v>37</v>
      </c>
      <c r="H1331" t="s">
        <v>26</v>
      </c>
      <c r="I1331" t="s">
        <v>19</v>
      </c>
      <c r="J1331">
        <v>153</v>
      </c>
      <c r="K1331">
        <v>2</v>
      </c>
      <c r="L1331">
        <v>38.17</v>
      </c>
    </row>
    <row r="1332" spans="1:12" x14ac:dyDescent="0.3">
      <c r="A1332" t="s">
        <v>422</v>
      </c>
      <c r="B1332" s="1">
        <v>44897</v>
      </c>
      <c r="C1332" t="s">
        <v>249</v>
      </c>
      <c r="D1332" t="s">
        <v>56</v>
      </c>
      <c r="E1332" t="s">
        <v>30</v>
      </c>
      <c r="F1332" t="s">
        <v>31</v>
      </c>
      <c r="G1332" t="s">
        <v>37</v>
      </c>
      <c r="H1332" t="s">
        <v>18</v>
      </c>
      <c r="I1332" t="s">
        <v>19</v>
      </c>
      <c r="J1332">
        <v>850</v>
      </c>
      <c r="K1332">
        <v>5</v>
      </c>
      <c r="L1332">
        <v>560.46</v>
      </c>
    </row>
    <row r="1333" spans="1:12" x14ac:dyDescent="0.3">
      <c r="A1333" t="s">
        <v>423</v>
      </c>
      <c r="B1333" s="1">
        <v>44593</v>
      </c>
      <c r="C1333" t="s">
        <v>249</v>
      </c>
      <c r="D1333" t="s">
        <v>22</v>
      </c>
      <c r="E1333" t="s">
        <v>23</v>
      </c>
      <c r="F1333" t="s">
        <v>44</v>
      </c>
      <c r="G1333" t="s">
        <v>32</v>
      </c>
      <c r="H1333" t="s">
        <v>33</v>
      </c>
      <c r="I1333" t="s">
        <v>59</v>
      </c>
      <c r="J1333">
        <v>68</v>
      </c>
      <c r="K1333">
        <v>1</v>
      </c>
      <c r="L1333">
        <v>9.7100000000000009</v>
      </c>
    </row>
    <row r="1334" spans="1:12" x14ac:dyDescent="0.3">
      <c r="A1334" t="s">
        <v>424</v>
      </c>
      <c r="B1334" s="1">
        <v>44714</v>
      </c>
      <c r="C1334" t="s">
        <v>154</v>
      </c>
      <c r="D1334" t="s">
        <v>52</v>
      </c>
      <c r="E1334" t="s">
        <v>30</v>
      </c>
      <c r="F1334" t="s">
        <v>40</v>
      </c>
      <c r="G1334" t="s">
        <v>17</v>
      </c>
      <c r="H1334" t="s">
        <v>49</v>
      </c>
      <c r="I1334" t="s">
        <v>19</v>
      </c>
      <c r="J1334">
        <v>1156</v>
      </c>
      <c r="K1334">
        <v>5</v>
      </c>
      <c r="L1334">
        <v>259.63</v>
      </c>
    </row>
    <row r="1335" spans="1:12" x14ac:dyDescent="0.3">
      <c r="A1335" t="s">
        <v>425</v>
      </c>
      <c r="B1335" s="1">
        <v>45150</v>
      </c>
      <c r="C1335" t="s">
        <v>77</v>
      </c>
      <c r="D1335" t="s">
        <v>78</v>
      </c>
      <c r="E1335" t="s">
        <v>15</v>
      </c>
      <c r="F1335" t="s">
        <v>31</v>
      </c>
      <c r="G1335" t="s">
        <v>17</v>
      </c>
      <c r="H1335" t="s">
        <v>33</v>
      </c>
      <c r="I1335" t="s">
        <v>34</v>
      </c>
      <c r="J1335">
        <v>111</v>
      </c>
      <c r="K1335">
        <v>5</v>
      </c>
      <c r="L1335">
        <v>16.170000000000002</v>
      </c>
    </row>
    <row r="1336" spans="1:12" x14ac:dyDescent="0.3">
      <c r="A1336" t="s">
        <v>426</v>
      </c>
      <c r="B1336" s="1">
        <v>45173</v>
      </c>
      <c r="C1336" t="s">
        <v>154</v>
      </c>
      <c r="D1336" t="s">
        <v>43</v>
      </c>
      <c r="E1336" t="s">
        <v>30</v>
      </c>
      <c r="F1336" t="s">
        <v>24</v>
      </c>
      <c r="G1336" t="s">
        <v>32</v>
      </c>
      <c r="H1336" t="s">
        <v>33</v>
      </c>
      <c r="I1336" t="s">
        <v>59</v>
      </c>
      <c r="J1336">
        <v>1294</v>
      </c>
      <c r="K1336">
        <v>2</v>
      </c>
      <c r="L1336">
        <v>260.61</v>
      </c>
    </row>
    <row r="1337" spans="1:12" x14ac:dyDescent="0.3">
      <c r="A1337" t="s">
        <v>427</v>
      </c>
      <c r="B1337" s="1">
        <v>45047</v>
      </c>
      <c r="C1337" t="s">
        <v>98</v>
      </c>
      <c r="D1337" t="s">
        <v>48</v>
      </c>
      <c r="E1337" t="s">
        <v>30</v>
      </c>
      <c r="F1337" t="s">
        <v>24</v>
      </c>
      <c r="G1337" t="s">
        <v>45</v>
      </c>
      <c r="H1337" t="s">
        <v>26</v>
      </c>
      <c r="I1337" t="s">
        <v>34</v>
      </c>
      <c r="J1337">
        <v>419</v>
      </c>
      <c r="K1337">
        <v>2</v>
      </c>
      <c r="L1337">
        <v>116.68</v>
      </c>
    </row>
    <row r="1338" spans="1:12" x14ac:dyDescent="0.3">
      <c r="A1338" t="s">
        <v>428</v>
      </c>
      <c r="B1338" s="1">
        <v>45054</v>
      </c>
      <c r="C1338" t="s">
        <v>119</v>
      </c>
      <c r="D1338" t="s">
        <v>29</v>
      </c>
      <c r="E1338" t="s">
        <v>30</v>
      </c>
      <c r="F1338" t="s">
        <v>31</v>
      </c>
      <c r="G1338" t="s">
        <v>32</v>
      </c>
      <c r="H1338" t="s">
        <v>49</v>
      </c>
      <c r="I1338" t="s">
        <v>19</v>
      </c>
      <c r="J1338">
        <v>802</v>
      </c>
      <c r="K1338">
        <v>1</v>
      </c>
      <c r="L1338">
        <v>28.56</v>
      </c>
    </row>
    <row r="1339" spans="1:12" x14ac:dyDescent="0.3">
      <c r="A1339" t="s">
        <v>429</v>
      </c>
      <c r="B1339" s="1">
        <v>44958</v>
      </c>
      <c r="C1339" t="s">
        <v>113</v>
      </c>
      <c r="D1339" t="s">
        <v>14</v>
      </c>
      <c r="E1339" t="s">
        <v>15</v>
      </c>
      <c r="F1339" t="s">
        <v>24</v>
      </c>
      <c r="G1339" t="s">
        <v>32</v>
      </c>
      <c r="H1339" t="s">
        <v>33</v>
      </c>
      <c r="I1339" t="s">
        <v>59</v>
      </c>
      <c r="J1339">
        <v>945</v>
      </c>
      <c r="K1339">
        <v>1</v>
      </c>
      <c r="L1339">
        <v>90.14</v>
      </c>
    </row>
    <row r="1340" spans="1:12" x14ac:dyDescent="0.3">
      <c r="A1340" t="s">
        <v>430</v>
      </c>
      <c r="B1340" s="1">
        <v>44663</v>
      </c>
      <c r="C1340" t="s">
        <v>117</v>
      </c>
      <c r="D1340" t="s">
        <v>78</v>
      </c>
      <c r="E1340" t="s">
        <v>15</v>
      </c>
      <c r="F1340" t="s">
        <v>31</v>
      </c>
      <c r="G1340" t="s">
        <v>25</v>
      </c>
      <c r="H1340" t="s">
        <v>33</v>
      </c>
      <c r="I1340" t="s">
        <v>59</v>
      </c>
      <c r="J1340">
        <v>159</v>
      </c>
      <c r="K1340">
        <v>4</v>
      </c>
      <c r="L1340">
        <v>74.180000000000007</v>
      </c>
    </row>
    <row r="1341" spans="1:12" x14ac:dyDescent="0.3">
      <c r="A1341" t="s">
        <v>431</v>
      </c>
      <c r="B1341" s="1">
        <v>45015</v>
      </c>
      <c r="C1341" t="s">
        <v>191</v>
      </c>
      <c r="D1341" t="s">
        <v>90</v>
      </c>
      <c r="E1341" t="s">
        <v>23</v>
      </c>
      <c r="F1341" t="s">
        <v>16</v>
      </c>
      <c r="G1341" t="s">
        <v>37</v>
      </c>
      <c r="H1341" t="s">
        <v>49</v>
      </c>
      <c r="I1341" t="s">
        <v>59</v>
      </c>
      <c r="J1341">
        <v>1289</v>
      </c>
      <c r="K1341">
        <v>2</v>
      </c>
      <c r="L1341">
        <v>17.96</v>
      </c>
    </row>
    <row r="1342" spans="1:12" x14ac:dyDescent="0.3">
      <c r="A1342" t="s">
        <v>432</v>
      </c>
      <c r="B1342" s="1">
        <v>44950</v>
      </c>
      <c r="C1342" t="s">
        <v>73</v>
      </c>
      <c r="D1342" t="s">
        <v>62</v>
      </c>
      <c r="E1342" t="s">
        <v>15</v>
      </c>
      <c r="F1342" t="s">
        <v>44</v>
      </c>
      <c r="G1342" t="s">
        <v>25</v>
      </c>
      <c r="H1342" t="s">
        <v>26</v>
      </c>
      <c r="I1342" t="s">
        <v>59</v>
      </c>
      <c r="J1342">
        <v>294</v>
      </c>
      <c r="K1342">
        <v>3</v>
      </c>
      <c r="L1342">
        <v>95.33</v>
      </c>
    </row>
    <row r="1343" spans="1:12" x14ac:dyDescent="0.3">
      <c r="A1343" t="s">
        <v>433</v>
      </c>
      <c r="B1343" s="1">
        <v>44747</v>
      </c>
      <c r="C1343" t="s">
        <v>129</v>
      </c>
      <c r="D1343" t="s">
        <v>78</v>
      </c>
      <c r="E1343" t="s">
        <v>15</v>
      </c>
      <c r="F1343" t="s">
        <v>40</v>
      </c>
      <c r="G1343" t="s">
        <v>25</v>
      </c>
      <c r="H1343" t="s">
        <v>49</v>
      </c>
      <c r="I1343" t="s">
        <v>59</v>
      </c>
      <c r="J1343">
        <v>267</v>
      </c>
      <c r="K1343">
        <v>1</v>
      </c>
      <c r="L1343">
        <v>6.61</v>
      </c>
    </row>
    <row r="1344" spans="1:12" x14ac:dyDescent="0.3">
      <c r="A1344" t="s">
        <v>434</v>
      </c>
      <c r="B1344" s="1">
        <v>45091</v>
      </c>
      <c r="C1344" t="s">
        <v>28</v>
      </c>
      <c r="D1344" t="s">
        <v>14</v>
      </c>
      <c r="E1344" t="s">
        <v>15</v>
      </c>
      <c r="F1344" t="s">
        <v>31</v>
      </c>
      <c r="G1344" t="s">
        <v>32</v>
      </c>
      <c r="H1344" t="s">
        <v>49</v>
      </c>
      <c r="I1344" t="s">
        <v>19</v>
      </c>
      <c r="J1344">
        <v>892</v>
      </c>
      <c r="K1344">
        <v>5</v>
      </c>
      <c r="L1344">
        <v>531.79</v>
      </c>
    </row>
    <row r="1345" spans="1:12" x14ac:dyDescent="0.3">
      <c r="A1345" t="s">
        <v>435</v>
      </c>
      <c r="B1345" s="1">
        <v>44597</v>
      </c>
      <c r="C1345" t="s">
        <v>191</v>
      </c>
      <c r="D1345" t="s">
        <v>62</v>
      </c>
      <c r="E1345" t="s">
        <v>15</v>
      </c>
      <c r="F1345" t="s">
        <v>40</v>
      </c>
      <c r="G1345" t="s">
        <v>17</v>
      </c>
      <c r="H1345" t="s">
        <v>33</v>
      </c>
      <c r="I1345" t="s">
        <v>59</v>
      </c>
      <c r="J1345">
        <v>1037</v>
      </c>
      <c r="K1345">
        <v>5</v>
      </c>
      <c r="L1345">
        <v>720.84</v>
      </c>
    </row>
    <row r="1346" spans="1:12" x14ac:dyDescent="0.3">
      <c r="A1346" t="s">
        <v>436</v>
      </c>
      <c r="B1346" s="1">
        <v>45160</v>
      </c>
      <c r="C1346" t="s">
        <v>66</v>
      </c>
      <c r="D1346" t="s">
        <v>48</v>
      </c>
      <c r="E1346" t="s">
        <v>30</v>
      </c>
      <c r="F1346" t="s">
        <v>24</v>
      </c>
      <c r="G1346" t="s">
        <v>37</v>
      </c>
      <c r="H1346" t="s">
        <v>26</v>
      </c>
      <c r="I1346" t="s">
        <v>34</v>
      </c>
      <c r="J1346">
        <v>569</v>
      </c>
      <c r="K1346">
        <v>5</v>
      </c>
      <c r="L1346">
        <v>261.2</v>
      </c>
    </row>
    <row r="1347" spans="1:12" x14ac:dyDescent="0.3">
      <c r="A1347" t="s">
        <v>437</v>
      </c>
      <c r="B1347" s="1">
        <v>45071</v>
      </c>
      <c r="C1347" t="s">
        <v>71</v>
      </c>
      <c r="D1347" t="s">
        <v>22</v>
      </c>
      <c r="E1347" t="s">
        <v>23</v>
      </c>
      <c r="F1347" t="s">
        <v>40</v>
      </c>
      <c r="G1347" t="s">
        <v>17</v>
      </c>
      <c r="H1347" t="s">
        <v>26</v>
      </c>
      <c r="I1347" t="s">
        <v>34</v>
      </c>
      <c r="J1347">
        <v>645</v>
      </c>
      <c r="K1347">
        <v>3</v>
      </c>
      <c r="L1347">
        <v>118.59</v>
      </c>
    </row>
    <row r="1348" spans="1:12" x14ac:dyDescent="0.3">
      <c r="A1348" t="s">
        <v>438</v>
      </c>
      <c r="B1348" s="1">
        <v>45033</v>
      </c>
      <c r="C1348" t="s">
        <v>96</v>
      </c>
      <c r="D1348" t="s">
        <v>29</v>
      </c>
      <c r="E1348" t="s">
        <v>30</v>
      </c>
      <c r="F1348" t="s">
        <v>40</v>
      </c>
      <c r="G1348" t="s">
        <v>45</v>
      </c>
      <c r="H1348" t="s">
        <v>33</v>
      </c>
      <c r="I1348" t="s">
        <v>59</v>
      </c>
      <c r="J1348">
        <v>294</v>
      </c>
      <c r="K1348">
        <v>2</v>
      </c>
      <c r="L1348">
        <v>8.73</v>
      </c>
    </row>
    <row r="1349" spans="1:12" x14ac:dyDescent="0.3">
      <c r="A1349" t="s">
        <v>439</v>
      </c>
      <c r="B1349" s="1">
        <v>45009</v>
      </c>
      <c r="C1349" t="s">
        <v>71</v>
      </c>
      <c r="D1349" t="s">
        <v>90</v>
      </c>
      <c r="E1349" t="s">
        <v>23</v>
      </c>
      <c r="F1349" t="s">
        <v>31</v>
      </c>
      <c r="G1349" t="s">
        <v>37</v>
      </c>
      <c r="H1349" t="s">
        <v>49</v>
      </c>
      <c r="I1349" t="s">
        <v>59</v>
      </c>
      <c r="J1349">
        <v>316</v>
      </c>
      <c r="K1349">
        <v>5</v>
      </c>
      <c r="L1349">
        <v>129.75</v>
      </c>
    </row>
    <row r="1350" spans="1:12" x14ac:dyDescent="0.3">
      <c r="A1350" t="s">
        <v>440</v>
      </c>
      <c r="B1350" s="1">
        <v>44595</v>
      </c>
      <c r="C1350" t="s">
        <v>73</v>
      </c>
      <c r="D1350" t="s">
        <v>56</v>
      </c>
      <c r="E1350" t="s">
        <v>30</v>
      </c>
      <c r="F1350" t="s">
        <v>44</v>
      </c>
      <c r="G1350" t="s">
        <v>17</v>
      </c>
      <c r="H1350" t="s">
        <v>49</v>
      </c>
      <c r="I1350" t="s">
        <v>34</v>
      </c>
      <c r="J1350">
        <v>1423</v>
      </c>
      <c r="K1350">
        <v>1</v>
      </c>
      <c r="L1350">
        <v>151.85</v>
      </c>
    </row>
    <row r="1351" spans="1:12" x14ac:dyDescent="0.3">
      <c r="A1351" t="s">
        <v>441</v>
      </c>
      <c r="B1351" s="1">
        <v>44922</v>
      </c>
      <c r="C1351" t="s">
        <v>36</v>
      </c>
      <c r="D1351" t="s">
        <v>56</v>
      </c>
      <c r="E1351" t="s">
        <v>30</v>
      </c>
      <c r="F1351" t="s">
        <v>24</v>
      </c>
      <c r="G1351" t="s">
        <v>37</v>
      </c>
      <c r="H1351" t="s">
        <v>33</v>
      </c>
      <c r="I1351" t="s">
        <v>34</v>
      </c>
      <c r="J1351">
        <v>193</v>
      </c>
      <c r="K1351">
        <v>5</v>
      </c>
      <c r="L1351">
        <v>8.24</v>
      </c>
    </row>
    <row r="1352" spans="1:12" x14ac:dyDescent="0.3">
      <c r="A1352" t="s">
        <v>442</v>
      </c>
      <c r="B1352" s="1">
        <v>45073</v>
      </c>
      <c r="C1352" t="s">
        <v>55</v>
      </c>
      <c r="D1352" t="s">
        <v>14</v>
      </c>
      <c r="E1352" t="s">
        <v>15</v>
      </c>
      <c r="F1352" t="s">
        <v>40</v>
      </c>
      <c r="G1352" t="s">
        <v>37</v>
      </c>
      <c r="H1352" t="s">
        <v>18</v>
      </c>
      <c r="I1352" t="s">
        <v>34</v>
      </c>
      <c r="J1352">
        <v>1074</v>
      </c>
      <c r="K1352">
        <v>4</v>
      </c>
      <c r="L1352">
        <v>164.91</v>
      </c>
    </row>
    <row r="1353" spans="1:12" x14ac:dyDescent="0.3">
      <c r="A1353" t="s">
        <v>443</v>
      </c>
      <c r="B1353" s="1">
        <v>44610</v>
      </c>
      <c r="C1353" t="s">
        <v>135</v>
      </c>
      <c r="D1353" t="s">
        <v>48</v>
      </c>
      <c r="E1353" t="s">
        <v>30</v>
      </c>
      <c r="F1353" t="s">
        <v>44</v>
      </c>
      <c r="G1353" t="s">
        <v>17</v>
      </c>
      <c r="H1353" t="s">
        <v>18</v>
      </c>
      <c r="I1353" t="s">
        <v>34</v>
      </c>
      <c r="J1353">
        <v>950</v>
      </c>
      <c r="K1353">
        <v>3</v>
      </c>
      <c r="L1353">
        <v>364.09</v>
      </c>
    </row>
    <row r="1354" spans="1:12" x14ac:dyDescent="0.3">
      <c r="A1354" t="s">
        <v>444</v>
      </c>
      <c r="B1354" s="1">
        <v>44617</v>
      </c>
      <c r="C1354" t="s">
        <v>64</v>
      </c>
      <c r="D1354" t="s">
        <v>56</v>
      </c>
      <c r="E1354" t="s">
        <v>30</v>
      </c>
      <c r="F1354" t="s">
        <v>24</v>
      </c>
      <c r="G1354" t="s">
        <v>37</v>
      </c>
      <c r="H1354" t="s">
        <v>18</v>
      </c>
      <c r="I1354" t="s">
        <v>19</v>
      </c>
      <c r="J1354">
        <v>243</v>
      </c>
      <c r="K1354">
        <v>5</v>
      </c>
      <c r="L1354">
        <v>135.55000000000001</v>
      </c>
    </row>
    <row r="1355" spans="1:12" x14ac:dyDescent="0.3">
      <c r="A1355" t="s">
        <v>445</v>
      </c>
      <c r="B1355" s="1">
        <v>44985</v>
      </c>
      <c r="C1355" t="s">
        <v>51</v>
      </c>
      <c r="D1355" t="s">
        <v>48</v>
      </c>
      <c r="E1355" t="s">
        <v>30</v>
      </c>
      <c r="F1355" t="s">
        <v>24</v>
      </c>
      <c r="G1355" t="s">
        <v>45</v>
      </c>
      <c r="H1355" t="s">
        <v>33</v>
      </c>
      <c r="I1355" t="s">
        <v>34</v>
      </c>
      <c r="J1355">
        <v>781</v>
      </c>
      <c r="K1355">
        <v>1</v>
      </c>
      <c r="L1355">
        <v>98.38</v>
      </c>
    </row>
    <row r="1356" spans="1:12" x14ac:dyDescent="0.3">
      <c r="A1356" t="s">
        <v>446</v>
      </c>
      <c r="B1356" s="1">
        <v>45033</v>
      </c>
      <c r="C1356" t="s">
        <v>165</v>
      </c>
      <c r="D1356" t="s">
        <v>52</v>
      </c>
      <c r="E1356" t="s">
        <v>30</v>
      </c>
      <c r="F1356" t="s">
        <v>31</v>
      </c>
      <c r="G1356" t="s">
        <v>45</v>
      </c>
      <c r="H1356" t="s">
        <v>33</v>
      </c>
      <c r="I1356" t="s">
        <v>59</v>
      </c>
      <c r="J1356">
        <v>501</v>
      </c>
      <c r="K1356">
        <v>5</v>
      </c>
      <c r="L1356">
        <v>58.65</v>
      </c>
    </row>
    <row r="1357" spans="1:12" x14ac:dyDescent="0.3">
      <c r="A1357" t="s">
        <v>447</v>
      </c>
      <c r="B1357" s="1">
        <v>44650</v>
      </c>
      <c r="C1357" t="s">
        <v>154</v>
      </c>
      <c r="D1357" t="s">
        <v>56</v>
      </c>
      <c r="E1357" t="s">
        <v>30</v>
      </c>
      <c r="F1357" t="s">
        <v>24</v>
      </c>
      <c r="G1357" t="s">
        <v>37</v>
      </c>
      <c r="H1357" t="s">
        <v>18</v>
      </c>
      <c r="I1357" t="s">
        <v>59</v>
      </c>
      <c r="J1357">
        <v>737</v>
      </c>
      <c r="K1357">
        <v>2</v>
      </c>
      <c r="L1357">
        <v>4.68</v>
      </c>
    </row>
    <row r="1358" spans="1:12" x14ac:dyDescent="0.3">
      <c r="A1358" t="s">
        <v>448</v>
      </c>
      <c r="B1358" s="1">
        <v>44592</v>
      </c>
      <c r="C1358" t="s">
        <v>100</v>
      </c>
      <c r="D1358" t="s">
        <v>78</v>
      </c>
      <c r="E1358" t="s">
        <v>15</v>
      </c>
      <c r="F1358" t="s">
        <v>31</v>
      </c>
      <c r="G1358" t="s">
        <v>25</v>
      </c>
      <c r="H1358" t="s">
        <v>18</v>
      </c>
      <c r="I1358" t="s">
        <v>34</v>
      </c>
      <c r="J1358">
        <v>1177</v>
      </c>
      <c r="K1358">
        <v>1</v>
      </c>
      <c r="L1358">
        <v>119.85</v>
      </c>
    </row>
    <row r="1359" spans="1:12" x14ac:dyDescent="0.3">
      <c r="A1359" t="s">
        <v>449</v>
      </c>
      <c r="B1359" s="1">
        <v>44562</v>
      </c>
      <c r="C1359" t="s">
        <v>92</v>
      </c>
      <c r="D1359" t="s">
        <v>78</v>
      </c>
      <c r="E1359" t="s">
        <v>15</v>
      </c>
      <c r="F1359" t="s">
        <v>40</v>
      </c>
      <c r="G1359" t="s">
        <v>32</v>
      </c>
      <c r="H1359" t="s">
        <v>26</v>
      </c>
      <c r="I1359" t="s">
        <v>59</v>
      </c>
      <c r="J1359">
        <v>50</v>
      </c>
      <c r="K1359">
        <v>3</v>
      </c>
      <c r="L1359">
        <v>10.45</v>
      </c>
    </row>
    <row r="1360" spans="1:12" x14ac:dyDescent="0.3">
      <c r="A1360" t="s">
        <v>450</v>
      </c>
      <c r="B1360" s="1">
        <v>45232</v>
      </c>
      <c r="C1360" t="s">
        <v>28</v>
      </c>
      <c r="D1360" t="s">
        <v>14</v>
      </c>
      <c r="E1360" t="s">
        <v>15</v>
      </c>
      <c r="F1360" t="s">
        <v>40</v>
      </c>
      <c r="G1360" t="s">
        <v>25</v>
      </c>
      <c r="H1360" t="s">
        <v>26</v>
      </c>
      <c r="I1360" t="s">
        <v>59</v>
      </c>
      <c r="J1360">
        <v>296</v>
      </c>
      <c r="K1360">
        <v>2</v>
      </c>
      <c r="L1360">
        <v>56.89</v>
      </c>
    </row>
    <row r="1361" spans="1:12" x14ac:dyDescent="0.3">
      <c r="A1361" t="s">
        <v>451</v>
      </c>
      <c r="B1361" s="1">
        <v>44644</v>
      </c>
      <c r="C1361" t="s">
        <v>154</v>
      </c>
      <c r="D1361" t="s">
        <v>43</v>
      </c>
      <c r="E1361" t="s">
        <v>30</v>
      </c>
      <c r="F1361" t="s">
        <v>31</v>
      </c>
      <c r="G1361" t="s">
        <v>25</v>
      </c>
      <c r="H1361" t="s">
        <v>49</v>
      </c>
      <c r="I1361" t="s">
        <v>19</v>
      </c>
      <c r="J1361">
        <v>657</v>
      </c>
      <c r="K1361">
        <v>4</v>
      </c>
      <c r="L1361">
        <v>148.5</v>
      </c>
    </row>
    <row r="1362" spans="1:12" x14ac:dyDescent="0.3">
      <c r="A1362" t="s">
        <v>452</v>
      </c>
      <c r="B1362" s="1">
        <v>45067</v>
      </c>
      <c r="C1362" t="s">
        <v>165</v>
      </c>
      <c r="D1362" t="s">
        <v>29</v>
      </c>
      <c r="E1362" t="s">
        <v>30</v>
      </c>
      <c r="F1362" t="s">
        <v>31</v>
      </c>
      <c r="G1362" t="s">
        <v>17</v>
      </c>
      <c r="H1362" t="s">
        <v>33</v>
      </c>
      <c r="I1362" t="s">
        <v>59</v>
      </c>
      <c r="J1362">
        <v>679</v>
      </c>
      <c r="K1362">
        <v>3</v>
      </c>
      <c r="L1362">
        <v>295.24</v>
      </c>
    </row>
    <row r="1363" spans="1:12" x14ac:dyDescent="0.3">
      <c r="A1363" t="s">
        <v>453</v>
      </c>
      <c r="B1363" s="1">
        <v>44763</v>
      </c>
      <c r="C1363" t="s">
        <v>117</v>
      </c>
      <c r="D1363" t="s">
        <v>29</v>
      </c>
      <c r="E1363" t="s">
        <v>30</v>
      </c>
      <c r="F1363" t="s">
        <v>40</v>
      </c>
      <c r="G1363" t="s">
        <v>17</v>
      </c>
      <c r="H1363" t="s">
        <v>49</v>
      </c>
      <c r="I1363" t="s">
        <v>59</v>
      </c>
      <c r="J1363">
        <v>1177</v>
      </c>
      <c r="K1363">
        <v>2</v>
      </c>
      <c r="L1363">
        <v>212.54</v>
      </c>
    </row>
    <row r="1364" spans="1:12" x14ac:dyDescent="0.3">
      <c r="A1364" t="s">
        <v>454</v>
      </c>
      <c r="B1364" s="1">
        <v>44707</v>
      </c>
      <c r="C1364" t="s">
        <v>231</v>
      </c>
      <c r="D1364" t="s">
        <v>48</v>
      </c>
      <c r="E1364" t="s">
        <v>30</v>
      </c>
      <c r="F1364" t="s">
        <v>40</v>
      </c>
      <c r="G1364" t="s">
        <v>25</v>
      </c>
      <c r="H1364" t="s">
        <v>33</v>
      </c>
      <c r="I1364" t="s">
        <v>34</v>
      </c>
      <c r="J1364">
        <v>245</v>
      </c>
      <c r="K1364">
        <v>1</v>
      </c>
      <c r="L1364">
        <v>8.67</v>
      </c>
    </row>
    <row r="1365" spans="1:12" x14ac:dyDescent="0.3">
      <c r="A1365" t="s">
        <v>455</v>
      </c>
      <c r="B1365" s="1">
        <v>44591</v>
      </c>
      <c r="C1365" t="s">
        <v>55</v>
      </c>
      <c r="D1365" t="s">
        <v>29</v>
      </c>
      <c r="E1365" t="s">
        <v>30</v>
      </c>
      <c r="F1365" t="s">
        <v>44</v>
      </c>
      <c r="G1365" t="s">
        <v>37</v>
      </c>
      <c r="H1365" t="s">
        <v>49</v>
      </c>
      <c r="I1365" t="s">
        <v>59</v>
      </c>
      <c r="J1365">
        <v>1063</v>
      </c>
      <c r="K1365">
        <v>2</v>
      </c>
      <c r="L1365">
        <v>30.12</v>
      </c>
    </row>
    <row r="1366" spans="1:12" x14ac:dyDescent="0.3">
      <c r="A1366" t="s">
        <v>456</v>
      </c>
      <c r="B1366" s="1">
        <v>44853</v>
      </c>
      <c r="C1366" t="s">
        <v>111</v>
      </c>
      <c r="D1366" t="s">
        <v>43</v>
      </c>
      <c r="E1366" t="s">
        <v>30</v>
      </c>
      <c r="F1366" t="s">
        <v>16</v>
      </c>
      <c r="G1366" t="s">
        <v>17</v>
      </c>
      <c r="H1366" t="s">
        <v>18</v>
      </c>
      <c r="I1366" t="s">
        <v>19</v>
      </c>
      <c r="J1366">
        <v>1106</v>
      </c>
      <c r="K1366">
        <v>5</v>
      </c>
      <c r="L1366">
        <v>290.22000000000003</v>
      </c>
    </row>
    <row r="1367" spans="1:12" x14ac:dyDescent="0.3">
      <c r="A1367" t="s">
        <v>457</v>
      </c>
      <c r="B1367" s="1">
        <v>45114</v>
      </c>
      <c r="C1367" t="s">
        <v>100</v>
      </c>
      <c r="D1367" t="s">
        <v>14</v>
      </c>
      <c r="E1367" t="s">
        <v>15</v>
      </c>
      <c r="F1367" t="s">
        <v>16</v>
      </c>
      <c r="G1367" t="s">
        <v>32</v>
      </c>
      <c r="H1367" t="s">
        <v>18</v>
      </c>
      <c r="I1367" t="s">
        <v>19</v>
      </c>
      <c r="J1367">
        <v>1458</v>
      </c>
      <c r="K1367">
        <v>2</v>
      </c>
      <c r="L1367">
        <v>37.04</v>
      </c>
    </row>
    <row r="1368" spans="1:12" x14ac:dyDescent="0.3">
      <c r="A1368" t="s">
        <v>458</v>
      </c>
      <c r="B1368" s="1">
        <v>44817</v>
      </c>
      <c r="C1368" t="s">
        <v>122</v>
      </c>
      <c r="D1368" t="s">
        <v>14</v>
      </c>
      <c r="E1368" t="s">
        <v>15</v>
      </c>
      <c r="F1368" t="s">
        <v>16</v>
      </c>
      <c r="G1368" t="s">
        <v>45</v>
      </c>
      <c r="H1368" t="s">
        <v>26</v>
      </c>
      <c r="I1368" t="s">
        <v>19</v>
      </c>
      <c r="J1368">
        <v>737</v>
      </c>
      <c r="K1368">
        <v>5</v>
      </c>
      <c r="L1368">
        <v>322.58</v>
      </c>
    </row>
    <row r="1369" spans="1:12" x14ac:dyDescent="0.3">
      <c r="A1369" t="s">
        <v>459</v>
      </c>
      <c r="B1369" s="1">
        <v>44749</v>
      </c>
      <c r="C1369" t="s">
        <v>102</v>
      </c>
      <c r="D1369" t="s">
        <v>78</v>
      </c>
      <c r="E1369" t="s">
        <v>15</v>
      </c>
      <c r="F1369" t="s">
        <v>16</v>
      </c>
      <c r="G1369" t="s">
        <v>45</v>
      </c>
      <c r="H1369" t="s">
        <v>26</v>
      </c>
      <c r="I1369" t="s">
        <v>59</v>
      </c>
      <c r="J1369">
        <v>427</v>
      </c>
      <c r="K1369">
        <v>5</v>
      </c>
      <c r="L1369">
        <v>140.72</v>
      </c>
    </row>
    <row r="1370" spans="1:12" x14ac:dyDescent="0.3">
      <c r="A1370" t="s">
        <v>460</v>
      </c>
      <c r="B1370" s="1">
        <v>45122</v>
      </c>
      <c r="C1370" t="s">
        <v>140</v>
      </c>
      <c r="D1370" t="s">
        <v>43</v>
      </c>
      <c r="E1370" t="s">
        <v>30</v>
      </c>
      <c r="F1370" t="s">
        <v>24</v>
      </c>
      <c r="G1370" t="s">
        <v>32</v>
      </c>
      <c r="H1370" t="s">
        <v>26</v>
      </c>
      <c r="I1370" t="s">
        <v>19</v>
      </c>
      <c r="J1370">
        <v>283</v>
      </c>
      <c r="K1370">
        <v>1</v>
      </c>
      <c r="L1370">
        <v>25.43</v>
      </c>
    </row>
    <row r="1371" spans="1:12" x14ac:dyDescent="0.3">
      <c r="A1371" t="s">
        <v>461</v>
      </c>
      <c r="B1371" s="1">
        <v>44970</v>
      </c>
      <c r="C1371" t="s">
        <v>96</v>
      </c>
      <c r="D1371" t="s">
        <v>52</v>
      </c>
      <c r="E1371" t="s">
        <v>30</v>
      </c>
      <c r="F1371" t="s">
        <v>24</v>
      </c>
      <c r="G1371" t="s">
        <v>25</v>
      </c>
      <c r="H1371" t="s">
        <v>49</v>
      </c>
      <c r="I1371" t="s">
        <v>59</v>
      </c>
      <c r="J1371">
        <v>535</v>
      </c>
      <c r="K1371">
        <v>1</v>
      </c>
      <c r="L1371">
        <v>5.98</v>
      </c>
    </row>
    <row r="1372" spans="1:12" x14ac:dyDescent="0.3">
      <c r="A1372" t="s">
        <v>462</v>
      </c>
      <c r="B1372" s="1">
        <v>44820</v>
      </c>
      <c r="C1372" t="s">
        <v>159</v>
      </c>
      <c r="D1372" t="s">
        <v>62</v>
      </c>
      <c r="E1372" t="s">
        <v>15</v>
      </c>
      <c r="F1372" t="s">
        <v>24</v>
      </c>
      <c r="G1372" t="s">
        <v>17</v>
      </c>
      <c r="H1372" t="s">
        <v>18</v>
      </c>
      <c r="I1372" t="s">
        <v>19</v>
      </c>
      <c r="J1372">
        <v>333</v>
      </c>
      <c r="K1372">
        <v>3</v>
      </c>
      <c r="L1372">
        <v>113.89</v>
      </c>
    </row>
    <row r="1373" spans="1:12" x14ac:dyDescent="0.3">
      <c r="A1373" t="s">
        <v>463</v>
      </c>
      <c r="B1373" s="1">
        <v>45112</v>
      </c>
      <c r="C1373" t="s">
        <v>219</v>
      </c>
      <c r="D1373" t="s">
        <v>29</v>
      </c>
      <c r="E1373" t="s">
        <v>30</v>
      </c>
      <c r="F1373" t="s">
        <v>40</v>
      </c>
      <c r="G1373" t="s">
        <v>25</v>
      </c>
      <c r="H1373" t="s">
        <v>49</v>
      </c>
      <c r="I1373" t="s">
        <v>59</v>
      </c>
      <c r="J1373">
        <v>282</v>
      </c>
      <c r="K1373">
        <v>1</v>
      </c>
      <c r="L1373">
        <v>32.06</v>
      </c>
    </row>
    <row r="1374" spans="1:12" x14ac:dyDescent="0.3">
      <c r="A1374" t="s">
        <v>464</v>
      </c>
      <c r="B1374" s="1">
        <v>45081</v>
      </c>
      <c r="C1374" t="s">
        <v>69</v>
      </c>
      <c r="D1374" t="s">
        <v>52</v>
      </c>
      <c r="E1374" t="s">
        <v>30</v>
      </c>
      <c r="F1374" t="s">
        <v>31</v>
      </c>
      <c r="G1374" t="s">
        <v>17</v>
      </c>
      <c r="H1374" t="s">
        <v>49</v>
      </c>
      <c r="I1374" t="s">
        <v>59</v>
      </c>
      <c r="J1374">
        <v>919</v>
      </c>
      <c r="K1374">
        <v>5</v>
      </c>
      <c r="L1374">
        <v>454.35</v>
      </c>
    </row>
    <row r="1375" spans="1:12" x14ac:dyDescent="0.3">
      <c r="A1375" t="s">
        <v>465</v>
      </c>
      <c r="B1375" s="1">
        <v>44594</v>
      </c>
      <c r="C1375" t="s">
        <v>94</v>
      </c>
      <c r="D1375" t="s">
        <v>14</v>
      </c>
      <c r="E1375" t="s">
        <v>15</v>
      </c>
      <c r="F1375" t="s">
        <v>31</v>
      </c>
      <c r="G1375" t="s">
        <v>32</v>
      </c>
      <c r="H1375" t="s">
        <v>18</v>
      </c>
      <c r="I1375" t="s">
        <v>59</v>
      </c>
      <c r="J1375">
        <v>1273</v>
      </c>
      <c r="K1375">
        <v>3</v>
      </c>
      <c r="L1375">
        <v>440.68</v>
      </c>
    </row>
    <row r="1376" spans="1:12" x14ac:dyDescent="0.3">
      <c r="A1376" t="s">
        <v>466</v>
      </c>
      <c r="B1376" s="1">
        <v>45102</v>
      </c>
      <c r="C1376" t="s">
        <v>94</v>
      </c>
      <c r="D1376" t="s">
        <v>48</v>
      </c>
      <c r="E1376" t="s">
        <v>30</v>
      </c>
      <c r="F1376" t="s">
        <v>16</v>
      </c>
      <c r="G1376" t="s">
        <v>32</v>
      </c>
      <c r="H1376" t="s">
        <v>33</v>
      </c>
      <c r="I1376" t="s">
        <v>19</v>
      </c>
      <c r="J1376">
        <v>207</v>
      </c>
      <c r="K1376">
        <v>1</v>
      </c>
      <c r="L1376">
        <v>22.32</v>
      </c>
    </row>
    <row r="1377" spans="1:12" x14ac:dyDescent="0.3">
      <c r="A1377" t="s">
        <v>467</v>
      </c>
      <c r="B1377" s="1">
        <v>44874</v>
      </c>
      <c r="C1377" t="s">
        <v>191</v>
      </c>
      <c r="D1377" t="s">
        <v>90</v>
      </c>
      <c r="E1377" t="s">
        <v>23</v>
      </c>
      <c r="F1377" t="s">
        <v>31</v>
      </c>
      <c r="G1377" t="s">
        <v>25</v>
      </c>
      <c r="H1377" t="s">
        <v>18</v>
      </c>
      <c r="I1377" t="s">
        <v>19</v>
      </c>
      <c r="J1377">
        <v>1166</v>
      </c>
      <c r="K1377">
        <v>2</v>
      </c>
      <c r="L1377">
        <v>258.64</v>
      </c>
    </row>
    <row r="1378" spans="1:12" x14ac:dyDescent="0.3">
      <c r="A1378" t="s">
        <v>468</v>
      </c>
      <c r="B1378" s="1">
        <v>44893</v>
      </c>
      <c r="C1378" t="s">
        <v>180</v>
      </c>
      <c r="D1378" t="s">
        <v>48</v>
      </c>
      <c r="E1378" t="s">
        <v>30</v>
      </c>
      <c r="F1378" t="s">
        <v>31</v>
      </c>
      <c r="G1378" t="s">
        <v>32</v>
      </c>
      <c r="H1378" t="s">
        <v>49</v>
      </c>
      <c r="I1378" t="s">
        <v>34</v>
      </c>
      <c r="J1378">
        <v>269</v>
      </c>
      <c r="K1378">
        <v>4</v>
      </c>
      <c r="L1378">
        <v>155.46</v>
      </c>
    </row>
    <row r="1379" spans="1:12" x14ac:dyDescent="0.3">
      <c r="A1379" t="s">
        <v>469</v>
      </c>
      <c r="B1379" s="1">
        <v>44808</v>
      </c>
      <c r="C1379" t="s">
        <v>119</v>
      </c>
      <c r="D1379" t="s">
        <v>14</v>
      </c>
      <c r="E1379" t="s">
        <v>15</v>
      </c>
      <c r="F1379" t="s">
        <v>31</v>
      </c>
      <c r="G1379" t="s">
        <v>37</v>
      </c>
      <c r="H1379" t="s">
        <v>26</v>
      </c>
      <c r="I1379" t="s">
        <v>19</v>
      </c>
      <c r="J1379">
        <v>1420</v>
      </c>
      <c r="K1379">
        <v>3</v>
      </c>
      <c r="L1379">
        <v>340.05</v>
      </c>
    </row>
    <row r="1380" spans="1:12" x14ac:dyDescent="0.3">
      <c r="A1380" t="s">
        <v>470</v>
      </c>
      <c r="B1380" s="1">
        <v>44790</v>
      </c>
      <c r="C1380" t="s">
        <v>119</v>
      </c>
      <c r="D1380" t="s">
        <v>29</v>
      </c>
      <c r="E1380" t="s">
        <v>30</v>
      </c>
      <c r="F1380" t="s">
        <v>16</v>
      </c>
      <c r="G1380" t="s">
        <v>32</v>
      </c>
      <c r="H1380" t="s">
        <v>26</v>
      </c>
      <c r="I1380" t="s">
        <v>59</v>
      </c>
      <c r="J1380">
        <v>278</v>
      </c>
      <c r="K1380">
        <v>5</v>
      </c>
      <c r="L1380">
        <v>134.16999999999999</v>
      </c>
    </row>
    <row r="1381" spans="1:12" x14ac:dyDescent="0.3">
      <c r="A1381" t="s">
        <v>471</v>
      </c>
      <c r="B1381" s="1">
        <v>45113</v>
      </c>
      <c r="C1381" t="s">
        <v>154</v>
      </c>
      <c r="D1381" t="s">
        <v>22</v>
      </c>
      <c r="E1381" t="s">
        <v>23</v>
      </c>
      <c r="F1381" t="s">
        <v>24</v>
      </c>
      <c r="G1381" t="s">
        <v>37</v>
      </c>
      <c r="H1381" t="s">
        <v>18</v>
      </c>
      <c r="I1381" t="s">
        <v>34</v>
      </c>
      <c r="J1381">
        <v>745</v>
      </c>
      <c r="K1381">
        <v>4</v>
      </c>
      <c r="L1381">
        <v>16.37</v>
      </c>
    </row>
    <row r="1382" spans="1:12" x14ac:dyDescent="0.3">
      <c r="A1382" t="s">
        <v>472</v>
      </c>
      <c r="B1382" s="1">
        <v>45106</v>
      </c>
      <c r="C1382" t="s">
        <v>127</v>
      </c>
      <c r="D1382" t="s">
        <v>43</v>
      </c>
      <c r="E1382" t="s">
        <v>30</v>
      </c>
      <c r="F1382" t="s">
        <v>16</v>
      </c>
      <c r="G1382" t="s">
        <v>45</v>
      </c>
      <c r="H1382" t="s">
        <v>33</v>
      </c>
      <c r="I1382" t="s">
        <v>19</v>
      </c>
      <c r="J1382">
        <v>1178</v>
      </c>
      <c r="K1382">
        <v>1</v>
      </c>
      <c r="L1382">
        <v>170.21</v>
      </c>
    </row>
    <row r="1383" spans="1:12" x14ac:dyDescent="0.3">
      <c r="A1383" t="s">
        <v>473</v>
      </c>
      <c r="B1383" s="1">
        <v>44713</v>
      </c>
      <c r="C1383" t="s">
        <v>249</v>
      </c>
      <c r="D1383" t="s">
        <v>22</v>
      </c>
      <c r="E1383" t="s">
        <v>23</v>
      </c>
      <c r="F1383" t="s">
        <v>16</v>
      </c>
      <c r="G1383" t="s">
        <v>25</v>
      </c>
      <c r="H1383" t="s">
        <v>26</v>
      </c>
      <c r="I1383" t="s">
        <v>34</v>
      </c>
      <c r="J1383">
        <v>532</v>
      </c>
      <c r="K1383">
        <v>1</v>
      </c>
      <c r="L1383">
        <v>59.3</v>
      </c>
    </row>
    <row r="1384" spans="1:12" x14ac:dyDescent="0.3">
      <c r="A1384" t="s">
        <v>474</v>
      </c>
      <c r="B1384" s="1">
        <v>44599</v>
      </c>
      <c r="C1384" t="s">
        <v>87</v>
      </c>
      <c r="D1384" t="s">
        <v>56</v>
      </c>
      <c r="E1384" t="s">
        <v>30</v>
      </c>
      <c r="F1384" t="s">
        <v>16</v>
      </c>
      <c r="G1384" t="s">
        <v>45</v>
      </c>
      <c r="H1384" t="s">
        <v>18</v>
      </c>
      <c r="I1384" t="s">
        <v>34</v>
      </c>
      <c r="J1384">
        <v>1453</v>
      </c>
      <c r="K1384">
        <v>3</v>
      </c>
      <c r="L1384">
        <v>509.51</v>
      </c>
    </row>
    <row r="1385" spans="1:12" x14ac:dyDescent="0.3">
      <c r="A1385" t="s">
        <v>475</v>
      </c>
      <c r="B1385" s="1">
        <v>45234</v>
      </c>
      <c r="C1385" t="s">
        <v>42</v>
      </c>
      <c r="D1385" t="s">
        <v>78</v>
      </c>
      <c r="E1385" t="s">
        <v>15</v>
      </c>
      <c r="F1385" t="s">
        <v>16</v>
      </c>
      <c r="G1385" t="s">
        <v>25</v>
      </c>
      <c r="H1385" t="s">
        <v>26</v>
      </c>
      <c r="I1385" t="s">
        <v>59</v>
      </c>
      <c r="J1385">
        <v>1243</v>
      </c>
      <c r="K1385">
        <v>3</v>
      </c>
      <c r="L1385">
        <v>179.18</v>
      </c>
    </row>
    <row r="1386" spans="1:12" x14ac:dyDescent="0.3">
      <c r="A1386" t="s">
        <v>476</v>
      </c>
      <c r="B1386" s="1">
        <v>44984</v>
      </c>
      <c r="C1386" t="s">
        <v>82</v>
      </c>
      <c r="D1386" t="s">
        <v>14</v>
      </c>
      <c r="E1386" t="s">
        <v>15</v>
      </c>
      <c r="F1386" t="s">
        <v>44</v>
      </c>
      <c r="G1386" t="s">
        <v>45</v>
      </c>
      <c r="H1386" t="s">
        <v>33</v>
      </c>
      <c r="I1386" t="s">
        <v>19</v>
      </c>
      <c r="J1386">
        <v>186</v>
      </c>
      <c r="K1386">
        <v>4</v>
      </c>
      <c r="L1386">
        <v>62.01</v>
      </c>
    </row>
    <row r="1387" spans="1:12" x14ac:dyDescent="0.3">
      <c r="A1387" t="s">
        <v>477</v>
      </c>
      <c r="B1387" s="1">
        <v>44690</v>
      </c>
      <c r="C1387" t="s">
        <v>104</v>
      </c>
      <c r="D1387" t="s">
        <v>90</v>
      </c>
      <c r="E1387" t="s">
        <v>23</v>
      </c>
      <c r="F1387" t="s">
        <v>44</v>
      </c>
      <c r="G1387" t="s">
        <v>32</v>
      </c>
      <c r="H1387" t="s">
        <v>26</v>
      </c>
      <c r="I1387" t="s">
        <v>34</v>
      </c>
      <c r="J1387">
        <v>446</v>
      </c>
      <c r="K1387">
        <v>3</v>
      </c>
      <c r="L1387">
        <v>104.77</v>
      </c>
    </row>
    <row r="1388" spans="1:12" x14ac:dyDescent="0.3">
      <c r="A1388" t="s">
        <v>478</v>
      </c>
      <c r="B1388" s="1">
        <v>44892</v>
      </c>
      <c r="C1388" t="s">
        <v>113</v>
      </c>
      <c r="D1388" t="s">
        <v>14</v>
      </c>
      <c r="E1388" t="s">
        <v>15</v>
      </c>
      <c r="F1388" t="s">
        <v>31</v>
      </c>
      <c r="G1388" t="s">
        <v>17</v>
      </c>
      <c r="H1388" t="s">
        <v>26</v>
      </c>
      <c r="I1388" t="s">
        <v>59</v>
      </c>
      <c r="J1388">
        <v>445</v>
      </c>
      <c r="K1388">
        <v>2</v>
      </c>
      <c r="L1388">
        <v>91.96</v>
      </c>
    </row>
    <row r="1389" spans="1:12" x14ac:dyDescent="0.3">
      <c r="A1389" t="s">
        <v>479</v>
      </c>
      <c r="B1389" s="1">
        <v>44629</v>
      </c>
      <c r="C1389" t="s">
        <v>39</v>
      </c>
      <c r="D1389" t="s">
        <v>90</v>
      </c>
      <c r="E1389" t="s">
        <v>23</v>
      </c>
      <c r="F1389" t="s">
        <v>16</v>
      </c>
      <c r="G1389" t="s">
        <v>25</v>
      </c>
      <c r="H1389" t="s">
        <v>33</v>
      </c>
      <c r="I1389" t="s">
        <v>19</v>
      </c>
      <c r="J1389">
        <v>908</v>
      </c>
      <c r="K1389">
        <v>4</v>
      </c>
      <c r="L1389">
        <v>332.12</v>
      </c>
    </row>
    <row r="1390" spans="1:12" x14ac:dyDescent="0.3">
      <c r="A1390" t="s">
        <v>480</v>
      </c>
      <c r="B1390" s="1">
        <v>45034</v>
      </c>
      <c r="C1390" t="s">
        <v>119</v>
      </c>
      <c r="D1390" t="s">
        <v>90</v>
      </c>
      <c r="E1390" t="s">
        <v>23</v>
      </c>
      <c r="F1390" t="s">
        <v>40</v>
      </c>
      <c r="G1390" t="s">
        <v>17</v>
      </c>
      <c r="H1390" t="s">
        <v>33</v>
      </c>
      <c r="I1390" t="s">
        <v>59</v>
      </c>
      <c r="J1390">
        <v>1260</v>
      </c>
      <c r="K1390">
        <v>3</v>
      </c>
      <c r="L1390">
        <v>363.65</v>
      </c>
    </row>
    <row r="1391" spans="1:12" x14ac:dyDescent="0.3">
      <c r="A1391" t="s">
        <v>481</v>
      </c>
      <c r="B1391" s="1">
        <v>45181</v>
      </c>
      <c r="C1391" t="s">
        <v>135</v>
      </c>
      <c r="D1391" t="s">
        <v>78</v>
      </c>
      <c r="E1391" t="s">
        <v>15</v>
      </c>
      <c r="F1391" t="s">
        <v>40</v>
      </c>
      <c r="G1391" t="s">
        <v>25</v>
      </c>
      <c r="H1391" t="s">
        <v>18</v>
      </c>
      <c r="I1391" t="s">
        <v>19</v>
      </c>
      <c r="J1391">
        <v>1277</v>
      </c>
      <c r="K1391">
        <v>4</v>
      </c>
      <c r="L1391">
        <v>114.25</v>
      </c>
    </row>
    <row r="1392" spans="1:12" x14ac:dyDescent="0.3">
      <c r="A1392" t="s">
        <v>482</v>
      </c>
      <c r="B1392" s="1">
        <v>45239</v>
      </c>
      <c r="C1392" t="s">
        <v>42</v>
      </c>
      <c r="D1392" t="s">
        <v>90</v>
      </c>
      <c r="E1392" t="s">
        <v>23</v>
      </c>
      <c r="F1392" t="s">
        <v>44</v>
      </c>
      <c r="G1392" t="s">
        <v>37</v>
      </c>
      <c r="H1392" t="s">
        <v>33</v>
      </c>
      <c r="I1392" t="s">
        <v>59</v>
      </c>
      <c r="J1392">
        <v>742</v>
      </c>
      <c r="K1392">
        <v>1</v>
      </c>
      <c r="L1392">
        <v>50.9</v>
      </c>
    </row>
    <row r="1393" spans="1:12" x14ac:dyDescent="0.3">
      <c r="A1393" t="s">
        <v>483</v>
      </c>
      <c r="B1393" s="1">
        <v>44840</v>
      </c>
      <c r="C1393" t="s">
        <v>249</v>
      </c>
      <c r="D1393" t="s">
        <v>29</v>
      </c>
      <c r="E1393" t="s">
        <v>30</v>
      </c>
      <c r="F1393" t="s">
        <v>31</v>
      </c>
      <c r="G1393" t="s">
        <v>37</v>
      </c>
      <c r="H1393" t="s">
        <v>26</v>
      </c>
      <c r="I1393" t="s">
        <v>59</v>
      </c>
      <c r="J1393">
        <v>1234</v>
      </c>
      <c r="K1393">
        <v>4</v>
      </c>
      <c r="L1393">
        <v>390.68</v>
      </c>
    </row>
    <row r="1394" spans="1:12" x14ac:dyDescent="0.3">
      <c r="A1394" t="s">
        <v>484</v>
      </c>
      <c r="B1394" s="1">
        <v>44623</v>
      </c>
      <c r="C1394" t="s">
        <v>191</v>
      </c>
      <c r="D1394" t="s">
        <v>90</v>
      </c>
      <c r="E1394" t="s">
        <v>23</v>
      </c>
      <c r="F1394" t="s">
        <v>40</v>
      </c>
      <c r="G1394" t="s">
        <v>45</v>
      </c>
      <c r="H1394" t="s">
        <v>26</v>
      </c>
      <c r="I1394" t="s">
        <v>19</v>
      </c>
      <c r="J1394">
        <v>903</v>
      </c>
      <c r="K1394">
        <v>4</v>
      </c>
      <c r="L1394">
        <v>107.38</v>
      </c>
    </row>
    <row r="1395" spans="1:12" x14ac:dyDescent="0.3">
      <c r="A1395" t="s">
        <v>485</v>
      </c>
      <c r="B1395" s="1">
        <v>45191</v>
      </c>
      <c r="C1395" t="s">
        <v>98</v>
      </c>
      <c r="D1395" t="s">
        <v>29</v>
      </c>
      <c r="E1395" t="s">
        <v>30</v>
      </c>
      <c r="F1395" t="s">
        <v>16</v>
      </c>
      <c r="G1395" t="s">
        <v>17</v>
      </c>
      <c r="H1395" t="s">
        <v>33</v>
      </c>
      <c r="I1395" t="s">
        <v>19</v>
      </c>
      <c r="J1395">
        <v>1120</v>
      </c>
      <c r="K1395">
        <v>1</v>
      </c>
      <c r="L1395">
        <v>96.62</v>
      </c>
    </row>
    <row r="1396" spans="1:12" x14ac:dyDescent="0.3">
      <c r="A1396" t="s">
        <v>486</v>
      </c>
      <c r="B1396" s="1">
        <v>44658</v>
      </c>
      <c r="C1396" t="s">
        <v>98</v>
      </c>
      <c r="D1396" t="s">
        <v>43</v>
      </c>
      <c r="E1396" t="s">
        <v>30</v>
      </c>
      <c r="F1396" t="s">
        <v>16</v>
      </c>
      <c r="G1396" t="s">
        <v>37</v>
      </c>
      <c r="H1396" t="s">
        <v>26</v>
      </c>
      <c r="I1396" t="s">
        <v>59</v>
      </c>
      <c r="J1396">
        <v>933</v>
      </c>
      <c r="K1396">
        <v>3</v>
      </c>
      <c r="L1396">
        <v>314.19</v>
      </c>
    </row>
    <row r="1397" spans="1:12" x14ac:dyDescent="0.3">
      <c r="A1397" t="s">
        <v>487</v>
      </c>
      <c r="B1397" s="1">
        <v>44960</v>
      </c>
      <c r="C1397" t="s">
        <v>219</v>
      </c>
      <c r="D1397" t="s">
        <v>52</v>
      </c>
      <c r="E1397" t="s">
        <v>30</v>
      </c>
      <c r="F1397" t="s">
        <v>44</v>
      </c>
      <c r="G1397" t="s">
        <v>17</v>
      </c>
      <c r="H1397" t="s">
        <v>18</v>
      </c>
      <c r="I1397" t="s">
        <v>19</v>
      </c>
      <c r="J1397">
        <v>81</v>
      </c>
      <c r="K1397">
        <v>2</v>
      </c>
      <c r="L1397">
        <v>0.48</v>
      </c>
    </row>
    <row r="1398" spans="1:12" x14ac:dyDescent="0.3">
      <c r="A1398" t="s">
        <v>488</v>
      </c>
      <c r="B1398" s="1">
        <v>45027</v>
      </c>
      <c r="C1398" t="s">
        <v>142</v>
      </c>
      <c r="D1398" t="s">
        <v>52</v>
      </c>
      <c r="E1398" t="s">
        <v>30</v>
      </c>
      <c r="F1398" t="s">
        <v>24</v>
      </c>
      <c r="G1398" t="s">
        <v>25</v>
      </c>
      <c r="H1398" t="s">
        <v>18</v>
      </c>
      <c r="I1398" t="s">
        <v>19</v>
      </c>
      <c r="J1398">
        <v>740</v>
      </c>
      <c r="K1398">
        <v>4</v>
      </c>
      <c r="L1398">
        <v>157.88999999999999</v>
      </c>
    </row>
    <row r="1399" spans="1:12" x14ac:dyDescent="0.3">
      <c r="A1399" t="s">
        <v>489</v>
      </c>
      <c r="B1399" s="1">
        <v>44836</v>
      </c>
      <c r="C1399" t="s">
        <v>58</v>
      </c>
      <c r="D1399" t="s">
        <v>56</v>
      </c>
      <c r="E1399" t="s">
        <v>30</v>
      </c>
      <c r="F1399" t="s">
        <v>44</v>
      </c>
      <c r="G1399" t="s">
        <v>17</v>
      </c>
      <c r="H1399" t="s">
        <v>33</v>
      </c>
      <c r="I1399" t="s">
        <v>19</v>
      </c>
      <c r="J1399">
        <v>1298</v>
      </c>
      <c r="K1399">
        <v>4</v>
      </c>
      <c r="L1399">
        <v>437.38</v>
      </c>
    </row>
    <row r="1400" spans="1:12" x14ac:dyDescent="0.3">
      <c r="A1400" t="s">
        <v>490</v>
      </c>
      <c r="B1400" s="1">
        <v>44630</v>
      </c>
      <c r="C1400" t="s">
        <v>100</v>
      </c>
      <c r="D1400" t="s">
        <v>78</v>
      </c>
      <c r="E1400" t="s">
        <v>15</v>
      </c>
      <c r="F1400" t="s">
        <v>44</v>
      </c>
      <c r="G1400" t="s">
        <v>32</v>
      </c>
      <c r="H1400" t="s">
        <v>18</v>
      </c>
      <c r="I1400" t="s">
        <v>19</v>
      </c>
      <c r="J1400">
        <v>186</v>
      </c>
      <c r="K1400">
        <v>5</v>
      </c>
      <c r="L1400">
        <v>74.88</v>
      </c>
    </row>
    <row r="1401" spans="1:12" x14ac:dyDescent="0.3">
      <c r="A1401" t="s">
        <v>491</v>
      </c>
      <c r="B1401" s="1">
        <v>45156</v>
      </c>
      <c r="C1401" t="s">
        <v>154</v>
      </c>
      <c r="D1401" t="s">
        <v>52</v>
      </c>
      <c r="E1401" t="s">
        <v>30</v>
      </c>
      <c r="F1401" t="s">
        <v>16</v>
      </c>
      <c r="G1401" t="s">
        <v>45</v>
      </c>
      <c r="H1401" t="s">
        <v>33</v>
      </c>
      <c r="I1401" t="s">
        <v>34</v>
      </c>
      <c r="J1401">
        <v>1493</v>
      </c>
      <c r="K1401">
        <v>4</v>
      </c>
      <c r="L1401">
        <v>449.61</v>
      </c>
    </row>
    <row r="1402" spans="1:12" x14ac:dyDescent="0.3">
      <c r="A1402" t="s">
        <v>492</v>
      </c>
      <c r="B1402" s="1">
        <v>44867</v>
      </c>
      <c r="C1402" t="s">
        <v>249</v>
      </c>
      <c r="D1402" t="s">
        <v>14</v>
      </c>
      <c r="E1402" t="s">
        <v>15</v>
      </c>
      <c r="F1402" t="s">
        <v>16</v>
      </c>
      <c r="G1402" t="s">
        <v>25</v>
      </c>
      <c r="H1402" t="s">
        <v>18</v>
      </c>
      <c r="I1402" t="s">
        <v>19</v>
      </c>
      <c r="J1402">
        <v>527</v>
      </c>
      <c r="K1402">
        <v>3</v>
      </c>
      <c r="L1402">
        <v>75.709999999999994</v>
      </c>
    </row>
    <row r="1403" spans="1:12" x14ac:dyDescent="0.3">
      <c r="A1403" t="s">
        <v>493</v>
      </c>
      <c r="B1403" s="1">
        <v>44999</v>
      </c>
      <c r="C1403" t="s">
        <v>104</v>
      </c>
      <c r="D1403" t="s">
        <v>43</v>
      </c>
      <c r="E1403" t="s">
        <v>30</v>
      </c>
      <c r="F1403" t="s">
        <v>16</v>
      </c>
      <c r="G1403" t="s">
        <v>17</v>
      </c>
      <c r="H1403" t="s">
        <v>49</v>
      </c>
      <c r="I1403" t="s">
        <v>59</v>
      </c>
      <c r="J1403">
        <v>33</v>
      </c>
      <c r="K1403">
        <v>1</v>
      </c>
      <c r="L1403">
        <v>2.33</v>
      </c>
    </row>
    <row r="1404" spans="1:12" x14ac:dyDescent="0.3">
      <c r="A1404" t="s">
        <v>494</v>
      </c>
      <c r="B1404" s="1">
        <v>44579</v>
      </c>
      <c r="C1404" t="s">
        <v>191</v>
      </c>
      <c r="D1404" t="s">
        <v>43</v>
      </c>
      <c r="E1404" t="s">
        <v>30</v>
      </c>
      <c r="F1404" t="s">
        <v>31</v>
      </c>
      <c r="G1404" t="s">
        <v>32</v>
      </c>
      <c r="H1404" t="s">
        <v>49</v>
      </c>
      <c r="I1404" t="s">
        <v>59</v>
      </c>
      <c r="J1404">
        <v>553</v>
      </c>
      <c r="K1404">
        <v>1</v>
      </c>
      <c r="L1404">
        <v>10.16</v>
      </c>
    </row>
    <row r="1405" spans="1:12" x14ac:dyDescent="0.3">
      <c r="A1405" t="s">
        <v>495</v>
      </c>
      <c r="B1405" s="1">
        <v>44740</v>
      </c>
      <c r="C1405" t="s">
        <v>42</v>
      </c>
      <c r="D1405" t="s">
        <v>43</v>
      </c>
      <c r="E1405" t="s">
        <v>30</v>
      </c>
      <c r="F1405" t="s">
        <v>40</v>
      </c>
      <c r="G1405" t="s">
        <v>25</v>
      </c>
      <c r="H1405" t="s">
        <v>18</v>
      </c>
      <c r="I1405" t="s">
        <v>59</v>
      </c>
      <c r="J1405">
        <v>795</v>
      </c>
      <c r="K1405">
        <v>5</v>
      </c>
      <c r="L1405">
        <v>486.9</v>
      </c>
    </row>
    <row r="1406" spans="1:12" x14ac:dyDescent="0.3">
      <c r="A1406" t="s">
        <v>496</v>
      </c>
      <c r="B1406" s="1">
        <v>44804</v>
      </c>
      <c r="C1406" t="s">
        <v>61</v>
      </c>
      <c r="D1406" t="s">
        <v>14</v>
      </c>
      <c r="E1406" t="s">
        <v>15</v>
      </c>
      <c r="F1406" t="s">
        <v>44</v>
      </c>
      <c r="G1406" t="s">
        <v>45</v>
      </c>
      <c r="H1406" t="s">
        <v>26</v>
      </c>
      <c r="I1406" t="s">
        <v>59</v>
      </c>
      <c r="J1406">
        <v>397</v>
      </c>
      <c r="K1406">
        <v>5</v>
      </c>
      <c r="L1406">
        <v>33.299999999999997</v>
      </c>
    </row>
    <row r="1407" spans="1:12" x14ac:dyDescent="0.3">
      <c r="A1407" t="s">
        <v>497</v>
      </c>
      <c r="B1407" s="1">
        <v>44922</v>
      </c>
      <c r="C1407" t="s">
        <v>191</v>
      </c>
      <c r="D1407" t="s">
        <v>56</v>
      </c>
      <c r="E1407" t="s">
        <v>30</v>
      </c>
      <c r="F1407" t="s">
        <v>40</v>
      </c>
      <c r="G1407" t="s">
        <v>37</v>
      </c>
      <c r="H1407" t="s">
        <v>26</v>
      </c>
      <c r="I1407" t="s">
        <v>19</v>
      </c>
      <c r="J1407">
        <v>253</v>
      </c>
      <c r="K1407">
        <v>3</v>
      </c>
      <c r="L1407">
        <v>110.86</v>
      </c>
    </row>
    <row r="1408" spans="1:12" x14ac:dyDescent="0.3">
      <c r="A1408" t="s">
        <v>498</v>
      </c>
      <c r="B1408" s="1">
        <v>44617</v>
      </c>
      <c r="C1408" t="s">
        <v>127</v>
      </c>
      <c r="D1408" t="s">
        <v>14</v>
      </c>
      <c r="E1408" t="s">
        <v>15</v>
      </c>
      <c r="F1408" t="s">
        <v>16</v>
      </c>
      <c r="G1408" t="s">
        <v>45</v>
      </c>
      <c r="H1408" t="s">
        <v>49</v>
      </c>
      <c r="I1408" t="s">
        <v>59</v>
      </c>
      <c r="J1408">
        <v>1494</v>
      </c>
      <c r="K1408">
        <v>5</v>
      </c>
      <c r="L1408">
        <v>678.27</v>
      </c>
    </row>
    <row r="1409" spans="1:12" x14ac:dyDescent="0.3">
      <c r="A1409" t="s">
        <v>499</v>
      </c>
      <c r="B1409" s="1">
        <v>45246</v>
      </c>
      <c r="C1409" t="s">
        <v>159</v>
      </c>
      <c r="D1409" t="s">
        <v>14</v>
      </c>
      <c r="E1409" t="s">
        <v>15</v>
      </c>
      <c r="F1409" t="s">
        <v>24</v>
      </c>
      <c r="G1409" t="s">
        <v>25</v>
      </c>
      <c r="H1409" t="s">
        <v>26</v>
      </c>
      <c r="I1409" t="s">
        <v>34</v>
      </c>
      <c r="J1409">
        <v>849</v>
      </c>
      <c r="K1409">
        <v>5</v>
      </c>
      <c r="L1409">
        <v>235.97</v>
      </c>
    </row>
    <row r="1410" spans="1:12" x14ac:dyDescent="0.3">
      <c r="A1410" t="s">
        <v>500</v>
      </c>
      <c r="B1410" s="1">
        <v>45248</v>
      </c>
      <c r="C1410" t="s">
        <v>102</v>
      </c>
      <c r="D1410" t="s">
        <v>56</v>
      </c>
      <c r="E1410" t="s">
        <v>30</v>
      </c>
      <c r="F1410" t="s">
        <v>31</v>
      </c>
      <c r="G1410" t="s">
        <v>45</v>
      </c>
      <c r="H1410" t="s">
        <v>18</v>
      </c>
      <c r="I1410" t="s">
        <v>19</v>
      </c>
      <c r="J1410">
        <v>1015</v>
      </c>
      <c r="K1410">
        <v>2</v>
      </c>
      <c r="L1410">
        <v>298.57</v>
      </c>
    </row>
    <row r="1411" spans="1:12" x14ac:dyDescent="0.3">
      <c r="A1411" t="s">
        <v>501</v>
      </c>
      <c r="B1411" s="1">
        <v>45141</v>
      </c>
      <c r="C1411" t="s">
        <v>100</v>
      </c>
      <c r="D1411" t="s">
        <v>56</v>
      </c>
      <c r="E1411" t="s">
        <v>30</v>
      </c>
      <c r="F1411" t="s">
        <v>44</v>
      </c>
      <c r="G1411" t="s">
        <v>37</v>
      </c>
      <c r="H1411" t="s">
        <v>26</v>
      </c>
      <c r="I1411" t="s">
        <v>34</v>
      </c>
      <c r="J1411">
        <v>1429</v>
      </c>
      <c r="K1411">
        <v>1</v>
      </c>
      <c r="L1411">
        <v>198.22</v>
      </c>
    </row>
    <row r="1412" spans="1:12" x14ac:dyDescent="0.3">
      <c r="A1412" t="s">
        <v>502</v>
      </c>
      <c r="B1412" s="1">
        <v>45247</v>
      </c>
      <c r="C1412" t="s">
        <v>140</v>
      </c>
      <c r="D1412" t="s">
        <v>78</v>
      </c>
      <c r="E1412" t="s">
        <v>15</v>
      </c>
      <c r="F1412" t="s">
        <v>24</v>
      </c>
      <c r="G1412" t="s">
        <v>45</v>
      </c>
      <c r="H1412" t="s">
        <v>49</v>
      </c>
      <c r="I1412" t="s">
        <v>34</v>
      </c>
      <c r="J1412">
        <v>854</v>
      </c>
      <c r="K1412">
        <v>4</v>
      </c>
      <c r="L1412">
        <v>327.5</v>
      </c>
    </row>
    <row r="1413" spans="1:12" x14ac:dyDescent="0.3">
      <c r="A1413" t="s">
        <v>503</v>
      </c>
      <c r="B1413" s="1">
        <v>44790</v>
      </c>
      <c r="C1413" t="s">
        <v>89</v>
      </c>
      <c r="D1413" t="s">
        <v>78</v>
      </c>
      <c r="E1413" t="s">
        <v>15</v>
      </c>
      <c r="F1413" t="s">
        <v>16</v>
      </c>
      <c r="G1413" t="s">
        <v>45</v>
      </c>
      <c r="H1413" t="s">
        <v>18</v>
      </c>
      <c r="I1413" t="s">
        <v>19</v>
      </c>
      <c r="J1413">
        <v>1238</v>
      </c>
      <c r="K1413">
        <v>2</v>
      </c>
      <c r="L1413">
        <v>354.89</v>
      </c>
    </row>
    <row r="1414" spans="1:12" x14ac:dyDescent="0.3">
      <c r="A1414" t="s">
        <v>504</v>
      </c>
      <c r="B1414" s="1">
        <v>44991</v>
      </c>
      <c r="C1414" t="s">
        <v>69</v>
      </c>
      <c r="D1414" t="s">
        <v>52</v>
      </c>
      <c r="E1414" t="s">
        <v>30</v>
      </c>
      <c r="F1414" t="s">
        <v>31</v>
      </c>
      <c r="G1414" t="s">
        <v>45</v>
      </c>
      <c r="H1414" t="s">
        <v>33</v>
      </c>
      <c r="I1414" t="s">
        <v>59</v>
      </c>
      <c r="J1414">
        <v>108</v>
      </c>
      <c r="K1414">
        <v>4</v>
      </c>
      <c r="L1414">
        <v>59.06</v>
      </c>
    </row>
    <row r="1415" spans="1:12" x14ac:dyDescent="0.3">
      <c r="A1415" t="s">
        <v>505</v>
      </c>
      <c r="B1415" s="1">
        <v>45174</v>
      </c>
      <c r="C1415" t="s">
        <v>249</v>
      </c>
      <c r="D1415" t="s">
        <v>78</v>
      </c>
      <c r="E1415" t="s">
        <v>15</v>
      </c>
      <c r="F1415" t="s">
        <v>44</v>
      </c>
      <c r="G1415" t="s">
        <v>32</v>
      </c>
      <c r="H1415" t="s">
        <v>49</v>
      </c>
      <c r="I1415" t="s">
        <v>19</v>
      </c>
      <c r="J1415">
        <v>459</v>
      </c>
      <c r="K1415">
        <v>3</v>
      </c>
      <c r="L1415">
        <v>128.55000000000001</v>
      </c>
    </row>
    <row r="1416" spans="1:12" x14ac:dyDescent="0.3">
      <c r="A1416" t="s">
        <v>506</v>
      </c>
      <c r="B1416" s="1">
        <v>44602</v>
      </c>
      <c r="C1416" t="s">
        <v>47</v>
      </c>
      <c r="D1416" t="s">
        <v>43</v>
      </c>
      <c r="E1416" t="s">
        <v>30</v>
      </c>
      <c r="F1416" t="s">
        <v>31</v>
      </c>
      <c r="G1416" t="s">
        <v>25</v>
      </c>
      <c r="H1416" t="s">
        <v>26</v>
      </c>
      <c r="I1416" t="s">
        <v>34</v>
      </c>
      <c r="J1416">
        <v>1187</v>
      </c>
      <c r="K1416">
        <v>5</v>
      </c>
      <c r="L1416">
        <v>478.83</v>
      </c>
    </row>
    <row r="1417" spans="1:12" x14ac:dyDescent="0.3">
      <c r="A1417" t="s">
        <v>507</v>
      </c>
      <c r="B1417" s="1">
        <v>45287</v>
      </c>
      <c r="C1417" t="s">
        <v>219</v>
      </c>
      <c r="D1417" t="s">
        <v>29</v>
      </c>
      <c r="E1417" t="s">
        <v>30</v>
      </c>
      <c r="F1417" t="s">
        <v>16</v>
      </c>
      <c r="G1417" t="s">
        <v>25</v>
      </c>
      <c r="H1417" t="s">
        <v>26</v>
      </c>
      <c r="I1417" t="s">
        <v>19</v>
      </c>
      <c r="J1417">
        <v>893</v>
      </c>
      <c r="K1417">
        <v>3</v>
      </c>
      <c r="L1417">
        <v>208.16</v>
      </c>
    </row>
    <row r="1418" spans="1:12" x14ac:dyDescent="0.3">
      <c r="A1418" t="s">
        <v>508</v>
      </c>
      <c r="B1418" s="1">
        <v>45056</v>
      </c>
      <c r="C1418" t="s">
        <v>219</v>
      </c>
      <c r="D1418" t="s">
        <v>78</v>
      </c>
      <c r="E1418" t="s">
        <v>15</v>
      </c>
      <c r="F1418" t="s">
        <v>24</v>
      </c>
      <c r="G1418" t="s">
        <v>17</v>
      </c>
      <c r="H1418" t="s">
        <v>33</v>
      </c>
      <c r="I1418" t="s">
        <v>34</v>
      </c>
      <c r="J1418">
        <v>148</v>
      </c>
      <c r="K1418">
        <v>3</v>
      </c>
      <c r="L1418">
        <v>52.81</v>
      </c>
    </row>
    <row r="1419" spans="1:12" x14ac:dyDescent="0.3">
      <c r="A1419" t="s">
        <v>509</v>
      </c>
      <c r="B1419" s="1">
        <v>45265</v>
      </c>
      <c r="C1419" t="s">
        <v>111</v>
      </c>
      <c r="D1419" t="s">
        <v>56</v>
      </c>
      <c r="E1419" t="s">
        <v>30</v>
      </c>
      <c r="F1419" t="s">
        <v>40</v>
      </c>
      <c r="G1419" t="s">
        <v>17</v>
      </c>
      <c r="H1419" t="s">
        <v>18</v>
      </c>
      <c r="I1419" t="s">
        <v>19</v>
      </c>
      <c r="J1419">
        <v>418</v>
      </c>
      <c r="K1419">
        <v>2</v>
      </c>
      <c r="L1419">
        <v>102.9</v>
      </c>
    </row>
    <row r="1420" spans="1:12" x14ac:dyDescent="0.3">
      <c r="A1420" t="s">
        <v>510</v>
      </c>
      <c r="B1420" s="1">
        <v>44814</v>
      </c>
      <c r="C1420" t="s">
        <v>87</v>
      </c>
      <c r="D1420" t="s">
        <v>29</v>
      </c>
      <c r="E1420" t="s">
        <v>30</v>
      </c>
      <c r="F1420" t="s">
        <v>44</v>
      </c>
      <c r="G1420" t="s">
        <v>25</v>
      </c>
      <c r="H1420" t="s">
        <v>18</v>
      </c>
      <c r="I1420" t="s">
        <v>59</v>
      </c>
      <c r="J1420">
        <v>1210</v>
      </c>
      <c r="K1420">
        <v>4</v>
      </c>
      <c r="L1420">
        <v>432.24</v>
      </c>
    </row>
    <row r="1421" spans="1:12" x14ac:dyDescent="0.3">
      <c r="A1421" t="s">
        <v>511</v>
      </c>
      <c r="B1421" s="1">
        <v>44930</v>
      </c>
      <c r="C1421" t="s">
        <v>135</v>
      </c>
      <c r="D1421" t="s">
        <v>90</v>
      </c>
      <c r="E1421" t="s">
        <v>23</v>
      </c>
      <c r="F1421" t="s">
        <v>16</v>
      </c>
      <c r="G1421" t="s">
        <v>17</v>
      </c>
      <c r="H1421" t="s">
        <v>18</v>
      </c>
      <c r="I1421" t="s">
        <v>19</v>
      </c>
      <c r="J1421">
        <v>1025</v>
      </c>
      <c r="K1421">
        <v>1</v>
      </c>
      <c r="L1421">
        <v>60.22</v>
      </c>
    </row>
    <row r="1422" spans="1:12" x14ac:dyDescent="0.3">
      <c r="A1422" t="s">
        <v>512</v>
      </c>
      <c r="B1422" s="1">
        <v>44882</v>
      </c>
      <c r="C1422" t="s">
        <v>127</v>
      </c>
      <c r="D1422" t="s">
        <v>48</v>
      </c>
      <c r="E1422" t="s">
        <v>30</v>
      </c>
      <c r="F1422" t="s">
        <v>24</v>
      </c>
      <c r="G1422" t="s">
        <v>32</v>
      </c>
      <c r="H1422" t="s">
        <v>18</v>
      </c>
      <c r="I1422" t="s">
        <v>34</v>
      </c>
      <c r="J1422">
        <v>357</v>
      </c>
      <c r="K1422">
        <v>2</v>
      </c>
      <c r="L1422">
        <v>68.88</v>
      </c>
    </row>
    <row r="1423" spans="1:12" x14ac:dyDescent="0.3">
      <c r="A1423" t="s">
        <v>513</v>
      </c>
      <c r="B1423" s="1">
        <v>44733</v>
      </c>
      <c r="C1423" t="s">
        <v>119</v>
      </c>
      <c r="D1423" t="s">
        <v>62</v>
      </c>
      <c r="E1423" t="s">
        <v>15</v>
      </c>
      <c r="F1423" t="s">
        <v>44</v>
      </c>
      <c r="G1423" t="s">
        <v>45</v>
      </c>
      <c r="H1423" t="s">
        <v>49</v>
      </c>
      <c r="I1423" t="s">
        <v>59</v>
      </c>
      <c r="J1423">
        <v>415</v>
      </c>
      <c r="K1423">
        <v>3</v>
      </c>
      <c r="L1423">
        <v>95.44</v>
      </c>
    </row>
    <row r="1424" spans="1:12" x14ac:dyDescent="0.3">
      <c r="A1424" t="s">
        <v>514</v>
      </c>
      <c r="B1424" s="1">
        <v>44997</v>
      </c>
      <c r="C1424" t="s">
        <v>55</v>
      </c>
      <c r="D1424" t="s">
        <v>48</v>
      </c>
      <c r="E1424" t="s">
        <v>30</v>
      </c>
      <c r="F1424" t="s">
        <v>31</v>
      </c>
      <c r="G1424" t="s">
        <v>37</v>
      </c>
      <c r="H1424" t="s">
        <v>18</v>
      </c>
      <c r="I1424" t="s">
        <v>34</v>
      </c>
      <c r="J1424">
        <v>943</v>
      </c>
      <c r="K1424">
        <v>1</v>
      </c>
      <c r="L1424">
        <v>79.42</v>
      </c>
    </row>
    <row r="1425" spans="1:12" x14ac:dyDescent="0.3">
      <c r="A1425" t="s">
        <v>515</v>
      </c>
      <c r="B1425" s="1">
        <v>44948</v>
      </c>
      <c r="C1425" t="s">
        <v>96</v>
      </c>
      <c r="D1425" t="s">
        <v>14</v>
      </c>
      <c r="E1425" t="s">
        <v>15</v>
      </c>
      <c r="F1425" t="s">
        <v>31</v>
      </c>
      <c r="G1425" t="s">
        <v>45</v>
      </c>
      <c r="H1425" t="s">
        <v>18</v>
      </c>
      <c r="I1425" t="s">
        <v>59</v>
      </c>
      <c r="J1425">
        <v>186</v>
      </c>
      <c r="K1425">
        <v>5</v>
      </c>
      <c r="L1425">
        <v>67.17</v>
      </c>
    </row>
    <row r="1426" spans="1:12" x14ac:dyDescent="0.3">
      <c r="A1426" t="s">
        <v>516</v>
      </c>
      <c r="B1426" s="1">
        <v>44918</v>
      </c>
      <c r="C1426" t="s">
        <v>140</v>
      </c>
      <c r="D1426" t="s">
        <v>56</v>
      </c>
      <c r="E1426" t="s">
        <v>30</v>
      </c>
      <c r="F1426" t="s">
        <v>44</v>
      </c>
      <c r="G1426" t="s">
        <v>25</v>
      </c>
      <c r="H1426" t="s">
        <v>33</v>
      </c>
      <c r="I1426" t="s">
        <v>34</v>
      </c>
      <c r="J1426">
        <v>821</v>
      </c>
      <c r="K1426">
        <v>4</v>
      </c>
      <c r="L1426">
        <v>395.88</v>
      </c>
    </row>
    <row r="1427" spans="1:12" x14ac:dyDescent="0.3">
      <c r="A1427" t="s">
        <v>517</v>
      </c>
      <c r="B1427" s="1">
        <v>45042</v>
      </c>
      <c r="C1427" t="s">
        <v>82</v>
      </c>
      <c r="D1427" t="s">
        <v>56</v>
      </c>
      <c r="E1427" t="s">
        <v>30</v>
      </c>
      <c r="F1427" t="s">
        <v>16</v>
      </c>
      <c r="G1427" t="s">
        <v>25</v>
      </c>
      <c r="H1427" t="s">
        <v>33</v>
      </c>
      <c r="I1427" t="s">
        <v>59</v>
      </c>
      <c r="J1427">
        <v>922</v>
      </c>
      <c r="K1427">
        <v>1</v>
      </c>
      <c r="L1427">
        <v>8.16</v>
      </c>
    </row>
    <row r="1428" spans="1:12" x14ac:dyDescent="0.3">
      <c r="A1428" t="s">
        <v>518</v>
      </c>
      <c r="B1428" s="1">
        <v>44736</v>
      </c>
      <c r="C1428" t="s">
        <v>127</v>
      </c>
      <c r="D1428" t="s">
        <v>62</v>
      </c>
      <c r="E1428" t="s">
        <v>15</v>
      </c>
      <c r="F1428" t="s">
        <v>31</v>
      </c>
      <c r="G1428" t="s">
        <v>37</v>
      </c>
      <c r="H1428" t="s">
        <v>33</v>
      </c>
      <c r="I1428" t="s">
        <v>34</v>
      </c>
      <c r="J1428">
        <v>236</v>
      </c>
      <c r="K1428">
        <v>5</v>
      </c>
      <c r="L1428">
        <v>50.39</v>
      </c>
    </row>
    <row r="1429" spans="1:12" x14ac:dyDescent="0.3">
      <c r="A1429" t="s">
        <v>519</v>
      </c>
      <c r="B1429" s="1">
        <v>45201</v>
      </c>
      <c r="C1429" t="s">
        <v>87</v>
      </c>
      <c r="D1429" t="s">
        <v>29</v>
      </c>
      <c r="E1429" t="s">
        <v>30</v>
      </c>
      <c r="F1429" t="s">
        <v>16</v>
      </c>
      <c r="G1429" t="s">
        <v>25</v>
      </c>
      <c r="H1429" t="s">
        <v>49</v>
      </c>
      <c r="I1429" t="s">
        <v>59</v>
      </c>
      <c r="J1429">
        <v>1016</v>
      </c>
      <c r="K1429">
        <v>3</v>
      </c>
      <c r="L1429">
        <v>43.92</v>
      </c>
    </row>
    <row r="1430" spans="1:12" x14ac:dyDescent="0.3">
      <c r="A1430" t="s">
        <v>520</v>
      </c>
      <c r="B1430" s="1">
        <v>44619</v>
      </c>
      <c r="C1430" t="s">
        <v>13</v>
      </c>
      <c r="D1430" t="s">
        <v>43</v>
      </c>
      <c r="E1430" t="s">
        <v>30</v>
      </c>
      <c r="F1430" t="s">
        <v>16</v>
      </c>
      <c r="G1430" t="s">
        <v>17</v>
      </c>
      <c r="H1430" t="s">
        <v>49</v>
      </c>
      <c r="I1430" t="s">
        <v>34</v>
      </c>
      <c r="J1430">
        <v>1201</v>
      </c>
      <c r="K1430">
        <v>4</v>
      </c>
      <c r="L1430">
        <v>346.9</v>
      </c>
    </row>
    <row r="1431" spans="1:12" x14ac:dyDescent="0.3">
      <c r="A1431" t="s">
        <v>521</v>
      </c>
      <c r="B1431" s="1">
        <v>45167</v>
      </c>
      <c r="C1431" t="s">
        <v>42</v>
      </c>
      <c r="D1431" t="s">
        <v>62</v>
      </c>
      <c r="E1431" t="s">
        <v>15</v>
      </c>
      <c r="F1431" t="s">
        <v>44</v>
      </c>
      <c r="G1431" t="s">
        <v>25</v>
      </c>
      <c r="H1431" t="s">
        <v>26</v>
      </c>
      <c r="I1431" t="s">
        <v>19</v>
      </c>
      <c r="J1431">
        <v>871</v>
      </c>
      <c r="K1431">
        <v>5</v>
      </c>
      <c r="L1431">
        <v>559.27</v>
      </c>
    </row>
    <row r="1432" spans="1:12" x14ac:dyDescent="0.3">
      <c r="A1432" t="s">
        <v>522</v>
      </c>
      <c r="B1432" s="1">
        <v>44634</v>
      </c>
      <c r="C1432" t="s">
        <v>82</v>
      </c>
      <c r="D1432" t="s">
        <v>62</v>
      </c>
      <c r="E1432" t="s">
        <v>15</v>
      </c>
      <c r="F1432" t="s">
        <v>24</v>
      </c>
      <c r="G1432" t="s">
        <v>17</v>
      </c>
      <c r="H1432" t="s">
        <v>18</v>
      </c>
      <c r="I1432" t="s">
        <v>59</v>
      </c>
      <c r="J1432">
        <v>645</v>
      </c>
      <c r="K1432">
        <v>2</v>
      </c>
      <c r="L1432">
        <v>115.34</v>
      </c>
    </row>
    <row r="1433" spans="1:12" x14ac:dyDescent="0.3">
      <c r="A1433" t="s">
        <v>523</v>
      </c>
      <c r="B1433" s="1">
        <v>44918</v>
      </c>
      <c r="C1433" t="s">
        <v>117</v>
      </c>
      <c r="D1433" t="s">
        <v>29</v>
      </c>
      <c r="E1433" t="s">
        <v>30</v>
      </c>
      <c r="F1433" t="s">
        <v>16</v>
      </c>
      <c r="G1433" t="s">
        <v>17</v>
      </c>
      <c r="H1433" t="s">
        <v>33</v>
      </c>
      <c r="I1433" t="s">
        <v>19</v>
      </c>
      <c r="J1433">
        <v>440</v>
      </c>
      <c r="K1433">
        <v>4</v>
      </c>
      <c r="L1433">
        <v>149.84</v>
      </c>
    </row>
    <row r="1434" spans="1:12" x14ac:dyDescent="0.3">
      <c r="A1434" t="s">
        <v>524</v>
      </c>
      <c r="B1434" s="1">
        <v>44688</v>
      </c>
      <c r="C1434" t="s">
        <v>92</v>
      </c>
      <c r="D1434" t="s">
        <v>22</v>
      </c>
      <c r="E1434" t="s">
        <v>23</v>
      </c>
      <c r="F1434" t="s">
        <v>31</v>
      </c>
      <c r="G1434" t="s">
        <v>45</v>
      </c>
      <c r="H1434" t="s">
        <v>33</v>
      </c>
      <c r="I1434" t="s">
        <v>34</v>
      </c>
      <c r="J1434">
        <v>632</v>
      </c>
      <c r="K1434">
        <v>3</v>
      </c>
      <c r="L1434">
        <v>97.54</v>
      </c>
    </row>
    <row r="1435" spans="1:12" x14ac:dyDescent="0.3">
      <c r="A1435" t="s">
        <v>525</v>
      </c>
      <c r="B1435" s="1">
        <v>44923</v>
      </c>
      <c r="C1435" t="s">
        <v>47</v>
      </c>
      <c r="D1435" t="s">
        <v>52</v>
      </c>
      <c r="E1435" t="s">
        <v>30</v>
      </c>
      <c r="F1435" t="s">
        <v>44</v>
      </c>
      <c r="G1435" t="s">
        <v>45</v>
      </c>
      <c r="H1435" t="s">
        <v>49</v>
      </c>
      <c r="I1435" t="s">
        <v>19</v>
      </c>
      <c r="J1435">
        <v>791</v>
      </c>
      <c r="K1435">
        <v>4</v>
      </c>
      <c r="L1435">
        <v>161.01</v>
      </c>
    </row>
    <row r="1436" spans="1:12" x14ac:dyDescent="0.3">
      <c r="A1436" t="s">
        <v>526</v>
      </c>
      <c r="B1436" s="1">
        <v>44891</v>
      </c>
      <c r="C1436" t="s">
        <v>231</v>
      </c>
      <c r="D1436" t="s">
        <v>22</v>
      </c>
      <c r="E1436" t="s">
        <v>23</v>
      </c>
      <c r="F1436" t="s">
        <v>40</v>
      </c>
      <c r="G1436" t="s">
        <v>32</v>
      </c>
      <c r="H1436" t="s">
        <v>26</v>
      </c>
      <c r="I1436" t="s">
        <v>59</v>
      </c>
      <c r="J1436">
        <v>633</v>
      </c>
      <c r="K1436">
        <v>3</v>
      </c>
      <c r="L1436">
        <v>178.13</v>
      </c>
    </row>
    <row r="1437" spans="1:12" x14ac:dyDescent="0.3">
      <c r="A1437" t="s">
        <v>527</v>
      </c>
      <c r="B1437" s="1">
        <v>45042</v>
      </c>
      <c r="C1437" t="s">
        <v>127</v>
      </c>
      <c r="D1437" t="s">
        <v>14</v>
      </c>
      <c r="E1437" t="s">
        <v>15</v>
      </c>
      <c r="F1437" t="s">
        <v>24</v>
      </c>
      <c r="G1437" t="s">
        <v>17</v>
      </c>
      <c r="H1437" t="s">
        <v>18</v>
      </c>
      <c r="I1437" t="s">
        <v>59</v>
      </c>
      <c r="J1437">
        <v>1167</v>
      </c>
      <c r="K1437">
        <v>2</v>
      </c>
      <c r="L1437">
        <v>142.94</v>
      </c>
    </row>
    <row r="1438" spans="1:12" x14ac:dyDescent="0.3">
      <c r="A1438" t="s">
        <v>528</v>
      </c>
      <c r="B1438" s="1">
        <v>45020</v>
      </c>
      <c r="C1438" t="s">
        <v>249</v>
      </c>
      <c r="D1438" t="s">
        <v>22</v>
      </c>
      <c r="E1438" t="s">
        <v>23</v>
      </c>
      <c r="F1438" t="s">
        <v>24</v>
      </c>
      <c r="G1438" t="s">
        <v>17</v>
      </c>
      <c r="H1438" t="s">
        <v>26</v>
      </c>
      <c r="I1438" t="s">
        <v>59</v>
      </c>
      <c r="J1438">
        <v>721</v>
      </c>
      <c r="K1438">
        <v>1</v>
      </c>
      <c r="L1438">
        <v>52.02</v>
      </c>
    </row>
    <row r="1439" spans="1:12" x14ac:dyDescent="0.3">
      <c r="A1439" t="s">
        <v>529</v>
      </c>
      <c r="B1439" s="1">
        <v>44758</v>
      </c>
      <c r="C1439" t="s">
        <v>61</v>
      </c>
      <c r="D1439" t="s">
        <v>43</v>
      </c>
      <c r="E1439" t="s">
        <v>30</v>
      </c>
      <c r="F1439" t="s">
        <v>44</v>
      </c>
      <c r="G1439" t="s">
        <v>32</v>
      </c>
      <c r="H1439" t="s">
        <v>33</v>
      </c>
      <c r="I1439" t="s">
        <v>59</v>
      </c>
      <c r="J1439">
        <v>1119</v>
      </c>
      <c r="K1439">
        <v>5</v>
      </c>
      <c r="L1439">
        <v>750.21</v>
      </c>
    </row>
    <row r="1440" spans="1:12" x14ac:dyDescent="0.3">
      <c r="A1440" t="s">
        <v>530</v>
      </c>
      <c r="B1440" s="1">
        <v>44874</v>
      </c>
      <c r="C1440" t="s">
        <v>148</v>
      </c>
      <c r="D1440" t="s">
        <v>90</v>
      </c>
      <c r="E1440" t="s">
        <v>23</v>
      </c>
      <c r="F1440" t="s">
        <v>40</v>
      </c>
      <c r="G1440" t="s">
        <v>37</v>
      </c>
      <c r="H1440" t="s">
        <v>26</v>
      </c>
      <c r="I1440" t="s">
        <v>59</v>
      </c>
      <c r="J1440">
        <v>1265</v>
      </c>
      <c r="K1440">
        <v>1</v>
      </c>
      <c r="L1440">
        <v>123.01</v>
      </c>
    </row>
    <row r="1441" spans="1:12" x14ac:dyDescent="0.3">
      <c r="A1441" t="s">
        <v>531</v>
      </c>
      <c r="B1441" s="1">
        <v>44798</v>
      </c>
      <c r="C1441" t="s">
        <v>21</v>
      </c>
      <c r="D1441" t="s">
        <v>90</v>
      </c>
      <c r="E1441" t="s">
        <v>23</v>
      </c>
      <c r="F1441" t="s">
        <v>44</v>
      </c>
      <c r="G1441" t="s">
        <v>25</v>
      </c>
      <c r="H1441" t="s">
        <v>49</v>
      </c>
      <c r="I1441" t="s">
        <v>34</v>
      </c>
      <c r="J1441">
        <v>1172</v>
      </c>
      <c r="K1441">
        <v>2</v>
      </c>
      <c r="L1441">
        <v>249.23</v>
      </c>
    </row>
    <row r="1442" spans="1:12" x14ac:dyDescent="0.3">
      <c r="A1442" t="s">
        <v>532</v>
      </c>
      <c r="B1442" s="1">
        <v>45000</v>
      </c>
      <c r="C1442" t="s">
        <v>135</v>
      </c>
      <c r="D1442" t="s">
        <v>90</v>
      </c>
      <c r="E1442" t="s">
        <v>23</v>
      </c>
      <c r="F1442" t="s">
        <v>40</v>
      </c>
      <c r="G1442" t="s">
        <v>45</v>
      </c>
      <c r="H1442" t="s">
        <v>18</v>
      </c>
      <c r="I1442" t="s">
        <v>59</v>
      </c>
      <c r="J1442">
        <v>1177</v>
      </c>
      <c r="K1442">
        <v>1</v>
      </c>
      <c r="L1442">
        <v>121.08</v>
      </c>
    </row>
    <row r="1443" spans="1:12" x14ac:dyDescent="0.3">
      <c r="A1443" t="s">
        <v>533</v>
      </c>
      <c r="B1443" s="1">
        <v>44814</v>
      </c>
      <c r="C1443" t="s">
        <v>113</v>
      </c>
      <c r="D1443" t="s">
        <v>43</v>
      </c>
      <c r="E1443" t="s">
        <v>30</v>
      </c>
      <c r="F1443" t="s">
        <v>31</v>
      </c>
      <c r="G1443" t="s">
        <v>37</v>
      </c>
      <c r="H1443" t="s">
        <v>26</v>
      </c>
      <c r="I1443" t="s">
        <v>19</v>
      </c>
      <c r="J1443">
        <v>620</v>
      </c>
      <c r="K1443">
        <v>1</v>
      </c>
      <c r="L1443">
        <v>2.35</v>
      </c>
    </row>
    <row r="1444" spans="1:12" x14ac:dyDescent="0.3">
      <c r="A1444" t="s">
        <v>534</v>
      </c>
      <c r="B1444" s="1">
        <v>44970</v>
      </c>
      <c r="C1444" t="s">
        <v>113</v>
      </c>
      <c r="D1444" t="s">
        <v>48</v>
      </c>
      <c r="E1444" t="s">
        <v>30</v>
      </c>
      <c r="F1444" t="s">
        <v>40</v>
      </c>
      <c r="G1444" t="s">
        <v>45</v>
      </c>
      <c r="H1444" t="s">
        <v>26</v>
      </c>
      <c r="I1444" t="s">
        <v>59</v>
      </c>
      <c r="J1444">
        <v>278</v>
      </c>
      <c r="K1444">
        <v>5</v>
      </c>
      <c r="L1444">
        <v>114.78</v>
      </c>
    </row>
    <row r="1445" spans="1:12" x14ac:dyDescent="0.3">
      <c r="A1445" t="s">
        <v>535</v>
      </c>
      <c r="B1445" s="1">
        <v>45023</v>
      </c>
      <c r="C1445" t="s">
        <v>159</v>
      </c>
      <c r="D1445" t="s">
        <v>48</v>
      </c>
      <c r="E1445" t="s">
        <v>30</v>
      </c>
      <c r="F1445" t="s">
        <v>16</v>
      </c>
      <c r="G1445" t="s">
        <v>17</v>
      </c>
      <c r="H1445" t="s">
        <v>33</v>
      </c>
      <c r="I1445" t="s">
        <v>59</v>
      </c>
      <c r="J1445">
        <v>674</v>
      </c>
      <c r="K1445">
        <v>1</v>
      </c>
      <c r="L1445">
        <v>55.76</v>
      </c>
    </row>
    <row r="1446" spans="1:12" x14ac:dyDescent="0.3">
      <c r="A1446" t="s">
        <v>536</v>
      </c>
      <c r="B1446" s="1">
        <v>44906</v>
      </c>
      <c r="C1446" t="s">
        <v>28</v>
      </c>
      <c r="D1446" t="s">
        <v>48</v>
      </c>
      <c r="E1446" t="s">
        <v>30</v>
      </c>
      <c r="F1446" t="s">
        <v>40</v>
      </c>
      <c r="G1446" t="s">
        <v>17</v>
      </c>
      <c r="H1446" t="s">
        <v>18</v>
      </c>
      <c r="I1446" t="s">
        <v>19</v>
      </c>
      <c r="J1446">
        <v>350</v>
      </c>
      <c r="K1446">
        <v>4</v>
      </c>
      <c r="L1446">
        <v>138.04</v>
      </c>
    </row>
    <row r="1447" spans="1:12" x14ac:dyDescent="0.3">
      <c r="A1447" t="s">
        <v>537</v>
      </c>
      <c r="B1447" s="1">
        <v>44904</v>
      </c>
      <c r="C1447" t="s">
        <v>69</v>
      </c>
      <c r="D1447" t="s">
        <v>56</v>
      </c>
      <c r="E1447" t="s">
        <v>30</v>
      </c>
      <c r="F1447" t="s">
        <v>44</v>
      </c>
      <c r="G1447" t="s">
        <v>37</v>
      </c>
      <c r="H1447" t="s">
        <v>49</v>
      </c>
      <c r="I1447" t="s">
        <v>59</v>
      </c>
      <c r="J1447">
        <v>437</v>
      </c>
      <c r="K1447">
        <v>1</v>
      </c>
      <c r="L1447">
        <v>49.9</v>
      </c>
    </row>
    <row r="1448" spans="1:12" x14ac:dyDescent="0.3">
      <c r="A1448" t="s">
        <v>538</v>
      </c>
      <c r="B1448" s="1">
        <v>45049</v>
      </c>
      <c r="C1448" t="s">
        <v>107</v>
      </c>
      <c r="D1448" t="s">
        <v>29</v>
      </c>
      <c r="E1448" t="s">
        <v>30</v>
      </c>
      <c r="F1448" t="s">
        <v>40</v>
      </c>
      <c r="G1448" t="s">
        <v>32</v>
      </c>
      <c r="H1448" t="s">
        <v>18</v>
      </c>
      <c r="I1448" t="s">
        <v>19</v>
      </c>
      <c r="J1448">
        <v>813</v>
      </c>
      <c r="K1448">
        <v>2</v>
      </c>
      <c r="L1448">
        <v>189.87</v>
      </c>
    </row>
    <row r="1449" spans="1:12" x14ac:dyDescent="0.3">
      <c r="A1449" t="s">
        <v>539</v>
      </c>
      <c r="B1449" s="1">
        <v>44707</v>
      </c>
      <c r="C1449" t="s">
        <v>159</v>
      </c>
      <c r="D1449" t="s">
        <v>48</v>
      </c>
      <c r="E1449" t="s">
        <v>30</v>
      </c>
      <c r="F1449" t="s">
        <v>16</v>
      </c>
      <c r="G1449" t="s">
        <v>32</v>
      </c>
      <c r="H1449" t="s">
        <v>49</v>
      </c>
      <c r="I1449" t="s">
        <v>59</v>
      </c>
      <c r="J1449">
        <v>1426</v>
      </c>
      <c r="K1449">
        <v>4</v>
      </c>
      <c r="L1449">
        <v>588.79999999999995</v>
      </c>
    </row>
    <row r="1450" spans="1:12" x14ac:dyDescent="0.3">
      <c r="A1450" t="s">
        <v>540</v>
      </c>
      <c r="B1450" s="1">
        <v>44994</v>
      </c>
      <c r="C1450" t="s">
        <v>87</v>
      </c>
      <c r="D1450" t="s">
        <v>78</v>
      </c>
      <c r="E1450" t="s">
        <v>15</v>
      </c>
      <c r="F1450" t="s">
        <v>44</v>
      </c>
      <c r="G1450" t="s">
        <v>45</v>
      </c>
      <c r="H1450" t="s">
        <v>49</v>
      </c>
      <c r="I1450" t="s">
        <v>34</v>
      </c>
      <c r="J1450">
        <v>1450</v>
      </c>
      <c r="K1450">
        <v>5</v>
      </c>
      <c r="L1450">
        <v>252.97</v>
      </c>
    </row>
    <row r="1451" spans="1:12" x14ac:dyDescent="0.3">
      <c r="A1451" t="s">
        <v>541</v>
      </c>
      <c r="B1451" s="1">
        <v>44726</v>
      </c>
      <c r="C1451" t="s">
        <v>154</v>
      </c>
      <c r="D1451" t="s">
        <v>43</v>
      </c>
      <c r="E1451" t="s">
        <v>30</v>
      </c>
      <c r="F1451" t="s">
        <v>16</v>
      </c>
      <c r="G1451" t="s">
        <v>17</v>
      </c>
      <c r="H1451" t="s">
        <v>18</v>
      </c>
      <c r="I1451" t="s">
        <v>34</v>
      </c>
      <c r="J1451">
        <v>487</v>
      </c>
      <c r="K1451">
        <v>2</v>
      </c>
      <c r="L1451">
        <v>63.14</v>
      </c>
    </row>
    <row r="1452" spans="1:12" x14ac:dyDescent="0.3">
      <c r="A1452" t="s">
        <v>542</v>
      </c>
      <c r="B1452" s="1">
        <v>45100</v>
      </c>
      <c r="C1452" t="s">
        <v>94</v>
      </c>
      <c r="D1452" t="s">
        <v>48</v>
      </c>
      <c r="E1452" t="s">
        <v>30</v>
      </c>
      <c r="F1452" t="s">
        <v>24</v>
      </c>
      <c r="G1452" t="s">
        <v>45</v>
      </c>
      <c r="H1452" t="s">
        <v>18</v>
      </c>
      <c r="I1452" t="s">
        <v>34</v>
      </c>
      <c r="J1452">
        <v>287</v>
      </c>
      <c r="K1452">
        <v>5</v>
      </c>
      <c r="L1452">
        <v>155.54</v>
      </c>
    </row>
    <row r="1453" spans="1:12" x14ac:dyDescent="0.3">
      <c r="A1453" t="s">
        <v>543</v>
      </c>
      <c r="B1453" s="1">
        <v>44855</v>
      </c>
      <c r="C1453" t="s">
        <v>113</v>
      </c>
      <c r="D1453" t="s">
        <v>78</v>
      </c>
      <c r="E1453" t="s">
        <v>15</v>
      </c>
      <c r="F1453" t="s">
        <v>40</v>
      </c>
      <c r="G1453" t="s">
        <v>25</v>
      </c>
      <c r="H1453" t="s">
        <v>18</v>
      </c>
      <c r="I1453" t="s">
        <v>59</v>
      </c>
      <c r="J1453">
        <v>855</v>
      </c>
      <c r="K1453">
        <v>1</v>
      </c>
      <c r="L1453">
        <v>66.31</v>
      </c>
    </row>
    <row r="1454" spans="1:12" x14ac:dyDescent="0.3">
      <c r="A1454" t="s">
        <v>544</v>
      </c>
      <c r="B1454" s="1">
        <v>44834</v>
      </c>
      <c r="C1454" t="s">
        <v>107</v>
      </c>
      <c r="D1454" t="s">
        <v>78</v>
      </c>
      <c r="E1454" t="s">
        <v>15</v>
      </c>
      <c r="F1454" t="s">
        <v>44</v>
      </c>
      <c r="G1454" t="s">
        <v>25</v>
      </c>
      <c r="H1454" t="s">
        <v>33</v>
      </c>
      <c r="I1454" t="s">
        <v>19</v>
      </c>
      <c r="J1454">
        <v>351</v>
      </c>
      <c r="K1454">
        <v>1</v>
      </c>
      <c r="L1454">
        <v>6.54</v>
      </c>
    </row>
    <row r="1455" spans="1:12" x14ac:dyDescent="0.3">
      <c r="A1455" t="s">
        <v>545</v>
      </c>
      <c r="B1455" s="1">
        <v>44987</v>
      </c>
      <c r="C1455" t="s">
        <v>113</v>
      </c>
      <c r="D1455" t="s">
        <v>56</v>
      </c>
      <c r="E1455" t="s">
        <v>30</v>
      </c>
      <c r="F1455" t="s">
        <v>44</v>
      </c>
      <c r="G1455" t="s">
        <v>25</v>
      </c>
      <c r="H1455" t="s">
        <v>26</v>
      </c>
      <c r="I1455" t="s">
        <v>59</v>
      </c>
      <c r="J1455">
        <v>1158</v>
      </c>
      <c r="K1455">
        <v>3</v>
      </c>
      <c r="L1455">
        <v>300.54000000000002</v>
      </c>
    </row>
    <row r="1456" spans="1:12" x14ac:dyDescent="0.3">
      <c r="A1456" t="s">
        <v>546</v>
      </c>
      <c r="B1456" s="1">
        <v>45240</v>
      </c>
      <c r="C1456" t="s">
        <v>249</v>
      </c>
      <c r="D1456" t="s">
        <v>14</v>
      </c>
      <c r="E1456" t="s">
        <v>15</v>
      </c>
      <c r="F1456" t="s">
        <v>24</v>
      </c>
      <c r="G1456" t="s">
        <v>25</v>
      </c>
      <c r="H1456" t="s">
        <v>26</v>
      </c>
      <c r="I1456" t="s">
        <v>34</v>
      </c>
      <c r="J1456">
        <v>330</v>
      </c>
      <c r="K1456">
        <v>5</v>
      </c>
      <c r="L1456">
        <v>3.32</v>
      </c>
    </row>
    <row r="1457" spans="1:12" x14ac:dyDescent="0.3">
      <c r="A1457" t="s">
        <v>547</v>
      </c>
      <c r="B1457" s="1">
        <v>44662</v>
      </c>
      <c r="C1457" t="s">
        <v>117</v>
      </c>
      <c r="D1457" t="s">
        <v>14</v>
      </c>
      <c r="E1457" t="s">
        <v>15</v>
      </c>
      <c r="F1457" t="s">
        <v>44</v>
      </c>
      <c r="G1457" t="s">
        <v>25</v>
      </c>
      <c r="H1457" t="s">
        <v>26</v>
      </c>
      <c r="I1457" t="s">
        <v>19</v>
      </c>
      <c r="J1457">
        <v>145</v>
      </c>
      <c r="K1457">
        <v>4</v>
      </c>
      <c r="L1457">
        <v>70.44</v>
      </c>
    </row>
    <row r="1458" spans="1:12" x14ac:dyDescent="0.3">
      <c r="A1458" t="s">
        <v>548</v>
      </c>
      <c r="B1458" s="1">
        <v>44570</v>
      </c>
      <c r="C1458" t="s">
        <v>219</v>
      </c>
      <c r="D1458" t="s">
        <v>62</v>
      </c>
      <c r="E1458" t="s">
        <v>15</v>
      </c>
      <c r="F1458" t="s">
        <v>24</v>
      </c>
      <c r="G1458" t="s">
        <v>45</v>
      </c>
      <c r="H1458" t="s">
        <v>33</v>
      </c>
      <c r="I1458" t="s">
        <v>19</v>
      </c>
      <c r="J1458">
        <v>1120</v>
      </c>
      <c r="K1458">
        <v>1</v>
      </c>
      <c r="L1458">
        <v>108.77</v>
      </c>
    </row>
    <row r="1459" spans="1:12" x14ac:dyDescent="0.3">
      <c r="A1459" t="s">
        <v>549</v>
      </c>
      <c r="B1459" s="1">
        <v>44813</v>
      </c>
      <c r="C1459" t="s">
        <v>96</v>
      </c>
      <c r="D1459" t="s">
        <v>29</v>
      </c>
      <c r="E1459" t="s">
        <v>30</v>
      </c>
      <c r="F1459" t="s">
        <v>16</v>
      </c>
      <c r="G1459" t="s">
        <v>45</v>
      </c>
      <c r="H1459" t="s">
        <v>49</v>
      </c>
      <c r="I1459" t="s">
        <v>34</v>
      </c>
      <c r="J1459">
        <v>515</v>
      </c>
      <c r="K1459">
        <v>2</v>
      </c>
      <c r="L1459">
        <v>31.92</v>
      </c>
    </row>
    <row r="1460" spans="1:12" x14ac:dyDescent="0.3">
      <c r="A1460" t="s">
        <v>550</v>
      </c>
      <c r="B1460" s="1">
        <v>45139</v>
      </c>
      <c r="C1460" t="s">
        <v>129</v>
      </c>
      <c r="D1460" t="s">
        <v>43</v>
      </c>
      <c r="E1460" t="s">
        <v>30</v>
      </c>
      <c r="F1460" t="s">
        <v>16</v>
      </c>
      <c r="G1460" t="s">
        <v>32</v>
      </c>
      <c r="H1460" t="s">
        <v>18</v>
      </c>
      <c r="I1460" t="s">
        <v>19</v>
      </c>
      <c r="J1460">
        <v>1471</v>
      </c>
      <c r="K1460">
        <v>4</v>
      </c>
      <c r="L1460">
        <v>372.1</v>
      </c>
    </row>
    <row r="1461" spans="1:12" x14ac:dyDescent="0.3">
      <c r="A1461" t="s">
        <v>551</v>
      </c>
      <c r="B1461" s="1">
        <v>44863</v>
      </c>
      <c r="C1461" t="s">
        <v>96</v>
      </c>
      <c r="D1461" t="s">
        <v>14</v>
      </c>
      <c r="E1461" t="s">
        <v>15</v>
      </c>
      <c r="F1461" t="s">
        <v>31</v>
      </c>
      <c r="G1461" t="s">
        <v>32</v>
      </c>
      <c r="H1461" t="s">
        <v>18</v>
      </c>
      <c r="I1461" t="s">
        <v>59</v>
      </c>
      <c r="J1461">
        <v>1237</v>
      </c>
      <c r="K1461">
        <v>4</v>
      </c>
      <c r="L1461">
        <v>438.21</v>
      </c>
    </row>
    <row r="1462" spans="1:12" x14ac:dyDescent="0.3">
      <c r="A1462" t="s">
        <v>552</v>
      </c>
      <c r="B1462" s="1">
        <v>45172</v>
      </c>
      <c r="C1462" t="s">
        <v>140</v>
      </c>
      <c r="D1462" t="s">
        <v>48</v>
      </c>
      <c r="E1462" t="s">
        <v>30</v>
      </c>
      <c r="F1462" t="s">
        <v>31</v>
      </c>
      <c r="G1462" t="s">
        <v>25</v>
      </c>
      <c r="H1462" t="s">
        <v>26</v>
      </c>
      <c r="I1462" t="s">
        <v>34</v>
      </c>
      <c r="J1462">
        <v>349</v>
      </c>
      <c r="K1462">
        <v>1</v>
      </c>
      <c r="L1462">
        <v>50.47</v>
      </c>
    </row>
    <row r="1463" spans="1:12" x14ac:dyDescent="0.3">
      <c r="A1463" t="s">
        <v>553</v>
      </c>
      <c r="B1463" s="1">
        <v>44840</v>
      </c>
      <c r="C1463" t="s">
        <v>113</v>
      </c>
      <c r="D1463" t="s">
        <v>43</v>
      </c>
      <c r="E1463" t="s">
        <v>30</v>
      </c>
      <c r="F1463" t="s">
        <v>24</v>
      </c>
      <c r="G1463" t="s">
        <v>32</v>
      </c>
      <c r="H1463" t="s">
        <v>49</v>
      </c>
      <c r="I1463" t="s">
        <v>34</v>
      </c>
      <c r="J1463">
        <v>1301</v>
      </c>
      <c r="K1463">
        <v>5</v>
      </c>
      <c r="L1463">
        <v>618.44000000000005</v>
      </c>
    </row>
    <row r="1464" spans="1:12" x14ac:dyDescent="0.3">
      <c r="A1464" t="s">
        <v>554</v>
      </c>
      <c r="B1464" s="1">
        <v>44826</v>
      </c>
      <c r="C1464" t="s">
        <v>77</v>
      </c>
      <c r="D1464" t="s">
        <v>78</v>
      </c>
      <c r="E1464" t="s">
        <v>15</v>
      </c>
      <c r="F1464" t="s">
        <v>16</v>
      </c>
      <c r="G1464" t="s">
        <v>32</v>
      </c>
      <c r="H1464" t="s">
        <v>33</v>
      </c>
      <c r="I1464" t="s">
        <v>19</v>
      </c>
      <c r="J1464">
        <v>1011</v>
      </c>
      <c r="K1464">
        <v>3</v>
      </c>
      <c r="L1464">
        <v>327.44</v>
      </c>
    </row>
    <row r="1465" spans="1:12" x14ac:dyDescent="0.3">
      <c r="A1465" t="s">
        <v>555</v>
      </c>
      <c r="B1465" s="1">
        <v>44946</v>
      </c>
      <c r="C1465" t="s">
        <v>154</v>
      </c>
      <c r="D1465" t="s">
        <v>90</v>
      </c>
      <c r="E1465" t="s">
        <v>23</v>
      </c>
      <c r="F1465" t="s">
        <v>24</v>
      </c>
      <c r="G1465" t="s">
        <v>45</v>
      </c>
      <c r="H1465" t="s">
        <v>18</v>
      </c>
      <c r="I1465" t="s">
        <v>34</v>
      </c>
      <c r="J1465">
        <v>997</v>
      </c>
      <c r="K1465">
        <v>1</v>
      </c>
      <c r="L1465">
        <v>67.180000000000007</v>
      </c>
    </row>
    <row r="1466" spans="1:12" x14ac:dyDescent="0.3">
      <c r="A1466" t="s">
        <v>556</v>
      </c>
      <c r="B1466" s="1">
        <v>44691</v>
      </c>
      <c r="C1466" t="s">
        <v>249</v>
      </c>
      <c r="D1466" t="s">
        <v>43</v>
      </c>
      <c r="E1466" t="s">
        <v>30</v>
      </c>
      <c r="F1466" t="s">
        <v>16</v>
      </c>
      <c r="G1466" t="s">
        <v>25</v>
      </c>
      <c r="H1466" t="s">
        <v>18</v>
      </c>
      <c r="I1466" t="s">
        <v>19</v>
      </c>
      <c r="J1466">
        <v>704</v>
      </c>
      <c r="K1466">
        <v>4</v>
      </c>
      <c r="L1466">
        <v>311.95999999999998</v>
      </c>
    </row>
    <row r="1467" spans="1:12" x14ac:dyDescent="0.3">
      <c r="A1467" t="s">
        <v>557</v>
      </c>
      <c r="B1467" s="1">
        <v>44668</v>
      </c>
      <c r="C1467" t="s">
        <v>100</v>
      </c>
      <c r="D1467" t="s">
        <v>48</v>
      </c>
      <c r="E1467" t="s">
        <v>30</v>
      </c>
      <c r="F1467" t="s">
        <v>31</v>
      </c>
      <c r="G1467" t="s">
        <v>32</v>
      </c>
      <c r="H1467" t="s">
        <v>18</v>
      </c>
      <c r="I1467" t="s">
        <v>19</v>
      </c>
      <c r="J1467">
        <v>520</v>
      </c>
      <c r="K1467">
        <v>2</v>
      </c>
      <c r="L1467">
        <v>48.15</v>
      </c>
    </row>
    <row r="1468" spans="1:12" x14ac:dyDescent="0.3">
      <c r="A1468" t="s">
        <v>558</v>
      </c>
      <c r="B1468" s="1">
        <v>45094</v>
      </c>
      <c r="C1468" t="s">
        <v>82</v>
      </c>
      <c r="D1468" t="s">
        <v>29</v>
      </c>
      <c r="E1468" t="s">
        <v>30</v>
      </c>
      <c r="F1468" t="s">
        <v>44</v>
      </c>
      <c r="G1468" t="s">
        <v>32</v>
      </c>
      <c r="H1468" t="s">
        <v>26</v>
      </c>
      <c r="I1468" t="s">
        <v>19</v>
      </c>
      <c r="J1468">
        <v>980</v>
      </c>
      <c r="K1468">
        <v>2</v>
      </c>
      <c r="L1468">
        <v>43</v>
      </c>
    </row>
    <row r="1469" spans="1:12" x14ac:dyDescent="0.3">
      <c r="A1469" t="s">
        <v>559</v>
      </c>
      <c r="B1469" s="1">
        <v>44760</v>
      </c>
      <c r="C1469" t="s">
        <v>162</v>
      </c>
      <c r="D1469" t="s">
        <v>62</v>
      </c>
      <c r="E1469" t="s">
        <v>15</v>
      </c>
      <c r="F1469" t="s">
        <v>16</v>
      </c>
      <c r="G1469" t="s">
        <v>37</v>
      </c>
      <c r="H1469" t="s">
        <v>33</v>
      </c>
      <c r="I1469" t="s">
        <v>19</v>
      </c>
      <c r="J1469">
        <v>1350</v>
      </c>
      <c r="K1469">
        <v>3</v>
      </c>
      <c r="L1469">
        <v>273.79000000000002</v>
      </c>
    </row>
    <row r="1470" spans="1:12" x14ac:dyDescent="0.3">
      <c r="A1470" t="s">
        <v>560</v>
      </c>
      <c r="B1470" s="1">
        <v>44689</v>
      </c>
      <c r="C1470" t="s">
        <v>122</v>
      </c>
      <c r="D1470" t="s">
        <v>90</v>
      </c>
      <c r="E1470" t="s">
        <v>23</v>
      </c>
      <c r="F1470" t="s">
        <v>16</v>
      </c>
      <c r="G1470" t="s">
        <v>45</v>
      </c>
      <c r="H1470" t="s">
        <v>49</v>
      </c>
      <c r="I1470" t="s">
        <v>59</v>
      </c>
      <c r="J1470">
        <v>999</v>
      </c>
      <c r="K1470">
        <v>3</v>
      </c>
      <c r="L1470">
        <v>269.05</v>
      </c>
    </row>
    <row r="1471" spans="1:12" x14ac:dyDescent="0.3">
      <c r="A1471" t="s">
        <v>561</v>
      </c>
      <c r="B1471" s="1">
        <v>44739</v>
      </c>
      <c r="C1471" t="s">
        <v>47</v>
      </c>
      <c r="D1471" t="s">
        <v>29</v>
      </c>
      <c r="E1471" t="s">
        <v>30</v>
      </c>
      <c r="F1471" t="s">
        <v>31</v>
      </c>
      <c r="G1471" t="s">
        <v>37</v>
      </c>
      <c r="H1471" t="s">
        <v>33</v>
      </c>
      <c r="I1471" t="s">
        <v>59</v>
      </c>
      <c r="J1471">
        <v>1275</v>
      </c>
      <c r="K1471">
        <v>5</v>
      </c>
      <c r="L1471">
        <v>231.81</v>
      </c>
    </row>
    <row r="1472" spans="1:12" x14ac:dyDescent="0.3">
      <c r="A1472" t="s">
        <v>562</v>
      </c>
      <c r="B1472" s="1">
        <v>44577</v>
      </c>
      <c r="C1472" t="s">
        <v>47</v>
      </c>
      <c r="D1472" t="s">
        <v>14</v>
      </c>
      <c r="E1472" t="s">
        <v>15</v>
      </c>
      <c r="F1472" t="s">
        <v>24</v>
      </c>
      <c r="G1472" t="s">
        <v>37</v>
      </c>
      <c r="H1472" t="s">
        <v>33</v>
      </c>
      <c r="I1472" t="s">
        <v>34</v>
      </c>
      <c r="J1472">
        <v>1166</v>
      </c>
      <c r="K1472">
        <v>1</v>
      </c>
      <c r="L1472">
        <v>73.61</v>
      </c>
    </row>
    <row r="1473" spans="1:12" x14ac:dyDescent="0.3">
      <c r="A1473" t="s">
        <v>563</v>
      </c>
      <c r="B1473" s="1">
        <v>45055</v>
      </c>
      <c r="C1473" t="s">
        <v>98</v>
      </c>
      <c r="D1473" t="s">
        <v>56</v>
      </c>
      <c r="E1473" t="s">
        <v>30</v>
      </c>
      <c r="F1473" t="s">
        <v>24</v>
      </c>
      <c r="G1473" t="s">
        <v>37</v>
      </c>
      <c r="H1473" t="s">
        <v>33</v>
      </c>
      <c r="I1473" t="s">
        <v>34</v>
      </c>
      <c r="J1473">
        <v>628</v>
      </c>
      <c r="K1473">
        <v>5</v>
      </c>
      <c r="L1473">
        <v>126.26</v>
      </c>
    </row>
    <row r="1474" spans="1:12" x14ac:dyDescent="0.3">
      <c r="A1474" t="s">
        <v>564</v>
      </c>
      <c r="B1474" s="1">
        <v>45128</v>
      </c>
      <c r="C1474" t="s">
        <v>142</v>
      </c>
      <c r="D1474" t="s">
        <v>43</v>
      </c>
      <c r="E1474" t="s">
        <v>30</v>
      </c>
      <c r="F1474" t="s">
        <v>16</v>
      </c>
      <c r="G1474" t="s">
        <v>45</v>
      </c>
      <c r="H1474" t="s">
        <v>18</v>
      </c>
      <c r="I1474" t="s">
        <v>34</v>
      </c>
      <c r="J1474">
        <v>437</v>
      </c>
      <c r="K1474">
        <v>3</v>
      </c>
      <c r="L1474">
        <v>10.02</v>
      </c>
    </row>
    <row r="1475" spans="1:12" x14ac:dyDescent="0.3">
      <c r="A1475" t="s">
        <v>565</v>
      </c>
      <c r="B1475" s="1">
        <v>45010</v>
      </c>
      <c r="C1475" t="s">
        <v>219</v>
      </c>
      <c r="D1475" t="s">
        <v>90</v>
      </c>
      <c r="E1475" t="s">
        <v>23</v>
      </c>
      <c r="F1475" t="s">
        <v>31</v>
      </c>
      <c r="G1475" t="s">
        <v>25</v>
      </c>
      <c r="H1475" t="s">
        <v>26</v>
      </c>
      <c r="I1475" t="s">
        <v>19</v>
      </c>
      <c r="J1475">
        <v>710</v>
      </c>
      <c r="K1475">
        <v>3</v>
      </c>
      <c r="L1475">
        <v>189.67</v>
      </c>
    </row>
    <row r="1476" spans="1:12" x14ac:dyDescent="0.3">
      <c r="A1476" t="s">
        <v>566</v>
      </c>
      <c r="B1476" s="1">
        <v>45245</v>
      </c>
      <c r="C1476" t="s">
        <v>61</v>
      </c>
      <c r="D1476" t="s">
        <v>29</v>
      </c>
      <c r="E1476" t="s">
        <v>30</v>
      </c>
      <c r="F1476" t="s">
        <v>31</v>
      </c>
      <c r="G1476" t="s">
        <v>25</v>
      </c>
      <c r="H1476" t="s">
        <v>49</v>
      </c>
      <c r="I1476" t="s">
        <v>19</v>
      </c>
      <c r="J1476">
        <v>415</v>
      </c>
      <c r="K1476">
        <v>3</v>
      </c>
      <c r="L1476">
        <v>144.94</v>
      </c>
    </row>
    <row r="1477" spans="1:12" x14ac:dyDescent="0.3">
      <c r="A1477" t="s">
        <v>567</v>
      </c>
      <c r="B1477" s="1">
        <v>45087</v>
      </c>
      <c r="C1477" t="s">
        <v>36</v>
      </c>
      <c r="D1477" t="s">
        <v>29</v>
      </c>
      <c r="E1477" t="s">
        <v>30</v>
      </c>
      <c r="F1477" t="s">
        <v>31</v>
      </c>
      <c r="G1477" t="s">
        <v>17</v>
      </c>
      <c r="H1477" t="s">
        <v>49</v>
      </c>
      <c r="I1477" t="s">
        <v>34</v>
      </c>
      <c r="J1477">
        <v>656</v>
      </c>
      <c r="K1477">
        <v>3</v>
      </c>
      <c r="L1477">
        <v>292.10000000000002</v>
      </c>
    </row>
    <row r="1478" spans="1:12" x14ac:dyDescent="0.3">
      <c r="A1478" t="s">
        <v>568</v>
      </c>
      <c r="B1478" s="1">
        <v>44859</v>
      </c>
      <c r="C1478" t="s">
        <v>100</v>
      </c>
      <c r="D1478" t="s">
        <v>78</v>
      </c>
      <c r="E1478" t="s">
        <v>15</v>
      </c>
      <c r="F1478" t="s">
        <v>31</v>
      </c>
      <c r="G1478" t="s">
        <v>17</v>
      </c>
      <c r="H1478" t="s">
        <v>49</v>
      </c>
      <c r="I1478" t="s">
        <v>19</v>
      </c>
      <c r="J1478">
        <v>1001</v>
      </c>
      <c r="K1478">
        <v>4</v>
      </c>
      <c r="L1478">
        <v>181.52</v>
      </c>
    </row>
    <row r="1479" spans="1:12" x14ac:dyDescent="0.3">
      <c r="A1479" t="s">
        <v>569</v>
      </c>
      <c r="B1479" s="1">
        <v>45175</v>
      </c>
      <c r="C1479" t="s">
        <v>85</v>
      </c>
      <c r="D1479" t="s">
        <v>56</v>
      </c>
      <c r="E1479" t="s">
        <v>30</v>
      </c>
      <c r="F1479" t="s">
        <v>24</v>
      </c>
      <c r="G1479" t="s">
        <v>32</v>
      </c>
      <c r="H1479" t="s">
        <v>26</v>
      </c>
      <c r="I1479" t="s">
        <v>19</v>
      </c>
      <c r="J1479">
        <v>1174</v>
      </c>
      <c r="K1479">
        <v>1</v>
      </c>
      <c r="L1479">
        <v>55.51</v>
      </c>
    </row>
    <row r="1480" spans="1:12" x14ac:dyDescent="0.3">
      <c r="A1480" t="s">
        <v>570</v>
      </c>
      <c r="B1480" s="1">
        <v>45041</v>
      </c>
      <c r="C1480" t="s">
        <v>159</v>
      </c>
      <c r="D1480" t="s">
        <v>90</v>
      </c>
      <c r="E1480" t="s">
        <v>23</v>
      </c>
      <c r="F1480" t="s">
        <v>31</v>
      </c>
      <c r="G1480" t="s">
        <v>32</v>
      </c>
      <c r="H1480" t="s">
        <v>33</v>
      </c>
      <c r="I1480" t="s">
        <v>19</v>
      </c>
      <c r="J1480">
        <v>1080</v>
      </c>
      <c r="K1480">
        <v>4</v>
      </c>
      <c r="L1480">
        <v>411.3</v>
      </c>
    </row>
    <row r="1481" spans="1:12" x14ac:dyDescent="0.3">
      <c r="A1481" t="s">
        <v>571</v>
      </c>
      <c r="B1481" s="1">
        <v>45274</v>
      </c>
      <c r="C1481" t="s">
        <v>102</v>
      </c>
      <c r="D1481" t="s">
        <v>48</v>
      </c>
      <c r="E1481" t="s">
        <v>30</v>
      </c>
      <c r="F1481" t="s">
        <v>24</v>
      </c>
      <c r="G1481" t="s">
        <v>45</v>
      </c>
      <c r="H1481" t="s">
        <v>26</v>
      </c>
      <c r="I1481" t="s">
        <v>59</v>
      </c>
      <c r="J1481">
        <v>1022</v>
      </c>
      <c r="K1481">
        <v>2</v>
      </c>
      <c r="L1481">
        <v>293.94</v>
      </c>
    </row>
    <row r="1482" spans="1:12" x14ac:dyDescent="0.3">
      <c r="A1482" t="s">
        <v>572</v>
      </c>
      <c r="B1482" s="1">
        <v>45246</v>
      </c>
      <c r="C1482" t="s">
        <v>165</v>
      </c>
      <c r="D1482" t="s">
        <v>78</v>
      </c>
      <c r="E1482" t="s">
        <v>15</v>
      </c>
      <c r="F1482" t="s">
        <v>31</v>
      </c>
      <c r="G1482" t="s">
        <v>37</v>
      </c>
      <c r="H1482" t="s">
        <v>26</v>
      </c>
      <c r="I1482" t="s">
        <v>59</v>
      </c>
      <c r="J1482">
        <v>898</v>
      </c>
      <c r="K1482">
        <v>3</v>
      </c>
      <c r="L1482">
        <v>351.77</v>
      </c>
    </row>
    <row r="1483" spans="1:12" x14ac:dyDescent="0.3">
      <c r="A1483" t="s">
        <v>573</v>
      </c>
      <c r="B1483" s="1">
        <v>44826</v>
      </c>
      <c r="C1483" t="s">
        <v>159</v>
      </c>
      <c r="D1483" t="s">
        <v>48</v>
      </c>
      <c r="E1483" t="s">
        <v>30</v>
      </c>
      <c r="F1483" t="s">
        <v>31</v>
      </c>
      <c r="G1483" t="s">
        <v>17</v>
      </c>
      <c r="H1483" t="s">
        <v>33</v>
      </c>
      <c r="I1483" t="s">
        <v>34</v>
      </c>
      <c r="J1483">
        <v>250</v>
      </c>
      <c r="K1483">
        <v>5</v>
      </c>
      <c r="L1483">
        <v>31.71</v>
      </c>
    </row>
    <row r="1484" spans="1:12" x14ac:dyDescent="0.3">
      <c r="A1484" t="s">
        <v>574</v>
      </c>
      <c r="B1484" s="1">
        <v>44804</v>
      </c>
      <c r="C1484" t="s">
        <v>135</v>
      </c>
      <c r="D1484" t="s">
        <v>22</v>
      </c>
      <c r="E1484" t="s">
        <v>23</v>
      </c>
      <c r="F1484" t="s">
        <v>31</v>
      </c>
      <c r="G1484" t="s">
        <v>45</v>
      </c>
      <c r="H1484" t="s">
        <v>26</v>
      </c>
      <c r="I1484" t="s">
        <v>19</v>
      </c>
      <c r="J1484">
        <v>1166</v>
      </c>
      <c r="K1484">
        <v>1</v>
      </c>
      <c r="L1484">
        <v>76.16</v>
      </c>
    </row>
    <row r="1485" spans="1:12" x14ac:dyDescent="0.3">
      <c r="A1485" t="s">
        <v>575</v>
      </c>
      <c r="B1485" s="1">
        <v>45247</v>
      </c>
      <c r="C1485" t="s">
        <v>39</v>
      </c>
      <c r="D1485" t="s">
        <v>52</v>
      </c>
      <c r="E1485" t="s">
        <v>30</v>
      </c>
      <c r="F1485" t="s">
        <v>40</v>
      </c>
      <c r="G1485" t="s">
        <v>17</v>
      </c>
      <c r="H1485" t="s">
        <v>49</v>
      </c>
      <c r="I1485" t="s">
        <v>59</v>
      </c>
      <c r="J1485">
        <v>245</v>
      </c>
      <c r="K1485">
        <v>3</v>
      </c>
      <c r="L1485">
        <v>88.95</v>
      </c>
    </row>
    <row r="1486" spans="1:12" x14ac:dyDescent="0.3">
      <c r="A1486" t="s">
        <v>576</v>
      </c>
      <c r="B1486" s="1">
        <v>44953</v>
      </c>
      <c r="C1486" t="s">
        <v>100</v>
      </c>
      <c r="D1486" t="s">
        <v>62</v>
      </c>
      <c r="E1486" t="s">
        <v>15</v>
      </c>
      <c r="F1486" t="s">
        <v>44</v>
      </c>
      <c r="G1486" t="s">
        <v>17</v>
      </c>
      <c r="H1486" t="s">
        <v>33</v>
      </c>
      <c r="I1486" t="s">
        <v>19</v>
      </c>
      <c r="J1486">
        <v>998</v>
      </c>
      <c r="K1486">
        <v>4</v>
      </c>
      <c r="L1486">
        <v>57.01</v>
      </c>
    </row>
    <row r="1487" spans="1:12" x14ac:dyDescent="0.3">
      <c r="A1487" t="s">
        <v>577</v>
      </c>
      <c r="B1487" s="1">
        <v>44868</v>
      </c>
      <c r="C1487" t="s">
        <v>73</v>
      </c>
      <c r="D1487" t="s">
        <v>90</v>
      </c>
      <c r="E1487" t="s">
        <v>23</v>
      </c>
      <c r="F1487" t="s">
        <v>16</v>
      </c>
      <c r="G1487" t="s">
        <v>37</v>
      </c>
      <c r="H1487" t="s">
        <v>33</v>
      </c>
      <c r="I1487" t="s">
        <v>19</v>
      </c>
      <c r="J1487">
        <v>91</v>
      </c>
      <c r="K1487">
        <v>1</v>
      </c>
      <c r="L1487">
        <v>6.72</v>
      </c>
    </row>
    <row r="1488" spans="1:12" x14ac:dyDescent="0.3">
      <c r="A1488" t="s">
        <v>578</v>
      </c>
      <c r="B1488" s="1">
        <v>45198</v>
      </c>
      <c r="C1488" t="s">
        <v>172</v>
      </c>
      <c r="D1488" t="s">
        <v>29</v>
      </c>
      <c r="E1488" t="s">
        <v>30</v>
      </c>
      <c r="F1488" t="s">
        <v>40</v>
      </c>
      <c r="G1488" t="s">
        <v>17</v>
      </c>
      <c r="H1488" t="s">
        <v>33</v>
      </c>
      <c r="I1488" t="s">
        <v>19</v>
      </c>
      <c r="J1488">
        <v>1038</v>
      </c>
      <c r="K1488">
        <v>4</v>
      </c>
      <c r="L1488">
        <v>602.51</v>
      </c>
    </row>
    <row r="1489" spans="1:12" x14ac:dyDescent="0.3">
      <c r="A1489" t="s">
        <v>579</v>
      </c>
      <c r="B1489" s="1">
        <v>45112</v>
      </c>
      <c r="C1489" t="s">
        <v>249</v>
      </c>
      <c r="D1489" t="s">
        <v>90</v>
      </c>
      <c r="E1489" t="s">
        <v>23</v>
      </c>
      <c r="F1489" t="s">
        <v>31</v>
      </c>
      <c r="G1489" t="s">
        <v>25</v>
      </c>
      <c r="H1489" t="s">
        <v>49</v>
      </c>
      <c r="I1489" t="s">
        <v>59</v>
      </c>
      <c r="J1489">
        <v>1098</v>
      </c>
      <c r="K1489">
        <v>3</v>
      </c>
      <c r="L1489">
        <v>171.46</v>
      </c>
    </row>
    <row r="1490" spans="1:12" x14ac:dyDescent="0.3">
      <c r="A1490" t="s">
        <v>580</v>
      </c>
      <c r="B1490" s="1">
        <v>45023</v>
      </c>
      <c r="C1490" t="s">
        <v>117</v>
      </c>
      <c r="D1490" t="s">
        <v>56</v>
      </c>
      <c r="E1490" t="s">
        <v>30</v>
      </c>
      <c r="F1490" t="s">
        <v>31</v>
      </c>
      <c r="G1490" t="s">
        <v>32</v>
      </c>
      <c r="H1490" t="s">
        <v>49</v>
      </c>
      <c r="I1490" t="s">
        <v>19</v>
      </c>
      <c r="J1490">
        <v>98</v>
      </c>
      <c r="K1490">
        <v>2</v>
      </c>
      <c r="L1490">
        <v>2.1800000000000002</v>
      </c>
    </row>
    <row r="1491" spans="1:12" x14ac:dyDescent="0.3">
      <c r="A1491" t="s">
        <v>581</v>
      </c>
      <c r="B1491" s="1">
        <v>44688</v>
      </c>
      <c r="C1491" t="s">
        <v>135</v>
      </c>
      <c r="D1491" t="s">
        <v>48</v>
      </c>
      <c r="E1491" t="s">
        <v>30</v>
      </c>
      <c r="F1491" t="s">
        <v>24</v>
      </c>
      <c r="G1491" t="s">
        <v>32</v>
      </c>
      <c r="H1491" t="s">
        <v>18</v>
      </c>
      <c r="I1491" t="s">
        <v>34</v>
      </c>
      <c r="J1491">
        <v>825</v>
      </c>
      <c r="K1491">
        <v>5</v>
      </c>
      <c r="L1491">
        <v>138.15</v>
      </c>
    </row>
    <row r="1492" spans="1:12" x14ac:dyDescent="0.3">
      <c r="A1492" t="s">
        <v>582</v>
      </c>
      <c r="B1492" s="1">
        <v>45269</v>
      </c>
      <c r="C1492" t="s">
        <v>104</v>
      </c>
      <c r="D1492" t="s">
        <v>29</v>
      </c>
      <c r="E1492" t="s">
        <v>30</v>
      </c>
      <c r="F1492" t="s">
        <v>16</v>
      </c>
      <c r="G1492" t="s">
        <v>45</v>
      </c>
      <c r="H1492" t="s">
        <v>33</v>
      </c>
      <c r="I1492" t="s">
        <v>19</v>
      </c>
      <c r="J1492">
        <v>195</v>
      </c>
      <c r="K1492">
        <v>2</v>
      </c>
      <c r="L1492">
        <v>9.7899999999999991</v>
      </c>
    </row>
    <row r="1493" spans="1:12" x14ac:dyDescent="0.3">
      <c r="A1493" t="s">
        <v>583</v>
      </c>
      <c r="B1493" s="1">
        <v>44990</v>
      </c>
      <c r="C1493" t="s">
        <v>122</v>
      </c>
      <c r="D1493" t="s">
        <v>90</v>
      </c>
      <c r="E1493" t="s">
        <v>23</v>
      </c>
      <c r="F1493" t="s">
        <v>44</v>
      </c>
      <c r="G1493" t="s">
        <v>17</v>
      </c>
      <c r="H1493" t="s">
        <v>33</v>
      </c>
      <c r="I1493" t="s">
        <v>19</v>
      </c>
      <c r="J1493">
        <v>538</v>
      </c>
      <c r="K1493">
        <v>2</v>
      </c>
      <c r="L1493">
        <v>101.78</v>
      </c>
    </row>
    <row r="1494" spans="1:12" x14ac:dyDescent="0.3">
      <c r="A1494" t="s">
        <v>584</v>
      </c>
      <c r="B1494" s="1">
        <v>45162</v>
      </c>
      <c r="C1494" t="s">
        <v>89</v>
      </c>
      <c r="D1494" t="s">
        <v>43</v>
      </c>
      <c r="E1494" t="s">
        <v>30</v>
      </c>
      <c r="F1494" t="s">
        <v>16</v>
      </c>
      <c r="G1494" t="s">
        <v>17</v>
      </c>
      <c r="H1494" t="s">
        <v>26</v>
      </c>
      <c r="I1494" t="s">
        <v>34</v>
      </c>
      <c r="J1494">
        <v>1070</v>
      </c>
      <c r="K1494">
        <v>5</v>
      </c>
      <c r="L1494">
        <v>645.07000000000005</v>
      </c>
    </row>
    <row r="1495" spans="1:12" x14ac:dyDescent="0.3">
      <c r="A1495" t="s">
        <v>585</v>
      </c>
      <c r="B1495" s="1">
        <v>44708</v>
      </c>
      <c r="C1495" t="s">
        <v>135</v>
      </c>
      <c r="D1495" t="s">
        <v>62</v>
      </c>
      <c r="E1495" t="s">
        <v>15</v>
      </c>
      <c r="F1495" t="s">
        <v>44</v>
      </c>
      <c r="G1495" t="s">
        <v>45</v>
      </c>
      <c r="H1495" t="s">
        <v>18</v>
      </c>
      <c r="I1495" t="s">
        <v>59</v>
      </c>
      <c r="J1495">
        <v>605</v>
      </c>
      <c r="K1495">
        <v>5</v>
      </c>
      <c r="L1495">
        <v>136.88</v>
      </c>
    </row>
    <row r="1496" spans="1:12" x14ac:dyDescent="0.3">
      <c r="A1496" t="s">
        <v>586</v>
      </c>
      <c r="B1496" s="1">
        <v>45058</v>
      </c>
      <c r="C1496" t="s">
        <v>71</v>
      </c>
      <c r="D1496" t="s">
        <v>48</v>
      </c>
      <c r="E1496" t="s">
        <v>30</v>
      </c>
      <c r="F1496" t="s">
        <v>24</v>
      </c>
      <c r="G1496" t="s">
        <v>25</v>
      </c>
      <c r="H1496" t="s">
        <v>18</v>
      </c>
      <c r="I1496" t="s">
        <v>19</v>
      </c>
      <c r="J1496">
        <v>493</v>
      </c>
      <c r="K1496">
        <v>5</v>
      </c>
      <c r="L1496">
        <v>68.45</v>
      </c>
    </row>
    <row r="1497" spans="1:12" x14ac:dyDescent="0.3">
      <c r="A1497" t="s">
        <v>587</v>
      </c>
      <c r="B1497" s="1">
        <v>44734</v>
      </c>
      <c r="C1497" t="s">
        <v>42</v>
      </c>
      <c r="D1497" t="s">
        <v>43</v>
      </c>
      <c r="E1497" t="s">
        <v>30</v>
      </c>
      <c r="F1497" t="s">
        <v>31</v>
      </c>
      <c r="G1497" t="s">
        <v>37</v>
      </c>
      <c r="H1497" t="s">
        <v>49</v>
      </c>
      <c r="I1497" t="s">
        <v>59</v>
      </c>
      <c r="J1497">
        <v>966</v>
      </c>
      <c r="K1497">
        <v>5</v>
      </c>
      <c r="L1497">
        <v>636.58000000000004</v>
      </c>
    </row>
    <row r="1498" spans="1:12" x14ac:dyDescent="0.3">
      <c r="A1498" t="s">
        <v>588</v>
      </c>
      <c r="B1498" s="1">
        <v>45174</v>
      </c>
      <c r="C1498" t="s">
        <v>148</v>
      </c>
      <c r="D1498" t="s">
        <v>56</v>
      </c>
      <c r="E1498" t="s">
        <v>30</v>
      </c>
      <c r="F1498" t="s">
        <v>31</v>
      </c>
      <c r="G1498" t="s">
        <v>32</v>
      </c>
      <c r="H1498" t="s">
        <v>33</v>
      </c>
      <c r="I1498" t="s">
        <v>59</v>
      </c>
      <c r="J1498">
        <v>1069</v>
      </c>
      <c r="K1498">
        <v>1</v>
      </c>
      <c r="L1498">
        <v>79.87</v>
      </c>
    </row>
    <row r="1499" spans="1:12" x14ac:dyDescent="0.3">
      <c r="A1499" t="s">
        <v>589</v>
      </c>
      <c r="B1499" s="1">
        <v>44787</v>
      </c>
      <c r="C1499" t="s">
        <v>77</v>
      </c>
      <c r="D1499" t="s">
        <v>56</v>
      </c>
      <c r="E1499" t="s">
        <v>30</v>
      </c>
      <c r="F1499" t="s">
        <v>40</v>
      </c>
      <c r="G1499" t="s">
        <v>32</v>
      </c>
      <c r="H1499" t="s">
        <v>33</v>
      </c>
      <c r="I1499" t="s">
        <v>59</v>
      </c>
      <c r="J1499">
        <v>1396</v>
      </c>
      <c r="K1499">
        <v>4</v>
      </c>
      <c r="L1499">
        <v>683.35</v>
      </c>
    </row>
    <row r="1500" spans="1:12" x14ac:dyDescent="0.3">
      <c r="A1500" t="s">
        <v>590</v>
      </c>
      <c r="B1500" s="1">
        <v>44676</v>
      </c>
      <c r="C1500" t="s">
        <v>100</v>
      </c>
      <c r="D1500" t="s">
        <v>78</v>
      </c>
      <c r="E1500" t="s">
        <v>15</v>
      </c>
      <c r="F1500" t="s">
        <v>31</v>
      </c>
      <c r="G1500" t="s">
        <v>25</v>
      </c>
      <c r="H1500" t="s">
        <v>18</v>
      </c>
      <c r="I1500" t="s">
        <v>34</v>
      </c>
      <c r="J1500">
        <v>684</v>
      </c>
      <c r="K1500">
        <v>4</v>
      </c>
      <c r="L1500">
        <v>248.65</v>
      </c>
    </row>
    <row r="1501" spans="1:12" x14ac:dyDescent="0.3">
      <c r="A1501" t="s">
        <v>591</v>
      </c>
      <c r="B1501" s="1">
        <v>45087</v>
      </c>
      <c r="C1501" t="s">
        <v>162</v>
      </c>
      <c r="D1501" t="s">
        <v>90</v>
      </c>
      <c r="E1501" t="s">
        <v>23</v>
      </c>
      <c r="F1501" t="s">
        <v>44</v>
      </c>
      <c r="G1501" t="s">
        <v>32</v>
      </c>
      <c r="H1501" t="s">
        <v>33</v>
      </c>
      <c r="I1501" t="s">
        <v>19</v>
      </c>
      <c r="J1501">
        <v>1428</v>
      </c>
      <c r="K1501">
        <v>5</v>
      </c>
      <c r="L1501">
        <v>664.6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6" sqref="H3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Forecast</vt:lpstr>
      <vt:lpstr>Summary_Sales</vt:lpstr>
      <vt:lpstr>Dashboard</vt:lpstr>
      <vt:lpstr>RawData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2026-08-21T20:05:22Z</dcterms:created>
  <dcterms:modified xsi:type="dcterms:W3CDTF">2026-08-21T21:26:35Z</dcterms:modified>
</cp:coreProperties>
</file>